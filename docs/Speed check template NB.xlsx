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2.xml" ContentType="application/vnd.openxmlformats-officedocument.spreadsheetml.chart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jtdra\OneDrive\Desktop\AI Engineering AWS\canberra_LRV_tracker\docs\"/>
    </mc:Choice>
  </mc:AlternateContent>
  <xr:revisionPtr revIDLastSave="0" documentId="8_{FC461D7F-AAA5-49E0-8B33-F406FEB68155}" xr6:coauthVersionLast="47" xr6:coauthVersionMax="47" xr10:uidLastSave="{00000000-0000-0000-0000-000000000000}"/>
  <bookViews>
    <workbookView xWindow="5670" yWindow="5535" windowWidth="28800" windowHeight="15345" tabRatio="667" activeTab="7" xr2:uid="{60F19054-B7DC-45A7-80B0-6484E0ADBFEB}"/>
  </bookViews>
  <sheets>
    <sheet name="Instructions" sheetId="15" r:id="rId1"/>
    <sheet name="Graph 1" sheetId="8" r:id="rId2"/>
    <sheet name="Extended Graph" sheetId="1" r:id="rId3"/>
    <sheet name="Speed" sheetId="2" r:id="rId4"/>
    <sheet name="Odometer" sheetId="3" r:id="rId5"/>
    <sheet name="Speed reference" sheetId="4" r:id="rId6"/>
    <sheet name="Intersections" sheetId="12" r:id="rId7"/>
    <sheet name="Stops" sheetId="11" r:id="rId8"/>
    <sheet name="Printable" sheetId="7" r:id="rId9"/>
    <sheet name="Calculations" sheetId="10" r:id="rId10"/>
  </sheets>
  <externalReferences>
    <externalReference r:id="rId11"/>
    <externalReference r:id="rId12"/>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01" i="10" l="1"/>
  <c r="A1501" i="10"/>
  <c r="B1501" i="10" s="1"/>
  <c r="C1501" i="10"/>
  <c r="D1501" i="10"/>
  <c r="E1501" i="10" s="1"/>
  <c r="F1501" i="10"/>
  <c r="A1502" i="10"/>
  <c r="B1502" i="10" s="1"/>
  <c r="C1502" i="10"/>
  <c r="D1502" i="10"/>
  <c r="E1502" i="10" s="1"/>
  <c r="F1502" i="10"/>
  <c r="A1503" i="10"/>
  <c r="B1503" i="10" s="1"/>
  <c r="C1503" i="10"/>
  <c r="D1503" i="10"/>
  <c r="F1503" i="10"/>
  <c r="A1504" i="10"/>
  <c r="B1504" i="10" s="1"/>
  <c r="C1504" i="10"/>
  <c r="D1504" i="10"/>
  <c r="E1504" i="10" s="1"/>
  <c r="F1504" i="10"/>
  <c r="A1505" i="10"/>
  <c r="B1505" i="10" s="1"/>
  <c r="C1505" i="10"/>
  <c r="D1505" i="10"/>
  <c r="F1505" i="10"/>
  <c r="A1506" i="10"/>
  <c r="I1506" i="10" s="1"/>
  <c r="C1506" i="10"/>
  <c r="D1506" i="10"/>
  <c r="E1506" i="10" s="1"/>
  <c r="F1506" i="10"/>
  <c r="A1507" i="10"/>
  <c r="B1507" i="10" s="1"/>
  <c r="C1507" i="10"/>
  <c r="D1507" i="10"/>
  <c r="F1507" i="10"/>
  <c r="G1506" i="10" s="1"/>
  <c r="A1508" i="10"/>
  <c r="B1508" i="10" s="1"/>
  <c r="C1508" i="10"/>
  <c r="D1508" i="10"/>
  <c r="E1508" i="10" s="1"/>
  <c r="F1508" i="10"/>
  <c r="A1509" i="10"/>
  <c r="B1509" i="10" s="1"/>
  <c r="C1509" i="10"/>
  <c r="D1509" i="10"/>
  <c r="E1509" i="10" s="1"/>
  <c r="F1509" i="10"/>
  <c r="A1510" i="10"/>
  <c r="C1510" i="10"/>
  <c r="D1510" i="10"/>
  <c r="E1510" i="10" s="1"/>
  <c r="F1510" i="10"/>
  <c r="G1509" i="10" s="1"/>
  <c r="A1511" i="10"/>
  <c r="B1511" i="10" s="1"/>
  <c r="C1511" i="10"/>
  <c r="D1511" i="10"/>
  <c r="E1511" i="10" s="1"/>
  <c r="F1511" i="10"/>
  <c r="A1512" i="10"/>
  <c r="B1512" i="10" s="1"/>
  <c r="C1512" i="10"/>
  <c r="D1512" i="10"/>
  <c r="E1512" i="10" s="1"/>
  <c r="F1512" i="10"/>
  <c r="A1513" i="10"/>
  <c r="I1513" i="10" s="1"/>
  <c r="C1513" i="10"/>
  <c r="D1513" i="10"/>
  <c r="E1513" i="10" s="1"/>
  <c r="F1513" i="10"/>
  <c r="G1512" i="10" s="1"/>
  <c r="A1514" i="10"/>
  <c r="B1514" i="10" s="1"/>
  <c r="C1514" i="10"/>
  <c r="D1514" i="10"/>
  <c r="E1514" i="10" s="1"/>
  <c r="F1514" i="10"/>
  <c r="A1515" i="10"/>
  <c r="C1515" i="10"/>
  <c r="D1515" i="10"/>
  <c r="E1515" i="10" s="1"/>
  <c r="F1515" i="10"/>
  <c r="A1516" i="10"/>
  <c r="B1516" i="10" s="1"/>
  <c r="C1516" i="10"/>
  <c r="D1516" i="10"/>
  <c r="E1516" i="10" s="1"/>
  <c r="F1516" i="10"/>
  <c r="G1515" i="10" s="1"/>
  <c r="A1517" i="10"/>
  <c r="C1517" i="10"/>
  <c r="D1517" i="10"/>
  <c r="E1517" i="10" s="1"/>
  <c r="F1517" i="10"/>
  <c r="A1518" i="10"/>
  <c r="B1518" i="10" s="1"/>
  <c r="C1518" i="10"/>
  <c r="D1518" i="10"/>
  <c r="E1518" i="10" s="1"/>
  <c r="F1518" i="10"/>
  <c r="A1519" i="10"/>
  <c r="B1519" i="10" s="1"/>
  <c r="C1519" i="10"/>
  <c r="D1519" i="10"/>
  <c r="E1519" i="10" s="1"/>
  <c r="F1519" i="10"/>
  <c r="A1520" i="10"/>
  <c r="C1520" i="10"/>
  <c r="D1520" i="10"/>
  <c r="E1520" i="10" s="1"/>
  <c r="F1520" i="10"/>
  <c r="A1521" i="10"/>
  <c r="C1521" i="10"/>
  <c r="D1521" i="10"/>
  <c r="E1521" i="10" s="1"/>
  <c r="F1521" i="10"/>
  <c r="G1520" i="10" s="1"/>
  <c r="A1522" i="10"/>
  <c r="B1522" i="10" s="1"/>
  <c r="C1522" i="10"/>
  <c r="D1522" i="10"/>
  <c r="E1522" i="10" s="1"/>
  <c r="F1522" i="10"/>
  <c r="G1521" i="10" s="1"/>
  <c r="A1523" i="10"/>
  <c r="C1523" i="10"/>
  <c r="D1523" i="10"/>
  <c r="E1523" i="10" s="1"/>
  <c r="F1523" i="10"/>
  <c r="A1524" i="10"/>
  <c r="B1524" i="10" s="1"/>
  <c r="C1524" i="10"/>
  <c r="D1524" i="10"/>
  <c r="E1524" i="10" s="1"/>
  <c r="F1524" i="10"/>
  <c r="A1525" i="10"/>
  <c r="B1525" i="10" s="1"/>
  <c r="C1525" i="10"/>
  <c r="D1525" i="10"/>
  <c r="E1525" i="10" s="1"/>
  <c r="F1525" i="10"/>
  <c r="G1524" i="10" s="1"/>
  <c r="A1526" i="10"/>
  <c r="C1526" i="10"/>
  <c r="D1526" i="10"/>
  <c r="E1526" i="10" s="1"/>
  <c r="F1526" i="10"/>
  <c r="A1527" i="10"/>
  <c r="B1527" i="10" s="1"/>
  <c r="C1527" i="10"/>
  <c r="D1527" i="10"/>
  <c r="E1527" i="10" s="1"/>
  <c r="F1527" i="10"/>
  <c r="G1526" i="10" s="1"/>
  <c r="A1528" i="10"/>
  <c r="B1528" i="10" s="1"/>
  <c r="C1528" i="10"/>
  <c r="D1528" i="10"/>
  <c r="E1528" i="10" s="1"/>
  <c r="F1528" i="10"/>
  <c r="G1527" i="10" s="1"/>
  <c r="A1529" i="10"/>
  <c r="B1529" i="10" s="1"/>
  <c r="C1529" i="10"/>
  <c r="D1529" i="10"/>
  <c r="E1529" i="10" s="1"/>
  <c r="F1529" i="10"/>
  <c r="A1530" i="10"/>
  <c r="B1530" i="10" s="1"/>
  <c r="C1530" i="10"/>
  <c r="D1530" i="10"/>
  <c r="E1530" i="10" s="1"/>
  <c r="F1530" i="10"/>
  <c r="A1531" i="10"/>
  <c r="B1531" i="10" s="1"/>
  <c r="C1531" i="10"/>
  <c r="D1531" i="10"/>
  <c r="E1531" i="10" s="1"/>
  <c r="F1531" i="10"/>
  <c r="G1530" i="10" s="1"/>
  <c r="A1532" i="10"/>
  <c r="B1532" i="10" s="1"/>
  <c r="C1532" i="10"/>
  <c r="D1532" i="10"/>
  <c r="E1532" i="10" s="1"/>
  <c r="F1532" i="10"/>
  <c r="A1533" i="10"/>
  <c r="B1533" i="10" s="1"/>
  <c r="C1533" i="10"/>
  <c r="D1533" i="10"/>
  <c r="E1533" i="10" s="1"/>
  <c r="F1533" i="10"/>
  <c r="G1532" i="10" s="1"/>
  <c r="A1534" i="10"/>
  <c r="B1534" i="10" s="1"/>
  <c r="C1534" i="10"/>
  <c r="D1534" i="10"/>
  <c r="E1534" i="10" s="1"/>
  <c r="F1534" i="10"/>
  <c r="G1533" i="10" s="1"/>
  <c r="A1535" i="10"/>
  <c r="B1535" i="10" s="1"/>
  <c r="C1535" i="10"/>
  <c r="D1535" i="10"/>
  <c r="E1535" i="10" s="1"/>
  <c r="F1535" i="10"/>
  <c r="A1536" i="10"/>
  <c r="B1536" i="10" s="1"/>
  <c r="C1536" i="10"/>
  <c r="D1536" i="10"/>
  <c r="E1536" i="10" s="1"/>
  <c r="F1536" i="10"/>
  <c r="A1537" i="10"/>
  <c r="B1537" i="10" s="1"/>
  <c r="C1537" i="10"/>
  <c r="D1537" i="10"/>
  <c r="E1537" i="10" s="1"/>
  <c r="F1537" i="10"/>
  <c r="G1536" i="10" s="1"/>
  <c r="A1538" i="10"/>
  <c r="C1538" i="10"/>
  <c r="D1538" i="10"/>
  <c r="E1538" i="10" s="1"/>
  <c r="F1538" i="10"/>
  <c r="A1539" i="10"/>
  <c r="B1539" i="10" s="1"/>
  <c r="C1539" i="10"/>
  <c r="D1539" i="10"/>
  <c r="E1539" i="10" s="1"/>
  <c r="F1539" i="10"/>
  <c r="G1538" i="10" s="1"/>
  <c r="A1540" i="10"/>
  <c r="B1540" i="10" s="1"/>
  <c r="C1540" i="10"/>
  <c r="D1540" i="10"/>
  <c r="E1540" i="10" s="1"/>
  <c r="F1540" i="10"/>
  <c r="G1539" i="10" s="1"/>
  <c r="A1541" i="10"/>
  <c r="B1541" i="10" s="1"/>
  <c r="C1541" i="10"/>
  <c r="D1541" i="10"/>
  <c r="E1541" i="10" s="1"/>
  <c r="F1541" i="10"/>
  <c r="A1542" i="10"/>
  <c r="B1542" i="10" s="1"/>
  <c r="C1542" i="10"/>
  <c r="D1542" i="10"/>
  <c r="E1542" i="10" s="1"/>
  <c r="F1542" i="10"/>
  <c r="A1543" i="10"/>
  <c r="B1543" i="10" s="1"/>
  <c r="C1543" i="10"/>
  <c r="D1543" i="10"/>
  <c r="E1543" i="10" s="1"/>
  <c r="F1543" i="10"/>
  <c r="G1542" i="10" s="1"/>
  <c r="A1544" i="10"/>
  <c r="I1544" i="10" s="1"/>
  <c r="C1544" i="10"/>
  <c r="D1544" i="10"/>
  <c r="E1544" i="10" s="1"/>
  <c r="F1544" i="10"/>
  <c r="A1545" i="10"/>
  <c r="C1545" i="10"/>
  <c r="D1545" i="10"/>
  <c r="E1545" i="10" s="1"/>
  <c r="F1545" i="10"/>
  <c r="G1544" i="10" s="1"/>
  <c r="A1546" i="10"/>
  <c r="B1546" i="10" s="1"/>
  <c r="C1546" i="10"/>
  <c r="D1546" i="10"/>
  <c r="E1546" i="10" s="1"/>
  <c r="F1546" i="10"/>
  <c r="G1545" i="10" s="1"/>
  <c r="A1547" i="10"/>
  <c r="B1547" i="10" s="1"/>
  <c r="C1547" i="10"/>
  <c r="D1547" i="10"/>
  <c r="E1547" i="10" s="1"/>
  <c r="F1547" i="10"/>
  <c r="A1548" i="10"/>
  <c r="B1548" i="10" s="1"/>
  <c r="C1548" i="10"/>
  <c r="D1548" i="10"/>
  <c r="E1548" i="10" s="1"/>
  <c r="F1548" i="10"/>
  <c r="A1549" i="10"/>
  <c r="B1549" i="10" s="1"/>
  <c r="C1549" i="10"/>
  <c r="D1549" i="10"/>
  <c r="E1549" i="10" s="1"/>
  <c r="F1549" i="10"/>
  <c r="G1548" i="10" s="1"/>
  <c r="A1550" i="10"/>
  <c r="B1550" i="10" s="1"/>
  <c r="C1550" i="10"/>
  <c r="D1550" i="10"/>
  <c r="E1550" i="10" s="1"/>
  <c r="F1550" i="10"/>
  <c r="A1551" i="10"/>
  <c r="B1551" i="10" s="1"/>
  <c r="C1551" i="10"/>
  <c r="D1551" i="10"/>
  <c r="E1551" i="10" s="1"/>
  <c r="F1551" i="10"/>
  <c r="G1550" i="10" s="1"/>
  <c r="A1552" i="10"/>
  <c r="B1552" i="10" s="1"/>
  <c r="C1552" i="10"/>
  <c r="D1552" i="10"/>
  <c r="E1552" i="10" s="1"/>
  <c r="F1552" i="10"/>
  <c r="G1551" i="10" s="1"/>
  <c r="A1553" i="10"/>
  <c r="C1553" i="10"/>
  <c r="D1553" i="10"/>
  <c r="E1553" i="10" s="1"/>
  <c r="F1553" i="10"/>
  <c r="A1554" i="10"/>
  <c r="C1554" i="10"/>
  <c r="D1554" i="10"/>
  <c r="E1554" i="10" s="1"/>
  <c r="F1554" i="10"/>
  <c r="A1555" i="10"/>
  <c r="C1555" i="10"/>
  <c r="D1555" i="10"/>
  <c r="E1555" i="10" s="1"/>
  <c r="F1555" i="10"/>
  <c r="G1554" i="10" s="1"/>
  <c r="A1556" i="10"/>
  <c r="C1556" i="10"/>
  <c r="D1556" i="10"/>
  <c r="E1556" i="10" s="1"/>
  <c r="F1556" i="10"/>
  <c r="A1557" i="10"/>
  <c r="B1557" i="10" s="1"/>
  <c r="C1557" i="10"/>
  <c r="D1557" i="10"/>
  <c r="E1557" i="10" s="1"/>
  <c r="F1557" i="10"/>
  <c r="G1556" i="10" s="1"/>
  <c r="A1558" i="10"/>
  <c r="B1558" i="10" s="1"/>
  <c r="C1558" i="10"/>
  <c r="D1558" i="10"/>
  <c r="E1558" i="10" s="1"/>
  <c r="F1558" i="10"/>
  <c r="G1557" i="10" s="1"/>
  <c r="A1559" i="10"/>
  <c r="B1559" i="10" s="1"/>
  <c r="C1559" i="10"/>
  <c r="D1559" i="10"/>
  <c r="E1559" i="10" s="1"/>
  <c r="F1559" i="10"/>
  <c r="A1560" i="10"/>
  <c r="B1560" i="10" s="1"/>
  <c r="C1560" i="10"/>
  <c r="D1560" i="10"/>
  <c r="E1560" i="10" s="1"/>
  <c r="F1560" i="10"/>
  <c r="A1561" i="10"/>
  <c r="B1561" i="10" s="1"/>
  <c r="C1561" i="10"/>
  <c r="D1561" i="10"/>
  <c r="E1561" i="10" s="1"/>
  <c r="F1561" i="10"/>
  <c r="G1560" i="10" s="1"/>
  <c r="A1562" i="10"/>
  <c r="C1562" i="10"/>
  <c r="D1562" i="10"/>
  <c r="E1562" i="10" s="1"/>
  <c r="F1562" i="10"/>
  <c r="A1563" i="10"/>
  <c r="B1563" i="10" s="1"/>
  <c r="C1563" i="10"/>
  <c r="D1563" i="10"/>
  <c r="E1563" i="10" s="1"/>
  <c r="F1563" i="10"/>
  <c r="G1562" i="10" s="1"/>
  <c r="A1564" i="10"/>
  <c r="B1564" i="10" s="1"/>
  <c r="C1564" i="10"/>
  <c r="D1564" i="10"/>
  <c r="E1564" i="10" s="1"/>
  <c r="F1564" i="10"/>
  <c r="G1563" i="10" s="1"/>
  <c r="A1565" i="10"/>
  <c r="B1565" i="10" s="1"/>
  <c r="C1565" i="10"/>
  <c r="D1565" i="10"/>
  <c r="E1565" i="10"/>
  <c r="F1565" i="10"/>
  <c r="A1566" i="10"/>
  <c r="C1566" i="10"/>
  <c r="D1566" i="10"/>
  <c r="F1566" i="10"/>
  <c r="A1567" i="10"/>
  <c r="B1567" i="10" s="1"/>
  <c r="C1567" i="10"/>
  <c r="D1567" i="10"/>
  <c r="E1567" i="10" s="1"/>
  <c r="F1567" i="10"/>
  <c r="G1566" i="10" s="1"/>
  <c r="A1568" i="10"/>
  <c r="B1568" i="10" s="1"/>
  <c r="C1568" i="10"/>
  <c r="D1568" i="10"/>
  <c r="E1568" i="10" s="1"/>
  <c r="F1568" i="10"/>
  <c r="G1567" i="10" s="1"/>
  <c r="A1569" i="10"/>
  <c r="C1569" i="10"/>
  <c r="D1569" i="10"/>
  <c r="E1569" i="10" s="1"/>
  <c r="F1569" i="10"/>
  <c r="G1568" i="10" s="1"/>
  <c r="A1570" i="10"/>
  <c r="C1570" i="10"/>
  <c r="D1570" i="10"/>
  <c r="E1570" i="10" s="1"/>
  <c r="F1570" i="10"/>
  <c r="G1569" i="10" s="1"/>
  <c r="A1571" i="10"/>
  <c r="B1571" i="10" s="1"/>
  <c r="C1571" i="10"/>
  <c r="D1571" i="10"/>
  <c r="E1571" i="10" s="1"/>
  <c r="F1571" i="10"/>
  <c r="A1572" i="10"/>
  <c r="B1572" i="10" s="1"/>
  <c r="C1572" i="10"/>
  <c r="D1572" i="10"/>
  <c r="E1572" i="10" s="1"/>
  <c r="F1572" i="10"/>
  <c r="A1573" i="10"/>
  <c r="B1573" i="10" s="1"/>
  <c r="C1573" i="10"/>
  <c r="D1573" i="10"/>
  <c r="E1573" i="10" s="1"/>
  <c r="F1573" i="10"/>
  <c r="G1572" i="10" s="1"/>
  <c r="A1574" i="10"/>
  <c r="C1574" i="10"/>
  <c r="D1574" i="10"/>
  <c r="E1574" i="10" s="1"/>
  <c r="F1574" i="10"/>
  <c r="G1573" i="10" s="1"/>
  <c r="A1575" i="10"/>
  <c r="B1575" i="10" s="1"/>
  <c r="C1575" i="10"/>
  <c r="D1575" i="10"/>
  <c r="E1575" i="10" s="1"/>
  <c r="F1575" i="10"/>
  <c r="G1574" i="10" s="1"/>
  <c r="A1576" i="10"/>
  <c r="B1576" i="10" s="1"/>
  <c r="C1576" i="10"/>
  <c r="D1576" i="10"/>
  <c r="E1576" i="10" s="1"/>
  <c r="F1576" i="10"/>
  <c r="G1575" i="10" s="1"/>
  <c r="A1577" i="10"/>
  <c r="C1577" i="10"/>
  <c r="D1577" i="10"/>
  <c r="E1577" i="10" s="1"/>
  <c r="F1577" i="10"/>
  <c r="A1578" i="10"/>
  <c r="C1578" i="10"/>
  <c r="D1578" i="10"/>
  <c r="E1578" i="10"/>
  <c r="F1578" i="10"/>
  <c r="A1579" i="10"/>
  <c r="C1579" i="10"/>
  <c r="D1579" i="10"/>
  <c r="E1579" i="10" s="1"/>
  <c r="F1579" i="10"/>
  <c r="G1578" i="10" s="1"/>
  <c r="A1580" i="10"/>
  <c r="C1580" i="10"/>
  <c r="D1580" i="10"/>
  <c r="E1580" i="10" s="1"/>
  <c r="F1580" i="10"/>
  <c r="G1579" i="10" s="1"/>
  <c r="A1581" i="10"/>
  <c r="B1581" i="10" s="1"/>
  <c r="C1581" i="10"/>
  <c r="D1581" i="10"/>
  <c r="E1581" i="10" s="1"/>
  <c r="F1581" i="10"/>
  <c r="G1580" i="10" s="1"/>
  <c r="A1582" i="10"/>
  <c r="B1582" i="10" s="1"/>
  <c r="C1582" i="10"/>
  <c r="D1582" i="10"/>
  <c r="E1582" i="10" s="1"/>
  <c r="F1582" i="10"/>
  <c r="A1583" i="10"/>
  <c r="B1583" i="10" s="1"/>
  <c r="C1583" i="10"/>
  <c r="D1583" i="10"/>
  <c r="E1583" i="10" s="1"/>
  <c r="F1583" i="10"/>
  <c r="G1582" i="10" s="1"/>
  <c r="A1584" i="10"/>
  <c r="B1584" i="10" s="1"/>
  <c r="C1584" i="10"/>
  <c r="D1584" i="10"/>
  <c r="E1584" i="10" s="1"/>
  <c r="F1584" i="10"/>
  <c r="A1585" i="10"/>
  <c r="B1585" i="10" s="1"/>
  <c r="C1585" i="10"/>
  <c r="D1585" i="10"/>
  <c r="E1585" i="10" s="1"/>
  <c r="F1585" i="10"/>
  <c r="G1584" i="10" s="1"/>
  <c r="A1586" i="10"/>
  <c r="I1586" i="10" s="1"/>
  <c r="C1586" i="10"/>
  <c r="D1586" i="10"/>
  <c r="E1586" i="10" s="1"/>
  <c r="F1586" i="10"/>
  <c r="G1585" i="10" s="1"/>
  <c r="A1587" i="10"/>
  <c r="B1587" i="10" s="1"/>
  <c r="C1587" i="10"/>
  <c r="D1587" i="10"/>
  <c r="E1587" i="10" s="1"/>
  <c r="F1587" i="10"/>
  <c r="G1586" i="10" s="1"/>
  <c r="A1588" i="10"/>
  <c r="C1588" i="10"/>
  <c r="D1588" i="10"/>
  <c r="E1588" i="10" s="1"/>
  <c r="F1588" i="10"/>
  <c r="A1589" i="10"/>
  <c r="B1589" i="10" s="1"/>
  <c r="C1589" i="10"/>
  <c r="D1589" i="10"/>
  <c r="E1589" i="10" s="1"/>
  <c r="F1589" i="10"/>
  <c r="G1588" i="10" s="1"/>
  <c r="A1590" i="10"/>
  <c r="B1590" i="10" s="1"/>
  <c r="C1590" i="10"/>
  <c r="D1590" i="10"/>
  <c r="E1590" i="10" s="1"/>
  <c r="F1590" i="10"/>
  <c r="A1591" i="10"/>
  <c r="B1591" i="10" s="1"/>
  <c r="C1591" i="10"/>
  <c r="D1591" i="10"/>
  <c r="E1591" i="10" s="1"/>
  <c r="F1591" i="10"/>
  <c r="G1590" i="10" s="1"/>
  <c r="A1592" i="10"/>
  <c r="C1592" i="10"/>
  <c r="D1592" i="10"/>
  <c r="E1592" i="10" s="1"/>
  <c r="F1592" i="10"/>
  <c r="G1591" i="10" s="1"/>
  <c r="A1593" i="10"/>
  <c r="B1593" i="10" s="1"/>
  <c r="C1593" i="10"/>
  <c r="D1593" i="10"/>
  <c r="E1593" i="10" s="1"/>
  <c r="F1593" i="10"/>
  <c r="G1592" i="10" s="1"/>
  <c r="A1594" i="10"/>
  <c r="B1594" i="10" s="1"/>
  <c r="C1594" i="10"/>
  <c r="D1594" i="10"/>
  <c r="E1594" i="10" s="1"/>
  <c r="F1594" i="10"/>
  <c r="A1595" i="10"/>
  <c r="B1595" i="10" s="1"/>
  <c r="C1595" i="10"/>
  <c r="D1595" i="10"/>
  <c r="E1595" i="10" s="1"/>
  <c r="F1595" i="10"/>
  <c r="G1594" i="10" s="1"/>
  <c r="A1596" i="10"/>
  <c r="B1596" i="10" s="1"/>
  <c r="C1596" i="10"/>
  <c r="D1596" i="10"/>
  <c r="E1596" i="10" s="1"/>
  <c r="F1596" i="10"/>
  <c r="A1597" i="10"/>
  <c r="B1597" i="10" s="1"/>
  <c r="C1597" i="10"/>
  <c r="D1597" i="10"/>
  <c r="E1597" i="10" s="1"/>
  <c r="F1597" i="10"/>
  <c r="G1596" i="10" s="1"/>
  <c r="A1598" i="10"/>
  <c r="C1598" i="10"/>
  <c r="D1598" i="10"/>
  <c r="E1598" i="10" s="1"/>
  <c r="F1598" i="10"/>
  <c r="G1597" i="10" s="1"/>
  <c r="A1599" i="10"/>
  <c r="B1599" i="10" s="1"/>
  <c r="C1599" i="10"/>
  <c r="D1599" i="10"/>
  <c r="E1599" i="10"/>
  <c r="F1599" i="10"/>
  <c r="G1598" i="10" s="1"/>
  <c r="A1600" i="10"/>
  <c r="B1600" i="10" s="1"/>
  <c r="C1600" i="10"/>
  <c r="D1600" i="10"/>
  <c r="E1600" i="10" s="1"/>
  <c r="F1600" i="10"/>
  <c r="A1601" i="10"/>
  <c r="B1601" i="10" s="1"/>
  <c r="C1601" i="10"/>
  <c r="D1601" i="10"/>
  <c r="E1601" i="10" s="1"/>
  <c r="F1601" i="10"/>
  <c r="G1600" i="10" s="1"/>
  <c r="A1602" i="10"/>
  <c r="B1602" i="10" s="1"/>
  <c r="C1602" i="10"/>
  <c r="D1602" i="10"/>
  <c r="E1602" i="10" s="1"/>
  <c r="F1602" i="10"/>
  <c r="A1603" i="10"/>
  <c r="B1603" i="10" s="1"/>
  <c r="C1603" i="10"/>
  <c r="D1603" i="10"/>
  <c r="E1603" i="10" s="1"/>
  <c r="F1603" i="10"/>
  <c r="A1604" i="10"/>
  <c r="B1604" i="10" s="1"/>
  <c r="C1604" i="10"/>
  <c r="D1604" i="10"/>
  <c r="E1604" i="10" s="1"/>
  <c r="F1604" i="10"/>
  <c r="G1603" i="10" s="1"/>
  <c r="A1605" i="10"/>
  <c r="B1605" i="10" s="1"/>
  <c r="C1605" i="10"/>
  <c r="D1605" i="10"/>
  <c r="E1605" i="10" s="1"/>
  <c r="F1605" i="10"/>
  <c r="G1604" i="10" s="1"/>
  <c r="A1606" i="10"/>
  <c r="C1606" i="10"/>
  <c r="D1606" i="10"/>
  <c r="E1606" i="10" s="1"/>
  <c r="F1606" i="10"/>
  <c r="G1605" i="10" s="1"/>
  <c r="A1607" i="10"/>
  <c r="B1607" i="10" s="1"/>
  <c r="C1607" i="10"/>
  <c r="D1607" i="10"/>
  <c r="E1607" i="10" s="1"/>
  <c r="F1607" i="10"/>
  <c r="G1606" i="10" s="1"/>
  <c r="A1608" i="10"/>
  <c r="B1608" i="10" s="1"/>
  <c r="C1608" i="10"/>
  <c r="D1608" i="10"/>
  <c r="E1608" i="10" s="1"/>
  <c r="F1608" i="10"/>
  <c r="G1607" i="10" s="1"/>
  <c r="A1609" i="10"/>
  <c r="B1609" i="10" s="1"/>
  <c r="C1609" i="10"/>
  <c r="D1609" i="10"/>
  <c r="E1609" i="10" s="1"/>
  <c r="F1609" i="10"/>
  <c r="G1608" i="10" s="1"/>
  <c r="A1610" i="10"/>
  <c r="I1610" i="10" s="1"/>
  <c r="C1610" i="10"/>
  <c r="D1610" i="10"/>
  <c r="E1610" i="10" s="1"/>
  <c r="F1610" i="10"/>
  <c r="G1609" i="10" s="1"/>
  <c r="A1611" i="10"/>
  <c r="B1611" i="10" s="1"/>
  <c r="C1611" i="10"/>
  <c r="D1611" i="10"/>
  <c r="F1611" i="10"/>
  <c r="G1610" i="10" s="1"/>
  <c r="A1612" i="10"/>
  <c r="B1612" i="10" s="1"/>
  <c r="C1612" i="10"/>
  <c r="D1612" i="10"/>
  <c r="E1612" i="10" s="1"/>
  <c r="F1612" i="10"/>
  <c r="G1611" i="10" s="1"/>
  <c r="A1613" i="10"/>
  <c r="C1613" i="10"/>
  <c r="D1613" i="10"/>
  <c r="E1613" i="10" s="1"/>
  <c r="F1613" i="10"/>
  <c r="G1612" i="10" s="1"/>
  <c r="A1614" i="10"/>
  <c r="C1614" i="10"/>
  <c r="D1614" i="10"/>
  <c r="E1614" i="10" s="1"/>
  <c r="F1614" i="10"/>
  <c r="G1613" i="10" s="1"/>
  <c r="A1615" i="10"/>
  <c r="B1615" i="10" s="1"/>
  <c r="C1615" i="10"/>
  <c r="D1615" i="10"/>
  <c r="E1615" i="10" s="1"/>
  <c r="F1615" i="10"/>
  <c r="G1614" i="10" s="1"/>
  <c r="A1616" i="10"/>
  <c r="I1616" i="10" s="1"/>
  <c r="C1616" i="10"/>
  <c r="D1616" i="10"/>
  <c r="E1616" i="10" s="1"/>
  <c r="F1616" i="10"/>
  <c r="G1615" i="10" s="1"/>
  <c r="A1617" i="10"/>
  <c r="C1617" i="10"/>
  <c r="D1617" i="10"/>
  <c r="E1617" i="10" s="1"/>
  <c r="F1617" i="10"/>
  <c r="G1616" i="10" s="1"/>
  <c r="A1618" i="10"/>
  <c r="B1618" i="10" s="1"/>
  <c r="C1618" i="10"/>
  <c r="D1618" i="10"/>
  <c r="E1618" i="10" s="1"/>
  <c r="F1618" i="10"/>
  <c r="G1617" i="10" s="1"/>
  <c r="A1619" i="10"/>
  <c r="B1619" i="10" s="1"/>
  <c r="C1619" i="10"/>
  <c r="D1619" i="10"/>
  <c r="E1619" i="10" s="1"/>
  <c r="F1619" i="10"/>
  <c r="G1618" i="10" s="1"/>
  <c r="A1620" i="10"/>
  <c r="B1620" i="10" s="1"/>
  <c r="C1620" i="10"/>
  <c r="D1620" i="10"/>
  <c r="E1620" i="10" s="1"/>
  <c r="F1620" i="10"/>
  <c r="G1619" i="10" s="1"/>
  <c r="A1621" i="10"/>
  <c r="B1621" i="10" s="1"/>
  <c r="C1621" i="10"/>
  <c r="D1621" i="10"/>
  <c r="E1621" i="10" s="1"/>
  <c r="F1621" i="10"/>
  <c r="G1620" i="10" s="1"/>
  <c r="A1622" i="10"/>
  <c r="I1622" i="10" s="1"/>
  <c r="C1622" i="10"/>
  <c r="D1622" i="10"/>
  <c r="E1622" i="10" s="1"/>
  <c r="F1622" i="10"/>
  <c r="G1621" i="10" s="1"/>
  <c r="A1623" i="10"/>
  <c r="B1623" i="10" s="1"/>
  <c r="C1623" i="10"/>
  <c r="D1623" i="10"/>
  <c r="E1623" i="10" s="1"/>
  <c r="F1623" i="10"/>
  <c r="G1622" i="10" s="1"/>
  <c r="A1624" i="10"/>
  <c r="C1624" i="10"/>
  <c r="D1624" i="10"/>
  <c r="E1624" i="10" s="1"/>
  <c r="F1624" i="10"/>
  <c r="G1623" i="10" s="1"/>
  <c r="A1625" i="10"/>
  <c r="C1625" i="10"/>
  <c r="D1625" i="10"/>
  <c r="E1625" i="10" s="1"/>
  <c r="F1625" i="10"/>
  <c r="G1624" i="10" s="1"/>
  <c r="A1626" i="10"/>
  <c r="B1626" i="10" s="1"/>
  <c r="C1626" i="10"/>
  <c r="D1626" i="10"/>
  <c r="E1626" i="10" s="1"/>
  <c r="F1626" i="10"/>
  <c r="G1625" i="10" s="1"/>
  <c r="A1627" i="10"/>
  <c r="B1627" i="10" s="1"/>
  <c r="C1627" i="10"/>
  <c r="D1627" i="10"/>
  <c r="E1627" i="10" s="1"/>
  <c r="F1627" i="10"/>
  <c r="G1626" i="10" s="1"/>
  <c r="A1628" i="10"/>
  <c r="C1628" i="10"/>
  <c r="D1628" i="10"/>
  <c r="E1628" i="10" s="1"/>
  <c r="F1628" i="10"/>
  <c r="G1627" i="10" s="1"/>
  <c r="A1629" i="10"/>
  <c r="B1629" i="10" s="1"/>
  <c r="C1629" i="10"/>
  <c r="D1629" i="10"/>
  <c r="E1629" i="10" s="1"/>
  <c r="F1629" i="10"/>
  <c r="G1628" i="10" s="1"/>
  <c r="A1630" i="10"/>
  <c r="C1630" i="10"/>
  <c r="D1630" i="10"/>
  <c r="E1630" i="10" s="1"/>
  <c r="F1630" i="10"/>
  <c r="G1629" i="10" s="1"/>
  <c r="A1631" i="10"/>
  <c r="C1631" i="10"/>
  <c r="D1631" i="10"/>
  <c r="E1631" i="10"/>
  <c r="F1631" i="10"/>
  <c r="G1630" i="10" s="1"/>
  <c r="A1632" i="10"/>
  <c r="B1632" i="10" s="1"/>
  <c r="C1632" i="10"/>
  <c r="D1632" i="10"/>
  <c r="E1632" i="10" s="1"/>
  <c r="F1632" i="10"/>
  <c r="G1631" i="10" s="1"/>
  <c r="A1633" i="10"/>
  <c r="C1633" i="10"/>
  <c r="D1633" i="10"/>
  <c r="E1633" i="10" s="1"/>
  <c r="F1633" i="10"/>
  <c r="G1632" i="10" s="1"/>
  <c r="A1634" i="10"/>
  <c r="C1634" i="10"/>
  <c r="D1634" i="10"/>
  <c r="E1634" i="10" s="1"/>
  <c r="F1634" i="10"/>
  <c r="G1633" i="10" s="1"/>
  <c r="A1635" i="10"/>
  <c r="C1635" i="10"/>
  <c r="D1635" i="10"/>
  <c r="E1635" i="10" s="1"/>
  <c r="F1635" i="10"/>
  <c r="G1634" i="10" s="1"/>
  <c r="A1636" i="10"/>
  <c r="B1636" i="10" s="1"/>
  <c r="C1636" i="10"/>
  <c r="D1636" i="10"/>
  <c r="E1636" i="10" s="1"/>
  <c r="F1636" i="10"/>
  <c r="G1635" i="10" s="1"/>
  <c r="A1637" i="10"/>
  <c r="C1637" i="10"/>
  <c r="D1637" i="10"/>
  <c r="E1637" i="10" s="1"/>
  <c r="F1637" i="10"/>
  <c r="G1636" i="10" s="1"/>
  <c r="A1638" i="10"/>
  <c r="C1638" i="10"/>
  <c r="D1638" i="10"/>
  <c r="E1638" i="10"/>
  <c r="F1638" i="10"/>
  <c r="G1637" i="10" s="1"/>
  <c r="A1639" i="10"/>
  <c r="B1639" i="10" s="1"/>
  <c r="C1639" i="10"/>
  <c r="D1639" i="10"/>
  <c r="E1639" i="10" s="1"/>
  <c r="F1639" i="10"/>
  <c r="G1638" i="10" s="1"/>
  <c r="A1640" i="10"/>
  <c r="C1640" i="10"/>
  <c r="D1640" i="10"/>
  <c r="E1640" i="10" s="1"/>
  <c r="F1640" i="10"/>
  <c r="G1639" i="10" s="1"/>
  <c r="A1641" i="10"/>
  <c r="B1641" i="10" s="1"/>
  <c r="C1641" i="10"/>
  <c r="D1641" i="10"/>
  <c r="E1641" i="10" s="1"/>
  <c r="F1641" i="10"/>
  <c r="G1640" i="10" s="1"/>
  <c r="A1642" i="10"/>
  <c r="B1642" i="10" s="1"/>
  <c r="C1642" i="10"/>
  <c r="D1642" i="10"/>
  <c r="E1642" i="10" s="1"/>
  <c r="F1642" i="10"/>
  <c r="G1641" i="10" s="1"/>
  <c r="A1643" i="10"/>
  <c r="B1643" i="10" s="1"/>
  <c r="C1643" i="10"/>
  <c r="D1643" i="10"/>
  <c r="E1643" i="10" s="1"/>
  <c r="F1643" i="10"/>
  <c r="G1642" i="10" s="1"/>
  <c r="A1644" i="10"/>
  <c r="C1644" i="10"/>
  <c r="D1644" i="10"/>
  <c r="E1644" i="10" s="1"/>
  <c r="F1644" i="10"/>
  <c r="G1643" i="10" s="1"/>
  <c r="A1645" i="10"/>
  <c r="B1645" i="10" s="1"/>
  <c r="C1645" i="10"/>
  <c r="D1645" i="10"/>
  <c r="E1645" i="10" s="1"/>
  <c r="F1645" i="10"/>
  <c r="G1644" i="10" s="1"/>
  <c r="A1646" i="10"/>
  <c r="I1646" i="10" s="1"/>
  <c r="C1646" i="10"/>
  <c r="D1646" i="10"/>
  <c r="E1646" i="10" s="1"/>
  <c r="F1646" i="10"/>
  <c r="G1645" i="10" s="1"/>
  <c r="A1647" i="10"/>
  <c r="B1647" i="10" s="1"/>
  <c r="C1647" i="10"/>
  <c r="D1647" i="10"/>
  <c r="E1647" i="10" s="1"/>
  <c r="F1647" i="10"/>
  <c r="G1646" i="10" s="1"/>
  <c r="A1648" i="10"/>
  <c r="B1648" i="10" s="1"/>
  <c r="C1648" i="10"/>
  <c r="D1648" i="10"/>
  <c r="E1648" i="10" s="1"/>
  <c r="F1648" i="10"/>
  <c r="G1647" i="10" s="1"/>
  <c r="A1649" i="10"/>
  <c r="B1649" i="10" s="1"/>
  <c r="C1649" i="10"/>
  <c r="D1649" i="10"/>
  <c r="E1649" i="10" s="1"/>
  <c r="F1649" i="10"/>
  <c r="G1648" i="10" s="1"/>
  <c r="A1650" i="10"/>
  <c r="C1650" i="10"/>
  <c r="D1650" i="10"/>
  <c r="E1650" i="10" s="1"/>
  <c r="F1650" i="10"/>
  <c r="G1649" i="10" s="1"/>
  <c r="A1651" i="10"/>
  <c r="B1651" i="10" s="1"/>
  <c r="C1651" i="10"/>
  <c r="D1651" i="10"/>
  <c r="E1651" i="10" s="1"/>
  <c r="F1651" i="10"/>
  <c r="G1650" i="10" s="1"/>
  <c r="A1652" i="10"/>
  <c r="B1652" i="10" s="1"/>
  <c r="C1652" i="10"/>
  <c r="D1652" i="10"/>
  <c r="E1652" i="10" s="1"/>
  <c r="F1652" i="10"/>
  <c r="G1651" i="10" s="1"/>
  <c r="A1653" i="10"/>
  <c r="C1653" i="10"/>
  <c r="D1653" i="10"/>
  <c r="E1653" i="10" s="1"/>
  <c r="F1653" i="10"/>
  <c r="G1652" i="10" s="1"/>
  <c r="A1654" i="10"/>
  <c r="C1654" i="10"/>
  <c r="D1654" i="10"/>
  <c r="E1654" i="10" s="1"/>
  <c r="F1654" i="10"/>
  <c r="G1653" i="10" s="1"/>
  <c r="A1655" i="10"/>
  <c r="B1655" i="10" s="1"/>
  <c r="C1655" i="10"/>
  <c r="D1655" i="10"/>
  <c r="F1655" i="10"/>
  <c r="G1654" i="10" s="1"/>
  <c r="A1656" i="10"/>
  <c r="B1656" i="10" s="1"/>
  <c r="C1656" i="10"/>
  <c r="D1656" i="10"/>
  <c r="E1656" i="10" s="1"/>
  <c r="F1656" i="10"/>
  <c r="G1655" i="10" s="1"/>
  <c r="A1657" i="10"/>
  <c r="B1657" i="10" s="1"/>
  <c r="C1657" i="10"/>
  <c r="D1657" i="10"/>
  <c r="E1657" i="10" s="1"/>
  <c r="F1657" i="10"/>
  <c r="G1656" i="10" s="1"/>
  <c r="A1658" i="10"/>
  <c r="B1658" i="10" s="1"/>
  <c r="C1658" i="10"/>
  <c r="D1658" i="10"/>
  <c r="E1658" i="10" s="1"/>
  <c r="F1658" i="10"/>
  <c r="G1657" i="10" s="1"/>
  <c r="A1659" i="10"/>
  <c r="C1659" i="10"/>
  <c r="D1659" i="10"/>
  <c r="E1659" i="10" s="1"/>
  <c r="F1659" i="10"/>
  <c r="G1658" i="10" s="1"/>
  <c r="A1660" i="10"/>
  <c r="C1660" i="10"/>
  <c r="D1660" i="10"/>
  <c r="E1660" i="10" s="1"/>
  <c r="F1660" i="10"/>
  <c r="G1659" i="10" s="1"/>
  <c r="A1661" i="10"/>
  <c r="B1661" i="10" s="1"/>
  <c r="C1661" i="10"/>
  <c r="D1661" i="10"/>
  <c r="E1661" i="10" s="1"/>
  <c r="F1661" i="10"/>
  <c r="G1660" i="10" s="1"/>
  <c r="A1662" i="10"/>
  <c r="C1662" i="10"/>
  <c r="D1662" i="10"/>
  <c r="E1662" i="10" s="1"/>
  <c r="F1662" i="10"/>
  <c r="G1661" i="10" s="1"/>
  <c r="A1663" i="10"/>
  <c r="B1663" i="10" s="1"/>
  <c r="C1663" i="10"/>
  <c r="D1663" i="10"/>
  <c r="E1663" i="10" s="1"/>
  <c r="F1663" i="10"/>
  <c r="G1662" i="10" s="1"/>
  <c r="A1664" i="10"/>
  <c r="I1664" i="10" s="1"/>
  <c r="J1664" i="10" s="1"/>
  <c r="C1664" i="10"/>
  <c r="D1664" i="10"/>
  <c r="E1664" i="10" s="1"/>
  <c r="F1664" i="10"/>
  <c r="G1663" i="10" s="1"/>
  <c r="A1665" i="10"/>
  <c r="B1665" i="10" s="1"/>
  <c r="C1665" i="10"/>
  <c r="D1665" i="10"/>
  <c r="E1665" i="10" s="1"/>
  <c r="F1665" i="10"/>
  <c r="G1664" i="10" s="1"/>
  <c r="A1666" i="10"/>
  <c r="C1666" i="10"/>
  <c r="D1666" i="10"/>
  <c r="E1666" i="10" s="1"/>
  <c r="F1666" i="10"/>
  <c r="G1665" i="10" s="1"/>
  <c r="A1667" i="10"/>
  <c r="B1667" i="10" s="1"/>
  <c r="C1667" i="10"/>
  <c r="D1667" i="10"/>
  <c r="E1667" i="10" s="1"/>
  <c r="F1667" i="10"/>
  <c r="G1666" i="10" s="1"/>
  <c r="A1668" i="10"/>
  <c r="B1668" i="10" s="1"/>
  <c r="C1668" i="10"/>
  <c r="D1668" i="10"/>
  <c r="E1668" i="10" s="1"/>
  <c r="F1668" i="10"/>
  <c r="G1667" i="10" s="1"/>
  <c r="A1669" i="10"/>
  <c r="B1669" i="10" s="1"/>
  <c r="C1669" i="10"/>
  <c r="D1669" i="10"/>
  <c r="E1669" i="10" s="1"/>
  <c r="F1669" i="10"/>
  <c r="G1668" i="10" s="1"/>
  <c r="A1670" i="10"/>
  <c r="B1670" i="10" s="1"/>
  <c r="C1670" i="10"/>
  <c r="D1670" i="10"/>
  <c r="E1670" i="10" s="1"/>
  <c r="F1670" i="10"/>
  <c r="G1669" i="10" s="1"/>
  <c r="A1671" i="10"/>
  <c r="C1671" i="10"/>
  <c r="D1671" i="10"/>
  <c r="E1671" i="10" s="1"/>
  <c r="F1671" i="10"/>
  <c r="G1670" i="10" s="1"/>
  <c r="A1672" i="10"/>
  <c r="C1672" i="10"/>
  <c r="D1672" i="10"/>
  <c r="E1672" i="10" s="1"/>
  <c r="F1672" i="10"/>
  <c r="G1671" i="10" s="1"/>
  <c r="A1673" i="10"/>
  <c r="B1673" i="10" s="1"/>
  <c r="C1673" i="10"/>
  <c r="D1673" i="10"/>
  <c r="E1673" i="10" s="1"/>
  <c r="F1673" i="10"/>
  <c r="G1672" i="10" s="1"/>
  <c r="A1674" i="10"/>
  <c r="C1674" i="10"/>
  <c r="D1674" i="10"/>
  <c r="E1674" i="10" s="1"/>
  <c r="F1674" i="10"/>
  <c r="G1673" i="10" s="1"/>
  <c r="A1675" i="10"/>
  <c r="C1675" i="10"/>
  <c r="D1675" i="10"/>
  <c r="E1675" i="10" s="1"/>
  <c r="F1675" i="10"/>
  <c r="G1674" i="10" s="1"/>
  <c r="A1676" i="10"/>
  <c r="B1676" i="10" s="1"/>
  <c r="C1676" i="10"/>
  <c r="D1676" i="10"/>
  <c r="E1676" i="10" s="1"/>
  <c r="F1676" i="10"/>
  <c r="G1675" i="10" s="1"/>
  <c r="A1677" i="10"/>
  <c r="C1677" i="10"/>
  <c r="D1677" i="10"/>
  <c r="E1677" i="10" s="1"/>
  <c r="F1677" i="10"/>
  <c r="G1676" i="10" s="1"/>
  <c r="A1678" i="10"/>
  <c r="B1678" i="10" s="1"/>
  <c r="C1678" i="10"/>
  <c r="D1678" i="10"/>
  <c r="E1678" i="10" s="1"/>
  <c r="F1678" i="10"/>
  <c r="G1677" i="10" s="1"/>
  <c r="A1679" i="10"/>
  <c r="C1679" i="10"/>
  <c r="D1679" i="10"/>
  <c r="E1679" i="10" s="1"/>
  <c r="F1679" i="10"/>
  <c r="G1678" i="10" s="1"/>
  <c r="A1680" i="10"/>
  <c r="B1680" i="10" s="1"/>
  <c r="C1680" i="10"/>
  <c r="D1680" i="10"/>
  <c r="E1680" i="10" s="1"/>
  <c r="F1680" i="10"/>
  <c r="G1679" i="10" s="1"/>
  <c r="A1681" i="10"/>
  <c r="B1681" i="10" s="1"/>
  <c r="C1681" i="10"/>
  <c r="D1681" i="10"/>
  <c r="E1681" i="10" s="1"/>
  <c r="F1681" i="10"/>
  <c r="G1680" i="10" s="1"/>
  <c r="A1682" i="10"/>
  <c r="I1682" i="10" s="1"/>
  <c r="C1682" i="10"/>
  <c r="D1682" i="10"/>
  <c r="E1682" i="10" s="1"/>
  <c r="F1682" i="10"/>
  <c r="G1681" i="10" s="1"/>
  <c r="A1683" i="10"/>
  <c r="C1683" i="10"/>
  <c r="D1683" i="10"/>
  <c r="E1683" i="10" s="1"/>
  <c r="F1683" i="10"/>
  <c r="G1682" i="10" s="1"/>
  <c r="A1684" i="10"/>
  <c r="B1684" i="10" s="1"/>
  <c r="C1684" i="10"/>
  <c r="D1684" i="10"/>
  <c r="E1684" i="10" s="1"/>
  <c r="F1684" i="10"/>
  <c r="G1683" i="10" s="1"/>
  <c r="A1685" i="10"/>
  <c r="B1685" i="10" s="1"/>
  <c r="C1685" i="10"/>
  <c r="D1685" i="10"/>
  <c r="E1685" i="10" s="1"/>
  <c r="F1685" i="10"/>
  <c r="G1684" i="10" s="1"/>
  <c r="A1686" i="10"/>
  <c r="C1686" i="10"/>
  <c r="D1686" i="10"/>
  <c r="E1686" i="10" s="1"/>
  <c r="F1686" i="10"/>
  <c r="G1685" i="10" s="1"/>
  <c r="A1687" i="10"/>
  <c r="C1687" i="10"/>
  <c r="D1687" i="10"/>
  <c r="E1687" i="10" s="1"/>
  <c r="F1687" i="10"/>
  <c r="G1686" i="10" s="1"/>
  <c r="A1688" i="10"/>
  <c r="B1688" i="10" s="1"/>
  <c r="C1688" i="10"/>
  <c r="D1688" i="10"/>
  <c r="E1688" i="10" s="1"/>
  <c r="F1688" i="10"/>
  <c r="G1687" i="10" s="1"/>
  <c r="A1689" i="10"/>
  <c r="B1689" i="10" s="1"/>
  <c r="C1689" i="10"/>
  <c r="D1689" i="10"/>
  <c r="E1689" i="10" s="1"/>
  <c r="F1689" i="10"/>
  <c r="G1688" i="10" s="1"/>
  <c r="A1690" i="10"/>
  <c r="B1690" i="10" s="1"/>
  <c r="C1690" i="10"/>
  <c r="D1690" i="10"/>
  <c r="E1690" i="10" s="1"/>
  <c r="F1690" i="10"/>
  <c r="G1689" i="10" s="1"/>
  <c r="A1691" i="10"/>
  <c r="B1691" i="10" s="1"/>
  <c r="C1691" i="10"/>
  <c r="D1691" i="10"/>
  <c r="E1691" i="10" s="1"/>
  <c r="F1691" i="10"/>
  <c r="G1690" i="10" s="1"/>
  <c r="A1692" i="10"/>
  <c r="B1692" i="10" s="1"/>
  <c r="C1692" i="10"/>
  <c r="D1692" i="10"/>
  <c r="E1692" i="10" s="1"/>
  <c r="F1692" i="10"/>
  <c r="G1691" i="10" s="1"/>
  <c r="A1693" i="10"/>
  <c r="B1693" i="10" s="1"/>
  <c r="C1693" i="10"/>
  <c r="D1693" i="10"/>
  <c r="E1693" i="10" s="1"/>
  <c r="F1693" i="10"/>
  <c r="G1692" i="10" s="1"/>
  <c r="A1694" i="10"/>
  <c r="C1694" i="10"/>
  <c r="D1694" i="10"/>
  <c r="E1694" i="10" s="1"/>
  <c r="F1694" i="10"/>
  <c r="G1693" i="10" s="1"/>
  <c r="A1695" i="10"/>
  <c r="B1695" i="10" s="1"/>
  <c r="C1695" i="10"/>
  <c r="D1695" i="10"/>
  <c r="E1695" i="10" s="1"/>
  <c r="F1695" i="10"/>
  <c r="G1694" i="10" s="1"/>
  <c r="A1696" i="10"/>
  <c r="B1696" i="10" s="1"/>
  <c r="C1696" i="10"/>
  <c r="D1696" i="10"/>
  <c r="E1696" i="10" s="1"/>
  <c r="F1696" i="10"/>
  <c r="G1695" i="10" s="1"/>
  <c r="A1697" i="10"/>
  <c r="B1697" i="10" s="1"/>
  <c r="C1697" i="10"/>
  <c r="D1697" i="10"/>
  <c r="E1697" i="10" s="1"/>
  <c r="F1697" i="10"/>
  <c r="G1696" i="10" s="1"/>
  <c r="A1698" i="10"/>
  <c r="B1698" i="10" s="1"/>
  <c r="C1698" i="10"/>
  <c r="D1698" i="10"/>
  <c r="E1698" i="10" s="1"/>
  <c r="F1698" i="10"/>
  <c r="G1697" i="10" s="1"/>
  <c r="A1699" i="10"/>
  <c r="C1699" i="10"/>
  <c r="D1699" i="10"/>
  <c r="E1699" i="10" s="1"/>
  <c r="F1699" i="10"/>
  <c r="G1698" i="10" s="1"/>
  <c r="A1700" i="10"/>
  <c r="B1700" i="10" s="1"/>
  <c r="C1700" i="10"/>
  <c r="D1700" i="10"/>
  <c r="E1700" i="10" s="1"/>
  <c r="F1700" i="10"/>
  <c r="G1699" i="10" s="1"/>
  <c r="A1701" i="10"/>
  <c r="C1701" i="10"/>
  <c r="D1701" i="10"/>
  <c r="E1701" i="10" s="1"/>
  <c r="F1701" i="10"/>
  <c r="G1700" i="10" s="1"/>
  <c r="A1702" i="10"/>
  <c r="C1702" i="10"/>
  <c r="D1702" i="10"/>
  <c r="E1702" i="10" s="1"/>
  <c r="F1702" i="10"/>
  <c r="G1701" i="10" s="1"/>
  <c r="A1703" i="10"/>
  <c r="B1703" i="10" s="1"/>
  <c r="C1703" i="10"/>
  <c r="D1703" i="10"/>
  <c r="E1703" i="10" s="1"/>
  <c r="F1703" i="10"/>
  <c r="G1702" i="10" s="1"/>
  <c r="A1704" i="10"/>
  <c r="B1704" i="10" s="1"/>
  <c r="C1704" i="10"/>
  <c r="D1704" i="10"/>
  <c r="E1704" i="10" s="1"/>
  <c r="F1704" i="10"/>
  <c r="G1703" i="10" s="1"/>
  <c r="A1705" i="10"/>
  <c r="B1705" i="10" s="1"/>
  <c r="C1705" i="10"/>
  <c r="D1705" i="10"/>
  <c r="E1705" i="10" s="1"/>
  <c r="F1705" i="10"/>
  <c r="G1704" i="10" s="1"/>
  <c r="A1706" i="10"/>
  <c r="B1706" i="10" s="1"/>
  <c r="C1706" i="10"/>
  <c r="D1706" i="10"/>
  <c r="E1706" i="10" s="1"/>
  <c r="F1706" i="10"/>
  <c r="G1705" i="10" s="1"/>
  <c r="A1707" i="10"/>
  <c r="B1707" i="10" s="1"/>
  <c r="C1707" i="10"/>
  <c r="D1707" i="10"/>
  <c r="E1707" i="10" s="1"/>
  <c r="F1707" i="10"/>
  <c r="G1706" i="10" s="1"/>
  <c r="A1708" i="10"/>
  <c r="C1708" i="10"/>
  <c r="D1708" i="10"/>
  <c r="E1708" i="10" s="1"/>
  <c r="F1708" i="10"/>
  <c r="G1707" i="10" s="1"/>
  <c r="A1709" i="10"/>
  <c r="C1709" i="10"/>
  <c r="D1709" i="10"/>
  <c r="E1709" i="10" s="1"/>
  <c r="F1709" i="10"/>
  <c r="G1708" i="10" s="1"/>
  <c r="A1710" i="10"/>
  <c r="B1710" i="10" s="1"/>
  <c r="C1710" i="10"/>
  <c r="D1710" i="10"/>
  <c r="E1710" i="10" s="1"/>
  <c r="F1710" i="10"/>
  <c r="G1709" i="10" s="1"/>
  <c r="A1711" i="10"/>
  <c r="C1711" i="10"/>
  <c r="D1711" i="10"/>
  <c r="E1711" i="10" s="1"/>
  <c r="F1711" i="10"/>
  <c r="G1710" i="10" s="1"/>
  <c r="A1712" i="10"/>
  <c r="C1712" i="10"/>
  <c r="D1712" i="10"/>
  <c r="E1712" i="10" s="1"/>
  <c r="F1712" i="10"/>
  <c r="G1711" i="10" s="1"/>
  <c r="A1713" i="10"/>
  <c r="C1713" i="10"/>
  <c r="D1713" i="10"/>
  <c r="E1713" i="10" s="1"/>
  <c r="F1713" i="10"/>
  <c r="G1712" i="10" s="1"/>
  <c r="A1714" i="10"/>
  <c r="B1714" i="10" s="1"/>
  <c r="C1714" i="10"/>
  <c r="D1714" i="10"/>
  <c r="F1714" i="10"/>
  <c r="G1713" i="10" s="1"/>
  <c r="A1715" i="10"/>
  <c r="C1715" i="10"/>
  <c r="D1715" i="10"/>
  <c r="E1715" i="10" s="1"/>
  <c r="F1715" i="10"/>
  <c r="G1714" i="10" s="1"/>
  <c r="A1716" i="10"/>
  <c r="C1716" i="10"/>
  <c r="D1716" i="10"/>
  <c r="E1716" i="10" s="1"/>
  <c r="F1716" i="10"/>
  <c r="G1715" i="10" s="1"/>
  <c r="A1717" i="10"/>
  <c r="B1717" i="10" s="1"/>
  <c r="C1717" i="10"/>
  <c r="D1717" i="10"/>
  <c r="E1717" i="10" s="1"/>
  <c r="F1717" i="10"/>
  <c r="G1716" i="10" s="1"/>
  <c r="A1718" i="10"/>
  <c r="C1718" i="10"/>
  <c r="D1718" i="10"/>
  <c r="E1718" i="10"/>
  <c r="F1718" i="10"/>
  <c r="G1717" i="10" s="1"/>
  <c r="A1719" i="10"/>
  <c r="B1719" i="10" s="1"/>
  <c r="C1719" i="10"/>
  <c r="D1719" i="10"/>
  <c r="E1719" i="10" s="1"/>
  <c r="F1719" i="10"/>
  <c r="G1718" i="10" s="1"/>
  <c r="A1720" i="10"/>
  <c r="B1720" i="10" s="1"/>
  <c r="C1720" i="10"/>
  <c r="D1720" i="10"/>
  <c r="E1720" i="10" s="1"/>
  <c r="F1720" i="10"/>
  <c r="G1719" i="10" s="1"/>
  <c r="A1721" i="10"/>
  <c r="B1721" i="10" s="1"/>
  <c r="C1721" i="10"/>
  <c r="D1721" i="10"/>
  <c r="E1721" i="10" s="1"/>
  <c r="F1721" i="10"/>
  <c r="G1720" i="10" s="1"/>
  <c r="A1722" i="10"/>
  <c r="B1722" i="10" s="1"/>
  <c r="C1722" i="10"/>
  <c r="D1722" i="10"/>
  <c r="E1722" i="10" s="1"/>
  <c r="F1722" i="10"/>
  <c r="G1721" i="10" s="1"/>
  <c r="A1723" i="10"/>
  <c r="B1723" i="10" s="1"/>
  <c r="C1723" i="10"/>
  <c r="D1723" i="10"/>
  <c r="E1723" i="10" s="1"/>
  <c r="F1723" i="10"/>
  <c r="G1722" i="10" s="1"/>
  <c r="A1724" i="10"/>
  <c r="C1724" i="10"/>
  <c r="D1724" i="10"/>
  <c r="E1724" i="10" s="1"/>
  <c r="F1724" i="10"/>
  <c r="G1723" i="10" s="1"/>
  <c r="A1725" i="10"/>
  <c r="B1725" i="10" s="1"/>
  <c r="C1725" i="10"/>
  <c r="D1725" i="10"/>
  <c r="E1725" i="10" s="1"/>
  <c r="F1725" i="10"/>
  <c r="G1724" i="10" s="1"/>
  <c r="A1726" i="10"/>
  <c r="B1726" i="10" s="1"/>
  <c r="C1726" i="10"/>
  <c r="D1726" i="10"/>
  <c r="E1726" i="10" s="1"/>
  <c r="F1726" i="10"/>
  <c r="G1725" i="10" s="1"/>
  <c r="A1727" i="10"/>
  <c r="B1727" i="10" s="1"/>
  <c r="C1727" i="10"/>
  <c r="D1727" i="10"/>
  <c r="E1727" i="10"/>
  <c r="F1727" i="10"/>
  <c r="G1726" i="10" s="1"/>
  <c r="A1728" i="10"/>
  <c r="B1728" i="10" s="1"/>
  <c r="C1728" i="10"/>
  <c r="D1728" i="10"/>
  <c r="E1728" i="10" s="1"/>
  <c r="F1728" i="10"/>
  <c r="G1727" i="10" s="1"/>
  <c r="I1728" i="10"/>
  <c r="A1729" i="10"/>
  <c r="B1729" i="10" s="1"/>
  <c r="C1729" i="10"/>
  <c r="D1729" i="10"/>
  <c r="E1729" i="10" s="1"/>
  <c r="F1729" i="10"/>
  <c r="G1728" i="10" s="1"/>
  <c r="A1730" i="10"/>
  <c r="C1730" i="10"/>
  <c r="D1730" i="10"/>
  <c r="E1730" i="10" s="1"/>
  <c r="F1730" i="10"/>
  <c r="G1729" i="10" s="1"/>
  <c r="A1731" i="10"/>
  <c r="B1731" i="10" s="1"/>
  <c r="C1731" i="10"/>
  <c r="D1731" i="10"/>
  <c r="E1731" i="10" s="1"/>
  <c r="F1731" i="10"/>
  <c r="G1730" i="10" s="1"/>
  <c r="A1732" i="10"/>
  <c r="B1732" i="10" s="1"/>
  <c r="C1732" i="10"/>
  <c r="D1732" i="10"/>
  <c r="E1732" i="10" s="1"/>
  <c r="F1732" i="10"/>
  <c r="G1731" i="10" s="1"/>
  <c r="A1733" i="10"/>
  <c r="B1733" i="10" s="1"/>
  <c r="C1733" i="10"/>
  <c r="D1733" i="10"/>
  <c r="E1733" i="10" s="1"/>
  <c r="F1733" i="10"/>
  <c r="G1732" i="10" s="1"/>
  <c r="A1734" i="10"/>
  <c r="C1734" i="10"/>
  <c r="D1734" i="10"/>
  <c r="E1734" i="10" s="1"/>
  <c r="F1734" i="10"/>
  <c r="G1733" i="10" s="1"/>
  <c r="A1735" i="10"/>
  <c r="C1735" i="10"/>
  <c r="D1735" i="10"/>
  <c r="E1735" i="10" s="1"/>
  <c r="F1735" i="10"/>
  <c r="G1734" i="10" s="1"/>
  <c r="A1736" i="10"/>
  <c r="B1736" i="10" s="1"/>
  <c r="C1736" i="10"/>
  <c r="D1736" i="10"/>
  <c r="E1736" i="10" s="1"/>
  <c r="F1736" i="10"/>
  <c r="G1735" i="10" s="1"/>
  <c r="A1737" i="10"/>
  <c r="B1737" i="10" s="1"/>
  <c r="C1737" i="10"/>
  <c r="D1737" i="10"/>
  <c r="E1737" i="10" s="1"/>
  <c r="F1737" i="10"/>
  <c r="G1736" i="10" s="1"/>
  <c r="A1738" i="10"/>
  <c r="B1738" i="10" s="1"/>
  <c r="C1738" i="10"/>
  <c r="D1738" i="10"/>
  <c r="E1738" i="10" s="1"/>
  <c r="F1738" i="10"/>
  <c r="G1737" i="10" s="1"/>
  <c r="A1739" i="10"/>
  <c r="B1739" i="10" s="1"/>
  <c r="C1739" i="10"/>
  <c r="D1739" i="10"/>
  <c r="E1739" i="10" s="1"/>
  <c r="F1739" i="10"/>
  <c r="G1738" i="10" s="1"/>
  <c r="A1740" i="10"/>
  <c r="C1740" i="10"/>
  <c r="D1740" i="10"/>
  <c r="E1740" i="10" s="1"/>
  <c r="F1740" i="10"/>
  <c r="G1739" i="10" s="1"/>
  <c r="A1741" i="10"/>
  <c r="C1741" i="10"/>
  <c r="D1741" i="10"/>
  <c r="E1741" i="10" s="1"/>
  <c r="F1741" i="10"/>
  <c r="G1740" i="10" s="1"/>
  <c r="A1742" i="10"/>
  <c r="B1742" i="10" s="1"/>
  <c r="C1742" i="10"/>
  <c r="D1742" i="10"/>
  <c r="E1742" i="10" s="1"/>
  <c r="F1742" i="10"/>
  <c r="G1741" i="10" s="1"/>
  <c r="A1743" i="10"/>
  <c r="B1743" i="10" s="1"/>
  <c r="C1743" i="10"/>
  <c r="D1743" i="10"/>
  <c r="E1743" i="10" s="1"/>
  <c r="F1743" i="10"/>
  <c r="G1742" i="10" s="1"/>
  <c r="A1744" i="10"/>
  <c r="B1744" i="10" s="1"/>
  <c r="C1744" i="10"/>
  <c r="D1744" i="10"/>
  <c r="E1744" i="10" s="1"/>
  <c r="F1744" i="10"/>
  <c r="G1743" i="10" s="1"/>
  <c r="A1745" i="10"/>
  <c r="B1745" i="10" s="1"/>
  <c r="C1745" i="10"/>
  <c r="D1745" i="10"/>
  <c r="E1745" i="10" s="1"/>
  <c r="F1745" i="10"/>
  <c r="G1744" i="10" s="1"/>
  <c r="A1746" i="10"/>
  <c r="C1746" i="10"/>
  <c r="D1746" i="10"/>
  <c r="E1746" i="10" s="1"/>
  <c r="F1746" i="10"/>
  <c r="G1745" i="10" s="1"/>
  <c r="A1747" i="10"/>
  <c r="B1747" i="10" s="1"/>
  <c r="C1747" i="10"/>
  <c r="D1747" i="10"/>
  <c r="E1747" i="10" s="1"/>
  <c r="F1747" i="10"/>
  <c r="G1746" i="10" s="1"/>
  <c r="A1748" i="10"/>
  <c r="B1748" i="10" s="1"/>
  <c r="C1748" i="10"/>
  <c r="D1748" i="10"/>
  <c r="E1748" i="10" s="1"/>
  <c r="F1748" i="10"/>
  <c r="G1747" i="10" s="1"/>
  <c r="A1749" i="10"/>
  <c r="B1749" i="10" s="1"/>
  <c r="C1749" i="10"/>
  <c r="D1749" i="10"/>
  <c r="E1749" i="10"/>
  <c r="F1749" i="10"/>
  <c r="G1748" i="10" s="1"/>
  <c r="A1750" i="10"/>
  <c r="B1750" i="10" s="1"/>
  <c r="C1750" i="10"/>
  <c r="D1750" i="10"/>
  <c r="E1750" i="10" s="1"/>
  <c r="F1750" i="10"/>
  <c r="A1751" i="10"/>
  <c r="B1751" i="10" s="1"/>
  <c r="C1751" i="10"/>
  <c r="D1751" i="10"/>
  <c r="E1751" i="10" s="1"/>
  <c r="F1751" i="10"/>
  <c r="A1752" i="10"/>
  <c r="B1752" i="10" s="1"/>
  <c r="C1752" i="10"/>
  <c r="D1752" i="10"/>
  <c r="E1752" i="10" s="1"/>
  <c r="F1752" i="10"/>
  <c r="G1751" i="10" s="1"/>
  <c r="A1753" i="10"/>
  <c r="B1753" i="10" s="1"/>
  <c r="C1753" i="10"/>
  <c r="D1753" i="10"/>
  <c r="E1753" i="10"/>
  <c r="F1753" i="10"/>
  <c r="G1752" i="10" s="1"/>
  <c r="A1754" i="10"/>
  <c r="C1754" i="10"/>
  <c r="D1754" i="10"/>
  <c r="E1754" i="10" s="1"/>
  <c r="F1754" i="10"/>
  <c r="G1753" i="10" s="1"/>
  <c r="A1755" i="10"/>
  <c r="B1755" i="10" s="1"/>
  <c r="C1755" i="10"/>
  <c r="D1755" i="10"/>
  <c r="E1755" i="10" s="1"/>
  <c r="F1755" i="10"/>
  <c r="G1754" i="10" s="1"/>
  <c r="A1756" i="10"/>
  <c r="C1756" i="10"/>
  <c r="D1756" i="10"/>
  <c r="E1756" i="10" s="1"/>
  <c r="F1756" i="10"/>
  <c r="G1755" i="10" s="1"/>
  <c r="A1757" i="10"/>
  <c r="B1757" i="10" s="1"/>
  <c r="C1757" i="10"/>
  <c r="D1757" i="10"/>
  <c r="E1757" i="10" s="1"/>
  <c r="F1757" i="10"/>
  <c r="G1756" i="10" s="1"/>
  <c r="A1758" i="10"/>
  <c r="B1758" i="10" s="1"/>
  <c r="C1758" i="10"/>
  <c r="D1758" i="10"/>
  <c r="E1758" i="10" s="1"/>
  <c r="F1758" i="10"/>
  <c r="G1757" i="10" s="1"/>
  <c r="A1759" i="10"/>
  <c r="B1759" i="10" s="1"/>
  <c r="C1759" i="10"/>
  <c r="D1759" i="10"/>
  <c r="E1759" i="10"/>
  <c r="F1759" i="10"/>
  <c r="G1758" i="10" s="1"/>
  <c r="A1760" i="10"/>
  <c r="B1760" i="10" s="1"/>
  <c r="C1760" i="10"/>
  <c r="D1760" i="10"/>
  <c r="E1760" i="10" s="1"/>
  <c r="F1760" i="10"/>
  <c r="G1759" i="10" s="1"/>
  <c r="A1761" i="10"/>
  <c r="B1761" i="10" s="1"/>
  <c r="C1761" i="10"/>
  <c r="D1761" i="10"/>
  <c r="E1761" i="10" s="1"/>
  <c r="F1761" i="10"/>
  <c r="G1760" i="10" s="1"/>
  <c r="A1762" i="10"/>
  <c r="C1762" i="10"/>
  <c r="D1762" i="10"/>
  <c r="E1762" i="10" s="1"/>
  <c r="F1762" i="10"/>
  <c r="G1761" i="10" s="1"/>
  <c r="A1763" i="10"/>
  <c r="C1763" i="10"/>
  <c r="D1763" i="10"/>
  <c r="E1763" i="10"/>
  <c r="F1763" i="10"/>
  <c r="G1762" i="10" s="1"/>
  <c r="A1764" i="10"/>
  <c r="B1764" i="10" s="1"/>
  <c r="C1764" i="10"/>
  <c r="D1764" i="10"/>
  <c r="E1764" i="10" s="1"/>
  <c r="F1764" i="10"/>
  <c r="G1763" i="10" s="1"/>
  <c r="A1765" i="10"/>
  <c r="C1765" i="10"/>
  <c r="D1765" i="10"/>
  <c r="E1765" i="10" s="1"/>
  <c r="F1765" i="10"/>
  <c r="G1764" i="10" s="1"/>
  <c r="A1766" i="10"/>
  <c r="B1766" i="10" s="1"/>
  <c r="C1766" i="10"/>
  <c r="D1766" i="10"/>
  <c r="E1766" i="10" s="1"/>
  <c r="F1766" i="10"/>
  <c r="G1765" i="10" s="1"/>
  <c r="A1767" i="10"/>
  <c r="B1767" i="10" s="1"/>
  <c r="C1767" i="10"/>
  <c r="D1767" i="10"/>
  <c r="E1767" i="10" s="1"/>
  <c r="F1767" i="10"/>
  <c r="G1766" i="10" s="1"/>
  <c r="A1768" i="10"/>
  <c r="B1768" i="10" s="1"/>
  <c r="C1768" i="10"/>
  <c r="D1768" i="10"/>
  <c r="E1768" i="10" s="1"/>
  <c r="F1768" i="10"/>
  <c r="G1767" i="10" s="1"/>
  <c r="A1769" i="10"/>
  <c r="B1769" i="10" s="1"/>
  <c r="C1769" i="10"/>
  <c r="D1769" i="10"/>
  <c r="E1769" i="10" s="1"/>
  <c r="F1769" i="10"/>
  <c r="G1768" i="10" s="1"/>
  <c r="A1770" i="10"/>
  <c r="B1770" i="10" s="1"/>
  <c r="C1770" i="10"/>
  <c r="D1770" i="10"/>
  <c r="E1770" i="10" s="1"/>
  <c r="F1770" i="10"/>
  <c r="G1769" i="10" s="1"/>
  <c r="A1771" i="10"/>
  <c r="C1771" i="10"/>
  <c r="D1771" i="10"/>
  <c r="E1771" i="10" s="1"/>
  <c r="F1771" i="10"/>
  <c r="G1770" i="10" s="1"/>
  <c r="A1772" i="10"/>
  <c r="B1772" i="10" s="1"/>
  <c r="C1772" i="10"/>
  <c r="D1772" i="10"/>
  <c r="E1772" i="10" s="1"/>
  <c r="F1772" i="10"/>
  <c r="G1771" i="10" s="1"/>
  <c r="A1773" i="10"/>
  <c r="B1773" i="10" s="1"/>
  <c r="C1773" i="10"/>
  <c r="D1773" i="10"/>
  <c r="E1773" i="10" s="1"/>
  <c r="F1773" i="10"/>
  <c r="G1772" i="10" s="1"/>
  <c r="A1774" i="10"/>
  <c r="C1774" i="10"/>
  <c r="D1774" i="10"/>
  <c r="E1774" i="10" s="1"/>
  <c r="F1774" i="10"/>
  <c r="G1773" i="10" s="1"/>
  <c r="A1775" i="10"/>
  <c r="C1775" i="10"/>
  <c r="D1775" i="10"/>
  <c r="E1775" i="10" s="1"/>
  <c r="F1775" i="10"/>
  <c r="G1774" i="10" s="1"/>
  <c r="A1776" i="10"/>
  <c r="B1776" i="10" s="1"/>
  <c r="C1776" i="10"/>
  <c r="D1776" i="10"/>
  <c r="E1776" i="10" s="1"/>
  <c r="F1776" i="10"/>
  <c r="G1775" i="10" s="1"/>
  <c r="A1777" i="10"/>
  <c r="C1777" i="10"/>
  <c r="D1777" i="10"/>
  <c r="E1777" i="10" s="1"/>
  <c r="F1777" i="10"/>
  <c r="G1776" i="10" s="1"/>
  <c r="A1778" i="10"/>
  <c r="B1778" i="10" s="1"/>
  <c r="C1778" i="10"/>
  <c r="D1778" i="10"/>
  <c r="E1778" i="10" s="1"/>
  <c r="F1778" i="10"/>
  <c r="G1777" i="10" s="1"/>
  <c r="A1779" i="10"/>
  <c r="B1779" i="10" s="1"/>
  <c r="C1779" i="10"/>
  <c r="D1779" i="10"/>
  <c r="E1779" i="10" s="1"/>
  <c r="F1779" i="10"/>
  <c r="G1778" i="10" s="1"/>
  <c r="A1780" i="10"/>
  <c r="B1780" i="10" s="1"/>
  <c r="C1780" i="10"/>
  <c r="D1780" i="10"/>
  <c r="E1780" i="10" s="1"/>
  <c r="F1780" i="10"/>
  <c r="G1779" i="10" s="1"/>
  <c r="A1781" i="10"/>
  <c r="B1781" i="10" s="1"/>
  <c r="C1781" i="10"/>
  <c r="D1781" i="10"/>
  <c r="E1781" i="10" s="1"/>
  <c r="F1781" i="10"/>
  <c r="G1780" i="10" s="1"/>
  <c r="I1781" i="10"/>
  <c r="J1781" i="10" s="1"/>
  <c r="A1782" i="10"/>
  <c r="B1782" i="10" s="1"/>
  <c r="C1782" i="10"/>
  <c r="D1782" i="10"/>
  <c r="E1782" i="10" s="1"/>
  <c r="F1782" i="10"/>
  <c r="G1781" i="10" s="1"/>
  <c r="A1783" i="10"/>
  <c r="C1783" i="10"/>
  <c r="D1783" i="10"/>
  <c r="E1783" i="10" s="1"/>
  <c r="F1783" i="10"/>
  <c r="G1782" i="10" s="1"/>
  <c r="A1784" i="10"/>
  <c r="B1784" i="10" s="1"/>
  <c r="C1784" i="10"/>
  <c r="D1784" i="10"/>
  <c r="E1784" i="10" s="1"/>
  <c r="F1784" i="10"/>
  <c r="G1783" i="10" s="1"/>
  <c r="A1785" i="10"/>
  <c r="B1785" i="10" s="1"/>
  <c r="C1785" i="10"/>
  <c r="D1785" i="10"/>
  <c r="E1785" i="10" s="1"/>
  <c r="F1785" i="10"/>
  <c r="G1784" i="10" s="1"/>
  <c r="A1786" i="10"/>
  <c r="B1786" i="10" s="1"/>
  <c r="C1786" i="10"/>
  <c r="D1786" i="10"/>
  <c r="E1786" i="10" s="1"/>
  <c r="F1786" i="10"/>
  <c r="G1785" i="10" s="1"/>
  <c r="A1787" i="10"/>
  <c r="B1787" i="10" s="1"/>
  <c r="C1787" i="10"/>
  <c r="D1787" i="10"/>
  <c r="E1787" i="10" s="1"/>
  <c r="F1787" i="10"/>
  <c r="G1786" i="10" s="1"/>
  <c r="A1788" i="10"/>
  <c r="C1788" i="10"/>
  <c r="D1788" i="10"/>
  <c r="E1788" i="10" s="1"/>
  <c r="F1788" i="10"/>
  <c r="G1787" i="10" s="1"/>
  <c r="A1789" i="10"/>
  <c r="C1789" i="10"/>
  <c r="D1789" i="10"/>
  <c r="E1789" i="10" s="1"/>
  <c r="F1789" i="10"/>
  <c r="G1788" i="10" s="1"/>
  <c r="A1790" i="10"/>
  <c r="B1790" i="10" s="1"/>
  <c r="C1790" i="10"/>
  <c r="D1790" i="10"/>
  <c r="E1790" i="10" s="1"/>
  <c r="F1790" i="10"/>
  <c r="G1789" i="10" s="1"/>
  <c r="A1791" i="10"/>
  <c r="B1791" i="10" s="1"/>
  <c r="C1791" i="10"/>
  <c r="D1791" i="10"/>
  <c r="E1791" i="10" s="1"/>
  <c r="F1791" i="10"/>
  <c r="G1790" i="10" s="1"/>
  <c r="A1792" i="10"/>
  <c r="C1792" i="10"/>
  <c r="D1792" i="10"/>
  <c r="E1792" i="10" s="1"/>
  <c r="F1792" i="10"/>
  <c r="G1791" i="10" s="1"/>
  <c r="A1793" i="10"/>
  <c r="B1793" i="10" s="1"/>
  <c r="C1793" i="10"/>
  <c r="D1793" i="10"/>
  <c r="E1793" i="10" s="1"/>
  <c r="F1793" i="10"/>
  <c r="G1792" i="10" s="1"/>
  <c r="A1794" i="10"/>
  <c r="C1794" i="10"/>
  <c r="D1794" i="10"/>
  <c r="E1794" i="10" s="1"/>
  <c r="F1794" i="10"/>
  <c r="G1793" i="10" s="1"/>
  <c r="A1795" i="10"/>
  <c r="C1795" i="10"/>
  <c r="D1795" i="10"/>
  <c r="E1795" i="10" s="1"/>
  <c r="F1795" i="10"/>
  <c r="G1794" i="10" s="1"/>
  <c r="A1796" i="10"/>
  <c r="B1796" i="10" s="1"/>
  <c r="C1796" i="10"/>
  <c r="D1796" i="10"/>
  <c r="E1796" i="10" s="1"/>
  <c r="F1796" i="10"/>
  <c r="G1795" i="10" s="1"/>
  <c r="A1797" i="10"/>
  <c r="B1797" i="10" s="1"/>
  <c r="C1797" i="10"/>
  <c r="D1797" i="10"/>
  <c r="E1797" i="10" s="1"/>
  <c r="F1797" i="10"/>
  <c r="G1796" i="10" s="1"/>
  <c r="A1798" i="10"/>
  <c r="C1798" i="10"/>
  <c r="D1798" i="10"/>
  <c r="E1798" i="10" s="1"/>
  <c r="F1798" i="10"/>
  <c r="G1797" i="10" s="1"/>
  <c r="A1799" i="10"/>
  <c r="C1799" i="10"/>
  <c r="D1799" i="10"/>
  <c r="E1799" i="10" s="1"/>
  <c r="F1799" i="10"/>
  <c r="G1798" i="10" s="1"/>
  <c r="A1800" i="10"/>
  <c r="C1800" i="10"/>
  <c r="D1800" i="10"/>
  <c r="E1800" i="10" s="1"/>
  <c r="F1800" i="10"/>
  <c r="G1799" i="10" s="1"/>
  <c r="A1801" i="10"/>
  <c r="B1801" i="10" s="1"/>
  <c r="C1801" i="10"/>
  <c r="D1801" i="10"/>
  <c r="E1801" i="10" s="1"/>
  <c r="F1801" i="10"/>
  <c r="G1800" i="10" s="1"/>
  <c r="A1802" i="10"/>
  <c r="B1802" i="10" s="1"/>
  <c r="C1802" i="10"/>
  <c r="D1802" i="10"/>
  <c r="E1802" i="10" s="1"/>
  <c r="F1802" i="10"/>
  <c r="G1801" i="10" s="1"/>
  <c r="A1803" i="10"/>
  <c r="C1803" i="10"/>
  <c r="D1803" i="10"/>
  <c r="E1803" i="10" s="1"/>
  <c r="F1803" i="10"/>
  <c r="G1802" i="10" s="1"/>
  <c r="A1804" i="10"/>
  <c r="B1804" i="10" s="1"/>
  <c r="C1804" i="10"/>
  <c r="D1804" i="10"/>
  <c r="E1804" i="10" s="1"/>
  <c r="F1804" i="10"/>
  <c r="G1803" i="10" s="1"/>
  <c r="I1804" i="10"/>
  <c r="A1805" i="10"/>
  <c r="B1805" i="10" s="1"/>
  <c r="C1805" i="10"/>
  <c r="D1805" i="10"/>
  <c r="E1805" i="10" s="1"/>
  <c r="F1805" i="10"/>
  <c r="G1804" i="10" s="1"/>
  <c r="A1806" i="10"/>
  <c r="C1806" i="10"/>
  <c r="D1806" i="10"/>
  <c r="E1806" i="10" s="1"/>
  <c r="F1806" i="10"/>
  <c r="G1805" i="10" s="1"/>
  <c r="A1807" i="10"/>
  <c r="C1807" i="10"/>
  <c r="D1807" i="10"/>
  <c r="E1807" i="10" s="1"/>
  <c r="F1807" i="10"/>
  <c r="G1806" i="10" s="1"/>
  <c r="A1808" i="10"/>
  <c r="B1808" i="10" s="1"/>
  <c r="C1808" i="10"/>
  <c r="D1808" i="10"/>
  <c r="E1808" i="10" s="1"/>
  <c r="F1808" i="10"/>
  <c r="G1807" i="10" s="1"/>
  <c r="A1809" i="10"/>
  <c r="B1809" i="10" s="1"/>
  <c r="C1809" i="10"/>
  <c r="D1809" i="10"/>
  <c r="E1809" i="10" s="1"/>
  <c r="F1809" i="10"/>
  <c r="G1808" i="10" s="1"/>
  <c r="A1810" i="10"/>
  <c r="C1810" i="10"/>
  <c r="D1810" i="10"/>
  <c r="E1810" i="10" s="1"/>
  <c r="F1810" i="10"/>
  <c r="G1809" i="10" s="1"/>
  <c r="A1811" i="10"/>
  <c r="B1811" i="10" s="1"/>
  <c r="C1811" i="10"/>
  <c r="D1811" i="10"/>
  <c r="E1811" i="10" s="1"/>
  <c r="F1811" i="10"/>
  <c r="G1810" i="10" s="1"/>
  <c r="A1812" i="10"/>
  <c r="B1812" i="10" s="1"/>
  <c r="C1812" i="10"/>
  <c r="D1812" i="10"/>
  <c r="E1812" i="10" s="1"/>
  <c r="F1812" i="10"/>
  <c r="G1811" i="10" s="1"/>
  <c r="A1813" i="10"/>
  <c r="B1813" i="10" s="1"/>
  <c r="C1813" i="10"/>
  <c r="D1813" i="10"/>
  <c r="E1813" i="10" s="1"/>
  <c r="F1813" i="10"/>
  <c r="G1812" i="10" s="1"/>
  <c r="A1814" i="10"/>
  <c r="C1814" i="10"/>
  <c r="D1814" i="10"/>
  <c r="E1814" i="10" s="1"/>
  <c r="F1814" i="10"/>
  <c r="G1813" i="10" s="1"/>
  <c r="A1815" i="10"/>
  <c r="B1815" i="10" s="1"/>
  <c r="C1815" i="10"/>
  <c r="D1815" i="10"/>
  <c r="E1815" i="10" s="1"/>
  <c r="F1815" i="10"/>
  <c r="G1814" i="10" s="1"/>
  <c r="A1816" i="10"/>
  <c r="C1816" i="10"/>
  <c r="D1816" i="10"/>
  <c r="E1816" i="10"/>
  <c r="F1816" i="10"/>
  <c r="G1815" i="10" s="1"/>
  <c r="A1817" i="10"/>
  <c r="C1817" i="10"/>
  <c r="D1817" i="10"/>
  <c r="E1817" i="10" s="1"/>
  <c r="F1817" i="10"/>
  <c r="G1816" i="10" s="1"/>
  <c r="A1818" i="10"/>
  <c r="B1818" i="10" s="1"/>
  <c r="C1818" i="10"/>
  <c r="D1818" i="10"/>
  <c r="E1818" i="10" s="1"/>
  <c r="F1818" i="10"/>
  <c r="G1817" i="10" s="1"/>
  <c r="A1819" i="10"/>
  <c r="B1819" i="10" s="1"/>
  <c r="C1819" i="10"/>
  <c r="D1819" i="10"/>
  <c r="E1819" i="10" s="1"/>
  <c r="F1819" i="10"/>
  <c r="G1818" i="10" s="1"/>
  <c r="A1820" i="10"/>
  <c r="B1820" i="10" s="1"/>
  <c r="C1820" i="10"/>
  <c r="D1820" i="10"/>
  <c r="E1820" i="10" s="1"/>
  <c r="F1820" i="10"/>
  <c r="G1819" i="10" s="1"/>
  <c r="A1821" i="10"/>
  <c r="B1821" i="10" s="1"/>
  <c r="C1821" i="10"/>
  <c r="D1821" i="10"/>
  <c r="E1821" i="10" s="1"/>
  <c r="F1821" i="10"/>
  <c r="G1820" i="10" s="1"/>
  <c r="A1822" i="10"/>
  <c r="B1822" i="10" s="1"/>
  <c r="C1822" i="10"/>
  <c r="D1822" i="10"/>
  <c r="E1822" i="10" s="1"/>
  <c r="F1822" i="10"/>
  <c r="G1821" i="10" s="1"/>
  <c r="I1822" i="10"/>
  <c r="A1823" i="10"/>
  <c r="C1823" i="10"/>
  <c r="D1823" i="10"/>
  <c r="E1823" i="10" s="1"/>
  <c r="F1823" i="10"/>
  <c r="G1822" i="10" s="1"/>
  <c r="A1824" i="10"/>
  <c r="C1824" i="10"/>
  <c r="D1824" i="10"/>
  <c r="E1824" i="10" s="1"/>
  <c r="F1824" i="10"/>
  <c r="G1823" i="10" s="1"/>
  <c r="A1825" i="10"/>
  <c r="B1825" i="10" s="1"/>
  <c r="C1825" i="10"/>
  <c r="D1825" i="10"/>
  <c r="E1825" i="10" s="1"/>
  <c r="F1825" i="10"/>
  <c r="G1824" i="10" s="1"/>
  <c r="A1826" i="10"/>
  <c r="B1826" i="10" s="1"/>
  <c r="C1826" i="10"/>
  <c r="D1826" i="10"/>
  <c r="E1826" i="10" s="1"/>
  <c r="F1826" i="10"/>
  <c r="G1825" i="10" s="1"/>
  <c r="A1827" i="10"/>
  <c r="B1827" i="10" s="1"/>
  <c r="C1827" i="10"/>
  <c r="D1827" i="10"/>
  <c r="E1827" i="10" s="1"/>
  <c r="F1827" i="10"/>
  <c r="G1826" i="10" s="1"/>
  <c r="A1828" i="10"/>
  <c r="B1828" i="10" s="1"/>
  <c r="C1828" i="10"/>
  <c r="D1828" i="10"/>
  <c r="E1828" i="10" s="1"/>
  <c r="F1828" i="10"/>
  <c r="G1827" i="10" s="1"/>
  <c r="A1829" i="10"/>
  <c r="C1829" i="10"/>
  <c r="D1829" i="10"/>
  <c r="E1829" i="10" s="1"/>
  <c r="F1829" i="10"/>
  <c r="G1828" i="10" s="1"/>
  <c r="A1830" i="10"/>
  <c r="B1830" i="10" s="1"/>
  <c r="C1830" i="10"/>
  <c r="D1830" i="10"/>
  <c r="E1830" i="10" s="1"/>
  <c r="F1830" i="10"/>
  <c r="G1829" i="10" s="1"/>
  <c r="I1830" i="10"/>
  <c r="A1831" i="10"/>
  <c r="B1831" i="10" s="1"/>
  <c r="C1831" i="10"/>
  <c r="D1831" i="10"/>
  <c r="E1831" i="10" s="1"/>
  <c r="F1831" i="10"/>
  <c r="G1830" i="10" s="1"/>
  <c r="A1832" i="10"/>
  <c r="B1832" i="10" s="1"/>
  <c r="C1832" i="10"/>
  <c r="D1832" i="10"/>
  <c r="E1832" i="10" s="1"/>
  <c r="F1832" i="10"/>
  <c r="G1831" i="10" s="1"/>
  <c r="A1833" i="10"/>
  <c r="B1833" i="10" s="1"/>
  <c r="C1833" i="10"/>
  <c r="D1833" i="10"/>
  <c r="E1833" i="10"/>
  <c r="F1833" i="10"/>
  <c r="G1832" i="10" s="1"/>
  <c r="A1834" i="10"/>
  <c r="B1834" i="10" s="1"/>
  <c r="C1834" i="10"/>
  <c r="D1834" i="10"/>
  <c r="E1834" i="10" s="1"/>
  <c r="F1834" i="10"/>
  <c r="G1833" i="10" s="1"/>
  <c r="A1835" i="10"/>
  <c r="B1835" i="10" s="1"/>
  <c r="C1835" i="10"/>
  <c r="D1835" i="10"/>
  <c r="E1835" i="10" s="1"/>
  <c r="F1835" i="10"/>
  <c r="G1834" i="10" s="1"/>
  <c r="A1836" i="10"/>
  <c r="B1836" i="10" s="1"/>
  <c r="C1836" i="10"/>
  <c r="D1836" i="10"/>
  <c r="E1836" i="10" s="1"/>
  <c r="F1836" i="10"/>
  <c r="G1835" i="10" s="1"/>
  <c r="A1837" i="10"/>
  <c r="B1837" i="10" s="1"/>
  <c r="C1837" i="10"/>
  <c r="D1837" i="10"/>
  <c r="E1837" i="10" s="1"/>
  <c r="F1837" i="10"/>
  <c r="G1836" i="10" s="1"/>
  <c r="A1838" i="10"/>
  <c r="I1838" i="10" s="1"/>
  <c r="C1838" i="10"/>
  <c r="D1838" i="10"/>
  <c r="E1838" i="10" s="1"/>
  <c r="F1838" i="10"/>
  <c r="G1837" i="10" s="1"/>
  <c r="A1839" i="10"/>
  <c r="B1839" i="10" s="1"/>
  <c r="C1839" i="10"/>
  <c r="D1839" i="10"/>
  <c r="E1839" i="10" s="1"/>
  <c r="F1839" i="10"/>
  <c r="G1838" i="10" s="1"/>
  <c r="I1839" i="10"/>
  <c r="A1840" i="10"/>
  <c r="B1840" i="10" s="1"/>
  <c r="C1840" i="10"/>
  <c r="D1840" i="10"/>
  <c r="E1840" i="10" s="1"/>
  <c r="F1840" i="10"/>
  <c r="G1839" i="10" s="1"/>
  <c r="A1841" i="10"/>
  <c r="C1841" i="10"/>
  <c r="D1841" i="10"/>
  <c r="E1841" i="10" s="1"/>
  <c r="F1841" i="10"/>
  <c r="G1840" i="10" s="1"/>
  <c r="A1842" i="10"/>
  <c r="B1842" i="10" s="1"/>
  <c r="C1842" i="10"/>
  <c r="D1842" i="10"/>
  <c r="E1842" i="10" s="1"/>
  <c r="F1842" i="10"/>
  <c r="G1841" i="10" s="1"/>
  <c r="A1843" i="10"/>
  <c r="B1843" i="10" s="1"/>
  <c r="C1843" i="10"/>
  <c r="D1843" i="10"/>
  <c r="E1843" i="10" s="1"/>
  <c r="F1843" i="10"/>
  <c r="G1842" i="10" s="1"/>
  <c r="A1844" i="10"/>
  <c r="B1844" i="10" s="1"/>
  <c r="C1844" i="10"/>
  <c r="D1844" i="10"/>
  <c r="E1844" i="10" s="1"/>
  <c r="F1844" i="10"/>
  <c r="G1843" i="10" s="1"/>
  <c r="A1845" i="10"/>
  <c r="B1845" i="10" s="1"/>
  <c r="C1845" i="10"/>
  <c r="D1845" i="10"/>
  <c r="E1845" i="10" s="1"/>
  <c r="F1845" i="10"/>
  <c r="G1844" i="10" s="1"/>
  <c r="A1846" i="10"/>
  <c r="B1846" i="10" s="1"/>
  <c r="C1846" i="10"/>
  <c r="D1846" i="10"/>
  <c r="E1846" i="10" s="1"/>
  <c r="F1846" i="10"/>
  <c r="G1845" i="10" s="1"/>
  <c r="A1847" i="10"/>
  <c r="C1847" i="10"/>
  <c r="D1847" i="10"/>
  <c r="E1847" i="10" s="1"/>
  <c r="F1847" i="10"/>
  <c r="G1846" i="10" s="1"/>
  <c r="A1848" i="10"/>
  <c r="B1848" i="10" s="1"/>
  <c r="C1848" i="10"/>
  <c r="D1848" i="10"/>
  <c r="E1848" i="10" s="1"/>
  <c r="F1848" i="10"/>
  <c r="G1847" i="10" s="1"/>
  <c r="A1849" i="10"/>
  <c r="B1849" i="10" s="1"/>
  <c r="C1849" i="10"/>
  <c r="D1849" i="10"/>
  <c r="E1849" i="10" s="1"/>
  <c r="F1849" i="10"/>
  <c r="G1848" i="10" s="1"/>
  <c r="A1850" i="10"/>
  <c r="B1850" i="10" s="1"/>
  <c r="C1850" i="10"/>
  <c r="D1850" i="10"/>
  <c r="E1850" i="10" s="1"/>
  <c r="F1850" i="10"/>
  <c r="G1849" i="10" s="1"/>
  <c r="A1851" i="10"/>
  <c r="B1851" i="10" s="1"/>
  <c r="C1851" i="10"/>
  <c r="D1851" i="10"/>
  <c r="E1851" i="10" s="1"/>
  <c r="F1851" i="10"/>
  <c r="G1850" i="10" s="1"/>
  <c r="A1852" i="10"/>
  <c r="B1852" i="10" s="1"/>
  <c r="C1852" i="10"/>
  <c r="D1852" i="10"/>
  <c r="E1852" i="10" s="1"/>
  <c r="F1852" i="10"/>
  <c r="G1851" i="10" s="1"/>
  <c r="A1853" i="10"/>
  <c r="B1853" i="10" s="1"/>
  <c r="C1853" i="10"/>
  <c r="D1853" i="10"/>
  <c r="E1853" i="10" s="1"/>
  <c r="F1853" i="10"/>
  <c r="G1852" i="10" s="1"/>
  <c r="A1854" i="10"/>
  <c r="B1854" i="10" s="1"/>
  <c r="C1854" i="10"/>
  <c r="D1854" i="10"/>
  <c r="E1854" i="10" s="1"/>
  <c r="F1854" i="10"/>
  <c r="G1853" i="10" s="1"/>
  <c r="A1855" i="10"/>
  <c r="B1855" i="10" s="1"/>
  <c r="C1855" i="10"/>
  <c r="D1855" i="10"/>
  <c r="E1855" i="10" s="1"/>
  <c r="F1855" i="10"/>
  <c r="G1854" i="10" s="1"/>
  <c r="A1856" i="10"/>
  <c r="B1856" i="10" s="1"/>
  <c r="C1856" i="10"/>
  <c r="D1856" i="10"/>
  <c r="E1856" i="10" s="1"/>
  <c r="F1856" i="10"/>
  <c r="G1855" i="10" s="1"/>
  <c r="A1857" i="10"/>
  <c r="B1857" i="10" s="1"/>
  <c r="C1857" i="10"/>
  <c r="D1857" i="10"/>
  <c r="E1857" i="10" s="1"/>
  <c r="F1857" i="10"/>
  <c r="G1856" i="10" s="1"/>
  <c r="A1858" i="10"/>
  <c r="B1858" i="10" s="1"/>
  <c r="C1858" i="10"/>
  <c r="D1858" i="10"/>
  <c r="E1858" i="10" s="1"/>
  <c r="F1858" i="10"/>
  <c r="G1857" i="10" s="1"/>
  <c r="I1858" i="10"/>
  <c r="A1859" i="10"/>
  <c r="B1859" i="10" s="1"/>
  <c r="C1859" i="10"/>
  <c r="D1859" i="10"/>
  <c r="E1859" i="10" s="1"/>
  <c r="F1859" i="10"/>
  <c r="G1858" i="10" s="1"/>
  <c r="A1860" i="10"/>
  <c r="B1860" i="10" s="1"/>
  <c r="C1860" i="10"/>
  <c r="D1860" i="10"/>
  <c r="E1860" i="10" s="1"/>
  <c r="F1860" i="10"/>
  <c r="G1859" i="10" s="1"/>
  <c r="A1861" i="10"/>
  <c r="B1861" i="10" s="1"/>
  <c r="C1861" i="10"/>
  <c r="D1861" i="10"/>
  <c r="E1861" i="10" s="1"/>
  <c r="F1861" i="10"/>
  <c r="G1860" i="10" s="1"/>
  <c r="A1862" i="10"/>
  <c r="B1862" i="10" s="1"/>
  <c r="C1862" i="10"/>
  <c r="D1862" i="10"/>
  <c r="E1862" i="10" s="1"/>
  <c r="F1862" i="10"/>
  <c r="G1861" i="10" s="1"/>
  <c r="I1862" i="10"/>
  <c r="A1863" i="10"/>
  <c r="C1863" i="10"/>
  <c r="D1863" i="10"/>
  <c r="E1863" i="10" s="1"/>
  <c r="F1863" i="10"/>
  <c r="G1862" i="10" s="1"/>
  <c r="A1864" i="10"/>
  <c r="B1864" i="10" s="1"/>
  <c r="C1864" i="10"/>
  <c r="D1864" i="10"/>
  <c r="E1864" i="10" s="1"/>
  <c r="F1864" i="10"/>
  <c r="G1863" i="10" s="1"/>
  <c r="A1865" i="10"/>
  <c r="B1865" i="10" s="1"/>
  <c r="C1865" i="10"/>
  <c r="D1865" i="10"/>
  <c r="E1865" i="10" s="1"/>
  <c r="F1865" i="10"/>
  <c r="G1864" i="10" s="1"/>
  <c r="A1866" i="10"/>
  <c r="B1866" i="10" s="1"/>
  <c r="C1866" i="10"/>
  <c r="D1866" i="10"/>
  <c r="E1866" i="10" s="1"/>
  <c r="F1866" i="10"/>
  <c r="G1865" i="10" s="1"/>
  <c r="A1867" i="10"/>
  <c r="B1867" i="10" s="1"/>
  <c r="C1867" i="10"/>
  <c r="D1867" i="10"/>
  <c r="E1867" i="10" s="1"/>
  <c r="F1867" i="10"/>
  <c r="G1866" i="10" s="1"/>
  <c r="A1868" i="10"/>
  <c r="C1868" i="10"/>
  <c r="D1868" i="10"/>
  <c r="E1868" i="10" s="1"/>
  <c r="F1868" i="10"/>
  <c r="G1867" i="10" s="1"/>
  <c r="A1869" i="10"/>
  <c r="B1869" i="10" s="1"/>
  <c r="C1869" i="10"/>
  <c r="D1869" i="10"/>
  <c r="E1869" i="10" s="1"/>
  <c r="F1869" i="10"/>
  <c r="G1868" i="10" s="1"/>
  <c r="A1870" i="10"/>
  <c r="B1870" i="10" s="1"/>
  <c r="C1870" i="10"/>
  <c r="D1870" i="10"/>
  <c r="E1870" i="10" s="1"/>
  <c r="F1870" i="10"/>
  <c r="G1869" i="10" s="1"/>
  <c r="A1871" i="10"/>
  <c r="B1871" i="10" s="1"/>
  <c r="C1871" i="10"/>
  <c r="D1871" i="10"/>
  <c r="E1871" i="10" s="1"/>
  <c r="F1871" i="10"/>
  <c r="G1870" i="10" s="1"/>
  <c r="A1872" i="10"/>
  <c r="B1872" i="10" s="1"/>
  <c r="C1872" i="10"/>
  <c r="D1872" i="10"/>
  <c r="E1872" i="10" s="1"/>
  <c r="F1872" i="10"/>
  <c r="G1871" i="10" s="1"/>
  <c r="A1873" i="10"/>
  <c r="B1873" i="10" s="1"/>
  <c r="C1873" i="10"/>
  <c r="D1873" i="10"/>
  <c r="E1873" i="10" s="1"/>
  <c r="F1873" i="10"/>
  <c r="G1872" i="10" s="1"/>
  <c r="I1873" i="10"/>
  <c r="A1874" i="10"/>
  <c r="B1874" i="10" s="1"/>
  <c r="C1874" i="10"/>
  <c r="D1874" i="10"/>
  <c r="E1874" i="10" s="1"/>
  <c r="F1874" i="10"/>
  <c r="G1873" i="10" s="1"/>
  <c r="A1875" i="10"/>
  <c r="B1875" i="10" s="1"/>
  <c r="C1875" i="10"/>
  <c r="D1875" i="10"/>
  <c r="E1875" i="10" s="1"/>
  <c r="F1875" i="10"/>
  <c r="G1874" i="10" s="1"/>
  <c r="A1876" i="10"/>
  <c r="B1876" i="10" s="1"/>
  <c r="C1876" i="10"/>
  <c r="D1876" i="10"/>
  <c r="E1876" i="10" s="1"/>
  <c r="F1876" i="10"/>
  <c r="G1875" i="10" s="1"/>
  <c r="A1877" i="10"/>
  <c r="C1877" i="10"/>
  <c r="D1877" i="10"/>
  <c r="E1877" i="10" s="1"/>
  <c r="F1877" i="10"/>
  <c r="G1876" i="10" s="1"/>
  <c r="A1878" i="10"/>
  <c r="B1878" i="10" s="1"/>
  <c r="C1878" i="10"/>
  <c r="D1878" i="10"/>
  <c r="E1878" i="10" s="1"/>
  <c r="F1878" i="10"/>
  <c r="G1877" i="10" s="1"/>
  <c r="A1879" i="10"/>
  <c r="B1879" i="10" s="1"/>
  <c r="C1879" i="10"/>
  <c r="D1879" i="10"/>
  <c r="E1879" i="10" s="1"/>
  <c r="F1879" i="10"/>
  <c r="G1878" i="10" s="1"/>
  <c r="A1880" i="10"/>
  <c r="B1880" i="10" s="1"/>
  <c r="C1880" i="10"/>
  <c r="D1880" i="10"/>
  <c r="E1880" i="10" s="1"/>
  <c r="F1880" i="10"/>
  <c r="G1879" i="10" s="1"/>
  <c r="A1881" i="10"/>
  <c r="C1881" i="10"/>
  <c r="D1881" i="10"/>
  <c r="E1881" i="10" s="1"/>
  <c r="F1881" i="10"/>
  <c r="G1880" i="10" s="1"/>
  <c r="A1882" i="10"/>
  <c r="B1882" i="10" s="1"/>
  <c r="C1882" i="10"/>
  <c r="D1882" i="10"/>
  <c r="E1882" i="10" s="1"/>
  <c r="F1882" i="10"/>
  <c r="G1881" i="10" s="1"/>
  <c r="A1883" i="10"/>
  <c r="B1883" i="10" s="1"/>
  <c r="C1883" i="10"/>
  <c r="D1883" i="10"/>
  <c r="E1883" i="10" s="1"/>
  <c r="F1883" i="10"/>
  <c r="G1882" i="10" s="1"/>
  <c r="A1884" i="10"/>
  <c r="B1884" i="10" s="1"/>
  <c r="C1884" i="10"/>
  <c r="D1884" i="10"/>
  <c r="E1884" i="10"/>
  <c r="F1884" i="10"/>
  <c r="G1883" i="10" s="1"/>
  <c r="A1885" i="10"/>
  <c r="B1885" i="10" s="1"/>
  <c r="C1885" i="10"/>
  <c r="D1885" i="10"/>
  <c r="E1885" i="10"/>
  <c r="F1885" i="10"/>
  <c r="G1884" i="10" s="1"/>
  <c r="A1886" i="10"/>
  <c r="B1886" i="10" s="1"/>
  <c r="C1886" i="10"/>
  <c r="D1886" i="10"/>
  <c r="E1886" i="10" s="1"/>
  <c r="F1886" i="10"/>
  <c r="G1885" i="10" s="1"/>
  <c r="A1887" i="10"/>
  <c r="B1887" i="10" s="1"/>
  <c r="C1887" i="10"/>
  <c r="D1887" i="10"/>
  <c r="E1887" i="10" s="1"/>
  <c r="F1887" i="10"/>
  <c r="G1886" i="10" s="1"/>
  <c r="A1888" i="10"/>
  <c r="B1888" i="10" s="1"/>
  <c r="C1888" i="10"/>
  <c r="D1888" i="10"/>
  <c r="E1888" i="10" s="1"/>
  <c r="F1888" i="10"/>
  <c r="G1887" i="10" s="1"/>
  <c r="A1889" i="10"/>
  <c r="B1889" i="10" s="1"/>
  <c r="C1889" i="10"/>
  <c r="D1889" i="10"/>
  <c r="E1889" i="10" s="1"/>
  <c r="F1889" i="10"/>
  <c r="G1888" i="10" s="1"/>
  <c r="A1890" i="10"/>
  <c r="B1890" i="10" s="1"/>
  <c r="C1890" i="10"/>
  <c r="D1890" i="10"/>
  <c r="E1890" i="10" s="1"/>
  <c r="F1890" i="10"/>
  <c r="G1889" i="10" s="1"/>
  <c r="A1891" i="10"/>
  <c r="C1891" i="10"/>
  <c r="D1891" i="10"/>
  <c r="E1891" i="10" s="1"/>
  <c r="F1891" i="10"/>
  <c r="G1890" i="10" s="1"/>
  <c r="A1892" i="10"/>
  <c r="B1892" i="10" s="1"/>
  <c r="C1892" i="10"/>
  <c r="D1892" i="10"/>
  <c r="E1892" i="10" s="1"/>
  <c r="F1892" i="10"/>
  <c r="G1891" i="10" s="1"/>
  <c r="A1893" i="10"/>
  <c r="B1893" i="10" s="1"/>
  <c r="C1893" i="10"/>
  <c r="D1893" i="10"/>
  <c r="E1893" i="10" s="1"/>
  <c r="F1893" i="10"/>
  <c r="G1892" i="10" s="1"/>
  <c r="A1894" i="10"/>
  <c r="C1894" i="10"/>
  <c r="D1894" i="10"/>
  <c r="E1894" i="10" s="1"/>
  <c r="F1894" i="10"/>
  <c r="G1893" i="10" s="1"/>
  <c r="A1895" i="10"/>
  <c r="B1895" i="10" s="1"/>
  <c r="C1895" i="10"/>
  <c r="D1895" i="10"/>
  <c r="E1895" i="10" s="1"/>
  <c r="F1895" i="10"/>
  <c r="G1894" i="10" s="1"/>
  <c r="I1895" i="10"/>
  <c r="J1895" i="10" s="1"/>
  <c r="A1896" i="10"/>
  <c r="B1896" i="10" s="1"/>
  <c r="C1896" i="10"/>
  <c r="D1896" i="10"/>
  <c r="E1896" i="10" s="1"/>
  <c r="F1896" i="10"/>
  <c r="G1895" i="10" s="1"/>
  <c r="A1897" i="10"/>
  <c r="B1897" i="10" s="1"/>
  <c r="C1897" i="10"/>
  <c r="D1897" i="10"/>
  <c r="E1897" i="10" s="1"/>
  <c r="F1897" i="10"/>
  <c r="G1896" i="10" s="1"/>
  <c r="I1897" i="10"/>
  <c r="A1898" i="10"/>
  <c r="B1898" i="10" s="1"/>
  <c r="C1898" i="10"/>
  <c r="D1898" i="10"/>
  <c r="E1898" i="10" s="1"/>
  <c r="F1898" i="10"/>
  <c r="G1897" i="10" s="1"/>
  <c r="A1899" i="10"/>
  <c r="C1899" i="10"/>
  <c r="D1899" i="10"/>
  <c r="E1899" i="10" s="1"/>
  <c r="F1899" i="10"/>
  <c r="G1898" i="10" s="1"/>
  <c r="A1900" i="10"/>
  <c r="B1900" i="10" s="1"/>
  <c r="C1900" i="10"/>
  <c r="D1900" i="10"/>
  <c r="E1900" i="10" s="1"/>
  <c r="F1900" i="10"/>
  <c r="G1899" i="10" s="1"/>
  <c r="A1901" i="10"/>
  <c r="B1901" i="10" s="1"/>
  <c r="C1901" i="10"/>
  <c r="D1901" i="10"/>
  <c r="E1901" i="10" s="1"/>
  <c r="F1901" i="10"/>
  <c r="G1900" i="10" s="1"/>
  <c r="A1902" i="10"/>
  <c r="B1902" i="10" s="1"/>
  <c r="C1902" i="10"/>
  <c r="D1902" i="10"/>
  <c r="E1902" i="10" s="1"/>
  <c r="F1902" i="10"/>
  <c r="G1901" i="10" s="1"/>
  <c r="A1903" i="10"/>
  <c r="B1903" i="10" s="1"/>
  <c r="C1903" i="10"/>
  <c r="D1903" i="10"/>
  <c r="E1903" i="10" s="1"/>
  <c r="F1903" i="10"/>
  <c r="G1902" i="10" s="1"/>
  <c r="A1904" i="10"/>
  <c r="B1904" i="10" s="1"/>
  <c r="C1904" i="10"/>
  <c r="D1904" i="10"/>
  <c r="E1904" i="10" s="1"/>
  <c r="F1904" i="10"/>
  <c r="G1903" i="10" s="1"/>
  <c r="A1905" i="10"/>
  <c r="B1905" i="10" s="1"/>
  <c r="C1905" i="10"/>
  <c r="D1905" i="10"/>
  <c r="E1905" i="10" s="1"/>
  <c r="F1905" i="10"/>
  <c r="G1904" i="10" s="1"/>
  <c r="A1906" i="10"/>
  <c r="B1906" i="10" s="1"/>
  <c r="C1906" i="10"/>
  <c r="D1906" i="10"/>
  <c r="E1906" i="10" s="1"/>
  <c r="F1906" i="10"/>
  <c r="G1905" i="10" s="1"/>
  <c r="A1907" i="10"/>
  <c r="B1907" i="10" s="1"/>
  <c r="C1907" i="10"/>
  <c r="D1907" i="10"/>
  <c r="E1907" i="10" s="1"/>
  <c r="F1907" i="10"/>
  <c r="G1906" i="10" s="1"/>
  <c r="A1908" i="10"/>
  <c r="B1908" i="10" s="1"/>
  <c r="C1908" i="10"/>
  <c r="D1908" i="10"/>
  <c r="E1908" i="10" s="1"/>
  <c r="F1908" i="10"/>
  <c r="G1907" i="10" s="1"/>
  <c r="A1909" i="10"/>
  <c r="B1909" i="10" s="1"/>
  <c r="C1909" i="10"/>
  <c r="D1909" i="10"/>
  <c r="E1909" i="10"/>
  <c r="F1909" i="10"/>
  <c r="G1908" i="10" s="1"/>
  <c r="A1910" i="10"/>
  <c r="B1910" i="10" s="1"/>
  <c r="C1910" i="10"/>
  <c r="D1910" i="10"/>
  <c r="E1910" i="10" s="1"/>
  <c r="F1910" i="10"/>
  <c r="G1909" i="10" s="1"/>
  <c r="A1911" i="10"/>
  <c r="B1911" i="10" s="1"/>
  <c r="C1911" i="10"/>
  <c r="D1911" i="10"/>
  <c r="E1911" i="10" s="1"/>
  <c r="F1911" i="10"/>
  <c r="G1910" i="10" s="1"/>
  <c r="A1912" i="10"/>
  <c r="B1912" i="10" s="1"/>
  <c r="C1912" i="10"/>
  <c r="D1912" i="10"/>
  <c r="E1912" i="10" s="1"/>
  <c r="F1912" i="10"/>
  <c r="G1911" i="10" s="1"/>
  <c r="A1913" i="10"/>
  <c r="C1913" i="10"/>
  <c r="D1913" i="10"/>
  <c r="E1913" i="10" s="1"/>
  <c r="F1913" i="10"/>
  <c r="G1912" i="10" s="1"/>
  <c r="A1914" i="10"/>
  <c r="B1914" i="10" s="1"/>
  <c r="C1914" i="10"/>
  <c r="D1914" i="10"/>
  <c r="E1914" i="10" s="1"/>
  <c r="F1914" i="10"/>
  <c r="G1913" i="10" s="1"/>
  <c r="A1915" i="10"/>
  <c r="B1915" i="10" s="1"/>
  <c r="C1915" i="10"/>
  <c r="D1915" i="10"/>
  <c r="E1915" i="10" s="1"/>
  <c r="F1915" i="10"/>
  <c r="G1914" i="10" s="1"/>
  <c r="A1916" i="10"/>
  <c r="B1916" i="10" s="1"/>
  <c r="C1916" i="10"/>
  <c r="D1916" i="10"/>
  <c r="E1916" i="10" s="1"/>
  <c r="F1916" i="10"/>
  <c r="G1915" i="10" s="1"/>
  <c r="A1917" i="10"/>
  <c r="C1917" i="10"/>
  <c r="D1917" i="10"/>
  <c r="E1917" i="10" s="1"/>
  <c r="F1917" i="10"/>
  <c r="G1916" i="10" s="1"/>
  <c r="A1918" i="10"/>
  <c r="B1918" i="10" s="1"/>
  <c r="C1918" i="10"/>
  <c r="D1918" i="10"/>
  <c r="E1918" i="10" s="1"/>
  <c r="F1918" i="10"/>
  <c r="G1917" i="10" s="1"/>
  <c r="A1919" i="10"/>
  <c r="B1919" i="10" s="1"/>
  <c r="C1919" i="10"/>
  <c r="D1919" i="10"/>
  <c r="E1919" i="10" s="1"/>
  <c r="F1919" i="10"/>
  <c r="G1918" i="10" s="1"/>
  <c r="A1920" i="10"/>
  <c r="B1920" i="10" s="1"/>
  <c r="C1920" i="10"/>
  <c r="D1920" i="10"/>
  <c r="E1920" i="10" s="1"/>
  <c r="F1920" i="10"/>
  <c r="G1919" i="10" s="1"/>
  <c r="A1921" i="10"/>
  <c r="B1921" i="10" s="1"/>
  <c r="C1921" i="10"/>
  <c r="D1921" i="10"/>
  <c r="E1921" i="10" s="1"/>
  <c r="F1921" i="10"/>
  <c r="G1920" i="10" s="1"/>
  <c r="A1922" i="10"/>
  <c r="B1922" i="10" s="1"/>
  <c r="C1922" i="10"/>
  <c r="D1922" i="10"/>
  <c r="E1922" i="10" s="1"/>
  <c r="F1922" i="10"/>
  <c r="G1921" i="10" s="1"/>
  <c r="A1923" i="10"/>
  <c r="B1923" i="10" s="1"/>
  <c r="C1923" i="10"/>
  <c r="D1923" i="10"/>
  <c r="E1923" i="10" s="1"/>
  <c r="F1923" i="10"/>
  <c r="G1922" i="10" s="1"/>
  <c r="A1924" i="10"/>
  <c r="B1924" i="10" s="1"/>
  <c r="C1924" i="10"/>
  <c r="D1924" i="10"/>
  <c r="E1924" i="10" s="1"/>
  <c r="F1924" i="10"/>
  <c r="G1923" i="10" s="1"/>
  <c r="I1924" i="10"/>
  <c r="A1925" i="10"/>
  <c r="C1925" i="10"/>
  <c r="D1925" i="10"/>
  <c r="E1925" i="10" s="1"/>
  <c r="F1925" i="10"/>
  <c r="G1924" i="10" s="1"/>
  <c r="A1926" i="10"/>
  <c r="B1926" i="10" s="1"/>
  <c r="C1926" i="10"/>
  <c r="D1926" i="10"/>
  <c r="E1926" i="10" s="1"/>
  <c r="F1926" i="10"/>
  <c r="G1925" i="10" s="1"/>
  <c r="A1927" i="10"/>
  <c r="B1927" i="10" s="1"/>
  <c r="C1927" i="10"/>
  <c r="D1927" i="10"/>
  <c r="E1927" i="10" s="1"/>
  <c r="F1927" i="10"/>
  <c r="G1926" i="10" s="1"/>
  <c r="A1928" i="10"/>
  <c r="B1928" i="10" s="1"/>
  <c r="C1928" i="10"/>
  <c r="D1928" i="10"/>
  <c r="E1928" i="10" s="1"/>
  <c r="F1928" i="10"/>
  <c r="G1927" i="10" s="1"/>
  <c r="A1929" i="10"/>
  <c r="B1929" i="10" s="1"/>
  <c r="C1929" i="10"/>
  <c r="D1929" i="10"/>
  <c r="E1929" i="10" s="1"/>
  <c r="F1929" i="10"/>
  <c r="G1928" i="10" s="1"/>
  <c r="A1930" i="10"/>
  <c r="B1930" i="10" s="1"/>
  <c r="C1930" i="10"/>
  <c r="D1930" i="10"/>
  <c r="E1930" i="10" s="1"/>
  <c r="F1930" i="10"/>
  <c r="G1929" i="10" s="1"/>
  <c r="A1931" i="10"/>
  <c r="B1931" i="10" s="1"/>
  <c r="C1931" i="10"/>
  <c r="D1931" i="10"/>
  <c r="E1931" i="10" s="1"/>
  <c r="F1931" i="10"/>
  <c r="G1930" i="10" s="1"/>
  <c r="I1931" i="10"/>
  <c r="J1931" i="10" s="1"/>
  <c r="A1932" i="10"/>
  <c r="B1932" i="10" s="1"/>
  <c r="C1932" i="10"/>
  <c r="D1932" i="10"/>
  <c r="E1932" i="10" s="1"/>
  <c r="F1932" i="10"/>
  <c r="G1931" i="10" s="1"/>
  <c r="A1933" i="10"/>
  <c r="B1933" i="10" s="1"/>
  <c r="C1933" i="10"/>
  <c r="D1933" i="10"/>
  <c r="E1933" i="10" s="1"/>
  <c r="F1933" i="10"/>
  <c r="G1932" i="10" s="1"/>
  <c r="A1934" i="10"/>
  <c r="C1934" i="10"/>
  <c r="D1934" i="10"/>
  <c r="E1934" i="10" s="1"/>
  <c r="F1934" i="10"/>
  <c r="G1933" i="10" s="1"/>
  <c r="A1935" i="10"/>
  <c r="C1935" i="10"/>
  <c r="D1935" i="10"/>
  <c r="E1935" i="10" s="1"/>
  <c r="F1935" i="10"/>
  <c r="G1934" i="10" s="1"/>
  <c r="A1936" i="10"/>
  <c r="B1936" i="10" s="1"/>
  <c r="C1936" i="10"/>
  <c r="D1936" i="10"/>
  <c r="E1936" i="10" s="1"/>
  <c r="F1936" i="10"/>
  <c r="G1935" i="10" s="1"/>
  <c r="A1937" i="10"/>
  <c r="B1937" i="10" s="1"/>
  <c r="C1937" i="10"/>
  <c r="D1937" i="10"/>
  <c r="E1937" i="10" s="1"/>
  <c r="F1937" i="10"/>
  <c r="G1936" i="10" s="1"/>
  <c r="A1938" i="10"/>
  <c r="B1938" i="10" s="1"/>
  <c r="C1938" i="10"/>
  <c r="D1938" i="10"/>
  <c r="E1938" i="10" s="1"/>
  <c r="F1938" i="10"/>
  <c r="G1937" i="10" s="1"/>
  <c r="A1939" i="10"/>
  <c r="B1939" i="10" s="1"/>
  <c r="C1939" i="10"/>
  <c r="D1939" i="10"/>
  <c r="E1939" i="10" s="1"/>
  <c r="F1939" i="10"/>
  <c r="G1938" i="10" s="1"/>
  <c r="A1940" i="10"/>
  <c r="B1940" i="10" s="1"/>
  <c r="C1940" i="10"/>
  <c r="D1940" i="10"/>
  <c r="E1940" i="10" s="1"/>
  <c r="F1940" i="10"/>
  <c r="G1939" i="10" s="1"/>
  <c r="I1940" i="10"/>
  <c r="A1941" i="10"/>
  <c r="B1941" i="10" s="1"/>
  <c r="C1941" i="10"/>
  <c r="D1941" i="10"/>
  <c r="E1941" i="10" s="1"/>
  <c r="F1941" i="10"/>
  <c r="G1940" i="10" s="1"/>
  <c r="A1942" i="10"/>
  <c r="B1942" i="10" s="1"/>
  <c r="C1942" i="10"/>
  <c r="D1942" i="10"/>
  <c r="E1942" i="10" s="1"/>
  <c r="F1942" i="10"/>
  <c r="G1941" i="10" s="1"/>
  <c r="A1943" i="10"/>
  <c r="B1943" i="10" s="1"/>
  <c r="C1943" i="10"/>
  <c r="D1943" i="10"/>
  <c r="E1943" i="10" s="1"/>
  <c r="F1943" i="10"/>
  <c r="G1942" i="10" s="1"/>
  <c r="A1944" i="10"/>
  <c r="B1944" i="10" s="1"/>
  <c r="C1944" i="10"/>
  <c r="D1944" i="10"/>
  <c r="E1944" i="10" s="1"/>
  <c r="F1944" i="10"/>
  <c r="G1943" i="10" s="1"/>
  <c r="A1945" i="10"/>
  <c r="B1945" i="10" s="1"/>
  <c r="C1945" i="10"/>
  <c r="D1945" i="10"/>
  <c r="E1945" i="10" s="1"/>
  <c r="F1945" i="10"/>
  <c r="G1944" i="10" s="1"/>
  <c r="A1946" i="10"/>
  <c r="B1946" i="10" s="1"/>
  <c r="C1946" i="10"/>
  <c r="D1946" i="10"/>
  <c r="E1946" i="10" s="1"/>
  <c r="F1946" i="10"/>
  <c r="G1945" i="10" s="1"/>
  <c r="I1946" i="10"/>
  <c r="A1947" i="10"/>
  <c r="B1947" i="10" s="1"/>
  <c r="C1947" i="10"/>
  <c r="D1947" i="10"/>
  <c r="E1947" i="10" s="1"/>
  <c r="F1947" i="10"/>
  <c r="G1946" i="10" s="1"/>
  <c r="A1948" i="10"/>
  <c r="B1948" i="10" s="1"/>
  <c r="C1948" i="10"/>
  <c r="D1948" i="10"/>
  <c r="E1948" i="10" s="1"/>
  <c r="F1948" i="10"/>
  <c r="G1947" i="10" s="1"/>
  <c r="A1949" i="10"/>
  <c r="C1949" i="10"/>
  <c r="D1949" i="10"/>
  <c r="E1949" i="10" s="1"/>
  <c r="F1949" i="10"/>
  <c r="G1948" i="10" s="1"/>
  <c r="A1950" i="10"/>
  <c r="B1950" i="10" s="1"/>
  <c r="C1950" i="10"/>
  <c r="D1950" i="10"/>
  <c r="E1950" i="10" s="1"/>
  <c r="F1950" i="10"/>
  <c r="G1949" i="10" s="1"/>
  <c r="A1951" i="10"/>
  <c r="B1951" i="10" s="1"/>
  <c r="C1951" i="10"/>
  <c r="D1951" i="10"/>
  <c r="E1951" i="10"/>
  <c r="F1951" i="10"/>
  <c r="G1950" i="10" s="1"/>
  <c r="A1952" i="10"/>
  <c r="B1952" i="10" s="1"/>
  <c r="C1952" i="10"/>
  <c r="D1952" i="10"/>
  <c r="E1952" i="10" s="1"/>
  <c r="F1952" i="10"/>
  <c r="G1951" i="10" s="1"/>
  <c r="A1953" i="10"/>
  <c r="C1953" i="10"/>
  <c r="D1953" i="10"/>
  <c r="E1953" i="10" s="1"/>
  <c r="F1953" i="10"/>
  <c r="G1952" i="10" s="1"/>
  <c r="A1954" i="10"/>
  <c r="C1954" i="10"/>
  <c r="D1954" i="10"/>
  <c r="E1954" i="10" s="1"/>
  <c r="F1954" i="10"/>
  <c r="G1953" i="10" s="1"/>
  <c r="A1955" i="10"/>
  <c r="B1955" i="10" s="1"/>
  <c r="C1955" i="10"/>
  <c r="D1955" i="10"/>
  <c r="E1955" i="10" s="1"/>
  <c r="F1955" i="10"/>
  <c r="G1954" i="10" s="1"/>
  <c r="A1956" i="10"/>
  <c r="B1956" i="10" s="1"/>
  <c r="C1956" i="10"/>
  <c r="D1956" i="10"/>
  <c r="E1956" i="10" s="1"/>
  <c r="F1956" i="10"/>
  <c r="G1955" i="10" s="1"/>
  <c r="A1957" i="10"/>
  <c r="B1957" i="10" s="1"/>
  <c r="C1957" i="10"/>
  <c r="D1957" i="10"/>
  <c r="E1957" i="10" s="1"/>
  <c r="F1957" i="10"/>
  <c r="G1956" i="10" s="1"/>
  <c r="A1958" i="10"/>
  <c r="B1958" i="10" s="1"/>
  <c r="C1958" i="10"/>
  <c r="D1958" i="10"/>
  <c r="E1958" i="10" s="1"/>
  <c r="F1958" i="10"/>
  <c r="G1957" i="10" s="1"/>
  <c r="I1958" i="10"/>
  <c r="A1959" i="10"/>
  <c r="B1959" i="10" s="1"/>
  <c r="C1959" i="10"/>
  <c r="D1959" i="10"/>
  <c r="E1959" i="10" s="1"/>
  <c r="F1959" i="10"/>
  <c r="G1958" i="10" s="1"/>
  <c r="A1960" i="10"/>
  <c r="C1960" i="10"/>
  <c r="D1960" i="10"/>
  <c r="E1960" i="10" s="1"/>
  <c r="F1960" i="10"/>
  <c r="G1959" i="10" s="1"/>
  <c r="A1961" i="10"/>
  <c r="B1961" i="10" s="1"/>
  <c r="C1961" i="10"/>
  <c r="D1961" i="10"/>
  <c r="E1961" i="10" s="1"/>
  <c r="F1961" i="10"/>
  <c r="G1960" i="10" s="1"/>
  <c r="A1962" i="10"/>
  <c r="B1962" i="10" s="1"/>
  <c r="C1962" i="10"/>
  <c r="D1962" i="10"/>
  <c r="E1962" i="10" s="1"/>
  <c r="F1962" i="10"/>
  <c r="G1961" i="10" s="1"/>
  <c r="A1963" i="10"/>
  <c r="B1963" i="10" s="1"/>
  <c r="C1963" i="10"/>
  <c r="D1963" i="10"/>
  <c r="E1963" i="10" s="1"/>
  <c r="F1963" i="10"/>
  <c r="G1962" i="10" s="1"/>
  <c r="A1964" i="10"/>
  <c r="B1964" i="10" s="1"/>
  <c r="C1964" i="10"/>
  <c r="D1964" i="10"/>
  <c r="E1964" i="10" s="1"/>
  <c r="F1964" i="10"/>
  <c r="G1963" i="10" s="1"/>
  <c r="I1964" i="10"/>
  <c r="A1965" i="10"/>
  <c r="B1965" i="10" s="1"/>
  <c r="C1965" i="10"/>
  <c r="D1965" i="10"/>
  <c r="E1965" i="10" s="1"/>
  <c r="F1965" i="10"/>
  <c r="G1964" i="10" s="1"/>
  <c r="A1966" i="10"/>
  <c r="B1966" i="10" s="1"/>
  <c r="C1966" i="10"/>
  <c r="D1966" i="10"/>
  <c r="E1966" i="10" s="1"/>
  <c r="F1966" i="10"/>
  <c r="G1965" i="10" s="1"/>
  <c r="A1967" i="10"/>
  <c r="B1967" i="10" s="1"/>
  <c r="C1967" i="10"/>
  <c r="D1967" i="10"/>
  <c r="E1967" i="10" s="1"/>
  <c r="F1967" i="10"/>
  <c r="G1966" i="10" s="1"/>
  <c r="A1968" i="10"/>
  <c r="B1968" i="10" s="1"/>
  <c r="C1968" i="10"/>
  <c r="D1968" i="10"/>
  <c r="E1968" i="10" s="1"/>
  <c r="F1968" i="10"/>
  <c r="G1967" i="10" s="1"/>
  <c r="A1969" i="10"/>
  <c r="B1969" i="10" s="1"/>
  <c r="C1969" i="10"/>
  <c r="D1969" i="10"/>
  <c r="E1969" i="10" s="1"/>
  <c r="F1969" i="10"/>
  <c r="G1968" i="10" s="1"/>
  <c r="A1970" i="10"/>
  <c r="C1970" i="10"/>
  <c r="D1970" i="10"/>
  <c r="E1970" i="10" s="1"/>
  <c r="F1970" i="10"/>
  <c r="G1969" i="10" s="1"/>
  <c r="A1971" i="10"/>
  <c r="B1971" i="10" s="1"/>
  <c r="C1971" i="10"/>
  <c r="D1971" i="10"/>
  <c r="E1971" i="10" s="1"/>
  <c r="F1971" i="10"/>
  <c r="G1970" i="10" s="1"/>
  <c r="A1972" i="10"/>
  <c r="C1972" i="10"/>
  <c r="D1972" i="10"/>
  <c r="E1972" i="10" s="1"/>
  <c r="F1972" i="10"/>
  <c r="G1971" i="10" s="1"/>
  <c r="A1973" i="10"/>
  <c r="B1973" i="10" s="1"/>
  <c r="C1973" i="10"/>
  <c r="D1973" i="10"/>
  <c r="E1973" i="10" s="1"/>
  <c r="F1973" i="10"/>
  <c r="G1972" i="10" s="1"/>
  <c r="A1974" i="10"/>
  <c r="B1974" i="10" s="1"/>
  <c r="C1974" i="10"/>
  <c r="D1974" i="10"/>
  <c r="E1974" i="10" s="1"/>
  <c r="F1974" i="10"/>
  <c r="G1973" i="10" s="1"/>
  <c r="A1975" i="10"/>
  <c r="B1975" i="10" s="1"/>
  <c r="C1975" i="10"/>
  <c r="D1975" i="10"/>
  <c r="E1975" i="10" s="1"/>
  <c r="F1975" i="10"/>
  <c r="G1974" i="10" s="1"/>
  <c r="A1976" i="10"/>
  <c r="B1976" i="10" s="1"/>
  <c r="C1976" i="10"/>
  <c r="D1976" i="10"/>
  <c r="E1976" i="10" s="1"/>
  <c r="F1976" i="10"/>
  <c r="G1975" i="10" s="1"/>
  <c r="A1977" i="10"/>
  <c r="B1977" i="10" s="1"/>
  <c r="C1977" i="10"/>
  <c r="D1977" i="10"/>
  <c r="E1977" i="10" s="1"/>
  <c r="F1977" i="10"/>
  <c r="G1976" i="10" s="1"/>
  <c r="A1978" i="10"/>
  <c r="C1978" i="10"/>
  <c r="D1978" i="10"/>
  <c r="E1978" i="10" s="1"/>
  <c r="F1978" i="10"/>
  <c r="G1977" i="10" s="1"/>
  <c r="A1979" i="10"/>
  <c r="B1979" i="10" s="1"/>
  <c r="C1979" i="10"/>
  <c r="D1979" i="10"/>
  <c r="E1979" i="10" s="1"/>
  <c r="F1979" i="10"/>
  <c r="G1978" i="10" s="1"/>
  <c r="A1980" i="10"/>
  <c r="B1980" i="10" s="1"/>
  <c r="C1980" i="10"/>
  <c r="D1980" i="10"/>
  <c r="E1980" i="10" s="1"/>
  <c r="F1980" i="10"/>
  <c r="G1979" i="10" s="1"/>
  <c r="A1981" i="10"/>
  <c r="B1981" i="10" s="1"/>
  <c r="C1981" i="10"/>
  <c r="D1981" i="10"/>
  <c r="E1981" i="10" s="1"/>
  <c r="F1981" i="10"/>
  <c r="G1980" i="10" s="1"/>
  <c r="A1982" i="10"/>
  <c r="I1982" i="10" s="1"/>
  <c r="C1982" i="10"/>
  <c r="D1982" i="10"/>
  <c r="E1982" i="10" s="1"/>
  <c r="F1982" i="10"/>
  <c r="G1981" i="10" s="1"/>
  <c r="A1983" i="10"/>
  <c r="C1983" i="10"/>
  <c r="D1983" i="10"/>
  <c r="E1983" i="10" s="1"/>
  <c r="F1983" i="10"/>
  <c r="G1982" i="10" s="1"/>
  <c r="A1984" i="10"/>
  <c r="B1984" i="10" s="1"/>
  <c r="C1984" i="10"/>
  <c r="D1984" i="10"/>
  <c r="E1984" i="10" s="1"/>
  <c r="F1984" i="10"/>
  <c r="G1983" i="10" s="1"/>
  <c r="A1985" i="10"/>
  <c r="C1985" i="10"/>
  <c r="D1985" i="10"/>
  <c r="E1985" i="10" s="1"/>
  <c r="F1985" i="10"/>
  <c r="G1984" i="10" s="1"/>
  <c r="A1986" i="10"/>
  <c r="B1986" i="10" s="1"/>
  <c r="C1986" i="10"/>
  <c r="D1986" i="10"/>
  <c r="E1986" i="10" s="1"/>
  <c r="F1986" i="10"/>
  <c r="G1985" i="10" s="1"/>
  <c r="A1987" i="10"/>
  <c r="B1987" i="10" s="1"/>
  <c r="C1987" i="10"/>
  <c r="D1987" i="10"/>
  <c r="E1987" i="10" s="1"/>
  <c r="F1987" i="10"/>
  <c r="G1986" i="10" s="1"/>
  <c r="A1988" i="10"/>
  <c r="B1988" i="10" s="1"/>
  <c r="C1988" i="10"/>
  <c r="D1988" i="10"/>
  <c r="E1988" i="10" s="1"/>
  <c r="F1988" i="10"/>
  <c r="G1987" i="10" s="1"/>
  <c r="A1989" i="10"/>
  <c r="B1989" i="10" s="1"/>
  <c r="C1989" i="10"/>
  <c r="D1989" i="10"/>
  <c r="E1989" i="10" s="1"/>
  <c r="F1989" i="10"/>
  <c r="G1988" i="10" s="1"/>
  <c r="A1990" i="10"/>
  <c r="C1990" i="10"/>
  <c r="D1990" i="10"/>
  <c r="E1990" i="10" s="1"/>
  <c r="F1990" i="10"/>
  <c r="G1989" i="10" s="1"/>
  <c r="A1991" i="10"/>
  <c r="B1991" i="10" s="1"/>
  <c r="C1991" i="10"/>
  <c r="D1991" i="10"/>
  <c r="E1991" i="10" s="1"/>
  <c r="F1991" i="10"/>
  <c r="G1990" i="10" s="1"/>
  <c r="A1992" i="10"/>
  <c r="B1992" i="10" s="1"/>
  <c r="C1992" i="10"/>
  <c r="D1992" i="10"/>
  <c r="E1992" i="10" s="1"/>
  <c r="F1992" i="10"/>
  <c r="G1991" i="10" s="1"/>
  <c r="A1993" i="10"/>
  <c r="B1993" i="10" s="1"/>
  <c r="C1993" i="10"/>
  <c r="D1993" i="10"/>
  <c r="E1993" i="10" s="1"/>
  <c r="F1993" i="10"/>
  <c r="G1992" i="10" s="1"/>
  <c r="A1994" i="10"/>
  <c r="B1994" i="10" s="1"/>
  <c r="C1994" i="10"/>
  <c r="D1994" i="10"/>
  <c r="E1994" i="10" s="1"/>
  <c r="F1994" i="10"/>
  <c r="G1993" i="10" s="1"/>
  <c r="A1995" i="10"/>
  <c r="C1995" i="10"/>
  <c r="D1995" i="10"/>
  <c r="E1995" i="10"/>
  <c r="F1995" i="10"/>
  <c r="G1994" i="10" s="1"/>
  <c r="A1996" i="10"/>
  <c r="C1996" i="10"/>
  <c r="D1996" i="10"/>
  <c r="E1996" i="10" s="1"/>
  <c r="F1996" i="10"/>
  <c r="G1995" i="10" s="1"/>
  <c r="A1997" i="10"/>
  <c r="B1997" i="10" s="1"/>
  <c r="C1997" i="10"/>
  <c r="D1997" i="10"/>
  <c r="E1997" i="10" s="1"/>
  <c r="F1997" i="10"/>
  <c r="G1996" i="10" s="1"/>
  <c r="A1998" i="10"/>
  <c r="B1998" i="10" s="1"/>
  <c r="C1998" i="10"/>
  <c r="D1998" i="10"/>
  <c r="E1998" i="10" s="1"/>
  <c r="F1998" i="10"/>
  <c r="G1997" i="10" s="1"/>
  <c r="A1999" i="10"/>
  <c r="B1999" i="10" s="1"/>
  <c r="C1999" i="10"/>
  <c r="D1999" i="10"/>
  <c r="E1999" i="10" s="1"/>
  <c r="F1999" i="10"/>
  <c r="G1998" i="10" s="1"/>
  <c r="A2000" i="10"/>
  <c r="B2000" i="10" s="1"/>
  <c r="C2000" i="10"/>
  <c r="D2000" i="10"/>
  <c r="E2000" i="10" s="1"/>
  <c r="F2000" i="10"/>
  <c r="C52" i="12"/>
  <c r="A52" i="12"/>
  <c r="C50" i="12"/>
  <c r="A50" i="12"/>
  <c r="C48" i="12"/>
  <c r="A48" i="12"/>
  <c r="C46" i="12"/>
  <c r="A46" i="12"/>
  <c r="C44" i="12"/>
  <c r="A44" i="12"/>
  <c r="C42" i="12"/>
  <c r="A42" i="12"/>
  <c r="C40" i="12"/>
  <c r="A40" i="12"/>
  <c r="C38" i="12"/>
  <c r="A38" i="12"/>
  <c r="C36" i="12"/>
  <c r="A36" i="12"/>
  <c r="C34" i="12"/>
  <c r="A34" i="12"/>
  <c r="C32" i="12"/>
  <c r="A32" i="12"/>
  <c r="C30" i="12"/>
  <c r="A30" i="12"/>
  <c r="C28" i="12"/>
  <c r="A28" i="12"/>
  <c r="C26" i="12"/>
  <c r="A26" i="12"/>
  <c r="C24" i="12"/>
  <c r="A24" i="12"/>
  <c r="C22" i="12"/>
  <c r="A22" i="12"/>
  <c r="C20" i="12"/>
  <c r="A20" i="12"/>
  <c r="C18" i="12"/>
  <c r="A18" i="12"/>
  <c r="C16" i="12"/>
  <c r="A16" i="12"/>
  <c r="C14" i="12"/>
  <c r="A14" i="12"/>
  <c r="C12" i="12"/>
  <c r="A12" i="12"/>
  <c r="C10" i="12"/>
  <c r="A10" i="12"/>
  <c r="C8" i="12"/>
  <c r="A8" i="12"/>
  <c r="C6" i="12"/>
  <c r="A6" i="12"/>
  <c r="C4" i="12"/>
  <c r="A4" i="12"/>
  <c r="C2" i="12"/>
  <c r="A2" i="12"/>
  <c r="A14" i="11"/>
  <c r="A11" i="11"/>
  <c r="A42" i="11"/>
  <c r="A41" i="11"/>
  <c r="A39" i="11"/>
  <c r="A38" i="11"/>
  <c r="A35" i="11"/>
  <c r="A33" i="11"/>
  <c r="A32" i="11"/>
  <c r="A30" i="11"/>
  <c r="A29" i="11"/>
  <c r="A26" i="11"/>
  <c r="A24" i="11"/>
  <c r="A23" i="11"/>
  <c r="A21" i="11"/>
  <c r="A20" i="11"/>
  <c r="A17" i="11"/>
  <c r="A15" i="11"/>
  <c r="A8" i="11"/>
  <c r="A5" i="11"/>
  <c r="A3" i="11"/>
  <c r="C2" i="11"/>
  <c r="A2" i="11"/>
  <c r="A1420" i="10"/>
  <c r="B1420" i="10" s="1"/>
  <c r="A1421" i="10"/>
  <c r="A1422" i="10"/>
  <c r="A1423" i="10"/>
  <c r="A1424" i="10"/>
  <c r="B1424" i="10" s="1"/>
  <c r="A1425" i="10"/>
  <c r="B1425" i="10" s="1"/>
  <c r="A1426" i="10"/>
  <c r="B1426" i="10" s="1"/>
  <c r="A1427" i="10"/>
  <c r="A1428" i="10"/>
  <c r="A1429" i="10"/>
  <c r="A1430" i="10"/>
  <c r="B1430" i="10" s="1"/>
  <c r="A1431" i="10"/>
  <c r="B1431" i="10" s="1"/>
  <c r="A1432" i="10"/>
  <c r="B1432" i="10" s="1"/>
  <c r="A1433" i="10"/>
  <c r="A1434" i="10"/>
  <c r="A1435" i="10"/>
  <c r="A1436" i="10"/>
  <c r="B1436" i="10" s="1"/>
  <c r="A1437" i="10"/>
  <c r="B1437" i="10" s="1"/>
  <c r="A1438" i="10"/>
  <c r="B1438" i="10" s="1"/>
  <c r="A1439" i="10"/>
  <c r="A1440" i="10"/>
  <c r="B1440" i="10" s="1"/>
  <c r="A1441" i="10"/>
  <c r="A1442" i="10"/>
  <c r="B1442" i="10" s="1"/>
  <c r="A1443" i="10"/>
  <c r="B1443" i="10" s="1"/>
  <c r="A1444" i="10"/>
  <c r="B1444" i="10" s="1"/>
  <c r="A1445" i="10"/>
  <c r="A1446" i="10"/>
  <c r="A1447" i="10"/>
  <c r="B1447" i="10" s="1"/>
  <c r="A1448" i="10"/>
  <c r="B1448" i="10" s="1"/>
  <c r="A1449" i="10"/>
  <c r="B1449" i="10" s="1"/>
  <c r="A1450" i="10"/>
  <c r="B1450" i="10" s="1"/>
  <c r="A1451" i="10"/>
  <c r="A1452" i="10"/>
  <c r="A1453" i="10"/>
  <c r="A1454" i="10"/>
  <c r="B1454" i="10" s="1"/>
  <c r="A1455" i="10"/>
  <c r="B1455" i="10" s="1"/>
  <c r="A1456" i="10"/>
  <c r="B1456" i="10" s="1"/>
  <c r="A1457" i="10"/>
  <c r="A1458" i="10"/>
  <c r="A1459" i="10"/>
  <c r="B1459" i="10" s="1"/>
  <c r="A1460" i="10"/>
  <c r="B1460" i="10" s="1"/>
  <c r="A1461" i="10"/>
  <c r="B1461" i="10" s="1"/>
  <c r="A1462" i="10"/>
  <c r="B1462" i="10" s="1"/>
  <c r="A1463" i="10"/>
  <c r="A1464" i="10"/>
  <c r="A1465" i="10"/>
  <c r="B1465" i="10" s="1"/>
  <c r="A1466" i="10"/>
  <c r="B1466" i="10" s="1"/>
  <c r="A1467" i="10"/>
  <c r="B1467" i="10" s="1"/>
  <c r="A1468" i="10"/>
  <c r="B1468" i="10" s="1"/>
  <c r="A1469" i="10"/>
  <c r="A1470" i="10"/>
  <c r="A1471" i="10"/>
  <c r="B1471" i="10" s="1"/>
  <c r="A1472" i="10"/>
  <c r="B1472" i="10" s="1"/>
  <c r="A1473" i="10"/>
  <c r="B1473" i="10" s="1"/>
  <c r="A1474" i="10"/>
  <c r="B1474" i="10" s="1"/>
  <c r="A1475" i="10"/>
  <c r="A1476" i="10"/>
  <c r="B1476" i="10" s="1"/>
  <c r="A1477" i="10"/>
  <c r="B1477" i="10" s="1"/>
  <c r="A1478" i="10"/>
  <c r="B1478" i="10" s="1"/>
  <c r="A1479" i="10"/>
  <c r="B1479" i="10" s="1"/>
  <c r="A1480" i="10"/>
  <c r="B1480" i="10" s="1"/>
  <c r="A1481" i="10"/>
  <c r="A1482" i="10"/>
  <c r="A1483" i="10"/>
  <c r="B1483" i="10" s="1"/>
  <c r="A1484" i="10"/>
  <c r="B1484" i="10" s="1"/>
  <c r="A1485" i="10"/>
  <c r="B1485" i="10" s="1"/>
  <c r="A1486" i="10"/>
  <c r="B1486" i="10" s="1"/>
  <c r="A1487" i="10"/>
  <c r="A1488" i="10"/>
  <c r="A1489" i="10"/>
  <c r="B1489" i="10" s="1"/>
  <c r="A1490" i="10"/>
  <c r="B1490" i="10" s="1"/>
  <c r="A1491" i="10"/>
  <c r="B1491" i="10" s="1"/>
  <c r="A1492" i="10"/>
  <c r="B1492" i="10" s="1"/>
  <c r="A1493" i="10"/>
  <c r="A1494" i="10"/>
  <c r="A1495" i="10"/>
  <c r="B1495" i="10" s="1"/>
  <c r="A1496" i="10"/>
  <c r="B1496" i="10" s="1"/>
  <c r="A1497" i="10"/>
  <c r="B1497" i="10" s="1"/>
  <c r="A1498" i="10"/>
  <c r="B1498" i="10" s="1"/>
  <c r="A1499" i="10"/>
  <c r="A1500"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D1274" i="10"/>
  <c r="E1274" i="10" s="1"/>
  <c r="D1275" i="10"/>
  <c r="E1275" i="10" s="1"/>
  <c r="D1276" i="10"/>
  <c r="E1276" i="10" s="1"/>
  <c r="D1277" i="10"/>
  <c r="E1277" i="10" s="1"/>
  <c r="D1278" i="10"/>
  <c r="E1278" i="10" s="1"/>
  <c r="D1279" i="10"/>
  <c r="E1279" i="10" s="1"/>
  <c r="D1280" i="10"/>
  <c r="E1280" i="10" s="1"/>
  <c r="D1281" i="10"/>
  <c r="E1281" i="10" s="1"/>
  <c r="D1282" i="10"/>
  <c r="E1282" i="10" s="1"/>
  <c r="D1283" i="10"/>
  <c r="E1283" i="10" s="1"/>
  <c r="D1284" i="10"/>
  <c r="E1284" i="10" s="1"/>
  <c r="D1285" i="10"/>
  <c r="E1285" i="10" s="1"/>
  <c r="D1286" i="10"/>
  <c r="E1286" i="10" s="1"/>
  <c r="D1287" i="10"/>
  <c r="E1287" i="10" s="1"/>
  <c r="D1288" i="10"/>
  <c r="E1288" i="10" s="1"/>
  <c r="D1289" i="10"/>
  <c r="E1289" i="10" s="1"/>
  <c r="D1290" i="10"/>
  <c r="E1290" i="10" s="1"/>
  <c r="D1291" i="10"/>
  <c r="E1291" i="10" s="1"/>
  <c r="D1292" i="10"/>
  <c r="E1292" i="10" s="1"/>
  <c r="D1293" i="10"/>
  <c r="E1293" i="10" s="1"/>
  <c r="D1294" i="10"/>
  <c r="E1294" i="10" s="1"/>
  <c r="D1295" i="10"/>
  <c r="E1295" i="10" s="1"/>
  <c r="D1296" i="10"/>
  <c r="E1296" i="10" s="1"/>
  <c r="D1297" i="10"/>
  <c r="E1297" i="10" s="1"/>
  <c r="D1298" i="10"/>
  <c r="E1298" i="10" s="1"/>
  <c r="D1299" i="10"/>
  <c r="E1299" i="10" s="1"/>
  <c r="D1300" i="10"/>
  <c r="E1300" i="10" s="1"/>
  <c r="D1301" i="10"/>
  <c r="E1301" i="10" s="1"/>
  <c r="D1302" i="10"/>
  <c r="E1302" i="10" s="1"/>
  <c r="D1303" i="10"/>
  <c r="E1303" i="10" s="1"/>
  <c r="D1304" i="10"/>
  <c r="E1304" i="10" s="1"/>
  <c r="D1305" i="10"/>
  <c r="E1305" i="10" s="1"/>
  <c r="D1306" i="10"/>
  <c r="E1306" i="10" s="1"/>
  <c r="D1307" i="10"/>
  <c r="E1307" i="10" s="1"/>
  <c r="D1308" i="10"/>
  <c r="E1308" i="10" s="1"/>
  <c r="D1309" i="10"/>
  <c r="E1309" i="10" s="1"/>
  <c r="D1310" i="10"/>
  <c r="E1310" i="10" s="1"/>
  <c r="D1311" i="10"/>
  <c r="E1311" i="10" s="1"/>
  <c r="D1312" i="10"/>
  <c r="E1312" i="10" s="1"/>
  <c r="D1313" i="10"/>
  <c r="E1313" i="10" s="1"/>
  <c r="D1314" i="10"/>
  <c r="E1314" i="10" s="1"/>
  <c r="D1315" i="10"/>
  <c r="E1315" i="10" s="1"/>
  <c r="D1316" i="10"/>
  <c r="E1316" i="10" s="1"/>
  <c r="D1317" i="10"/>
  <c r="E1317" i="10" s="1"/>
  <c r="D1318" i="10"/>
  <c r="E1318" i="10" s="1"/>
  <c r="D1319" i="10"/>
  <c r="E1319" i="10" s="1"/>
  <c r="D1320" i="10"/>
  <c r="E1320" i="10" s="1"/>
  <c r="D1321" i="10"/>
  <c r="E1321" i="10" s="1"/>
  <c r="D1322" i="10"/>
  <c r="E1322" i="10" s="1"/>
  <c r="D1323" i="10"/>
  <c r="E1323" i="10" s="1"/>
  <c r="D1324" i="10"/>
  <c r="E1324" i="10" s="1"/>
  <c r="D1325" i="10"/>
  <c r="E1325" i="10" s="1"/>
  <c r="D1326" i="10"/>
  <c r="E1326" i="10" s="1"/>
  <c r="D1327" i="10"/>
  <c r="E1327" i="10" s="1"/>
  <c r="D1328" i="10"/>
  <c r="E1328" i="10" s="1"/>
  <c r="D1329" i="10"/>
  <c r="E1329" i="10" s="1"/>
  <c r="D1330" i="10"/>
  <c r="E1330" i="10" s="1"/>
  <c r="D1331" i="10"/>
  <c r="E1331" i="10" s="1"/>
  <c r="D1332" i="10"/>
  <c r="E1332" i="10" s="1"/>
  <c r="D1333" i="10"/>
  <c r="E1333" i="10" s="1"/>
  <c r="D1334" i="10"/>
  <c r="E1334" i="10" s="1"/>
  <c r="D1335" i="10"/>
  <c r="E1335" i="10" s="1"/>
  <c r="D1336" i="10"/>
  <c r="E1336" i="10" s="1"/>
  <c r="D1337" i="10"/>
  <c r="E1337" i="10" s="1"/>
  <c r="D1338" i="10"/>
  <c r="E1338" i="10" s="1"/>
  <c r="D1339" i="10"/>
  <c r="E1339" i="10" s="1"/>
  <c r="D1340" i="10"/>
  <c r="E1340" i="10" s="1"/>
  <c r="D1341" i="10"/>
  <c r="E1341" i="10" s="1"/>
  <c r="D1342" i="10"/>
  <c r="E1342" i="10" s="1"/>
  <c r="D1343" i="10"/>
  <c r="E1343" i="10" s="1"/>
  <c r="D1344" i="10"/>
  <c r="E1344" i="10" s="1"/>
  <c r="D1345" i="10"/>
  <c r="E1345" i="10" s="1"/>
  <c r="D1346" i="10"/>
  <c r="E1346" i="10" s="1"/>
  <c r="D1347" i="10"/>
  <c r="E1347" i="10" s="1"/>
  <c r="D1348" i="10"/>
  <c r="E1348" i="10" s="1"/>
  <c r="D1349" i="10"/>
  <c r="E1349" i="10" s="1"/>
  <c r="D1350" i="10"/>
  <c r="E1350" i="10" s="1"/>
  <c r="D1351" i="10"/>
  <c r="E1351" i="10" s="1"/>
  <c r="D1352" i="10"/>
  <c r="E1352" i="10" s="1"/>
  <c r="D1353" i="10"/>
  <c r="E1353" i="10" s="1"/>
  <c r="D1354" i="10"/>
  <c r="E1354" i="10" s="1"/>
  <c r="D1355" i="10"/>
  <c r="E1355" i="10" s="1"/>
  <c r="D1356" i="10"/>
  <c r="E1356" i="10" s="1"/>
  <c r="D1357" i="10"/>
  <c r="E1357" i="10" s="1"/>
  <c r="D1358" i="10"/>
  <c r="E1358" i="10" s="1"/>
  <c r="D1359" i="10"/>
  <c r="E1359" i="10" s="1"/>
  <c r="D1360" i="10"/>
  <c r="E1360" i="10" s="1"/>
  <c r="D1361" i="10"/>
  <c r="E1361" i="10" s="1"/>
  <c r="D1362" i="10"/>
  <c r="E1362" i="10" s="1"/>
  <c r="D1363" i="10"/>
  <c r="E1363" i="10" s="1"/>
  <c r="D1364" i="10"/>
  <c r="E1364" i="10" s="1"/>
  <c r="D1365" i="10"/>
  <c r="E1365" i="10" s="1"/>
  <c r="D1366" i="10"/>
  <c r="E1366" i="10" s="1"/>
  <c r="D1367" i="10"/>
  <c r="E1367" i="10" s="1"/>
  <c r="D1368" i="10"/>
  <c r="E1368" i="10" s="1"/>
  <c r="D1369" i="10"/>
  <c r="E1369" i="10" s="1"/>
  <c r="D1370" i="10"/>
  <c r="E1370" i="10" s="1"/>
  <c r="D1371" i="10"/>
  <c r="E1371" i="10" s="1"/>
  <c r="D1372" i="10"/>
  <c r="E1372" i="10" s="1"/>
  <c r="D1373" i="10"/>
  <c r="E1373" i="10" s="1"/>
  <c r="D1374" i="10"/>
  <c r="E1374" i="10" s="1"/>
  <c r="D1375" i="10"/>
  <c r="E1375" i="10" s="1"/>
  <c r="D1376" i="10"/>
  <c r="E1376" i="10" s="1"/>
  <c r="D1377" i="10"/>
  <c r="E1377" i="10" s="1"/>
  <c r="D1378" i="10"/>
  <c r="E1378" i="10" s="1"/>
  <c r="D1379" i="10"/>
  <c r="E1379" i="10" s="1"/>
  <c r="D1380" i="10"/>
  <c r="E1380" i="10" s="1"/>
  <c r="D1381" i="10"/>
  <c r="E1381" i="10" s="1"/>
  <c r="D1382" i="10"/>
  <c r="E1382" i="10" s="1"/>
  <c r="D1383" i="10"/>
  <c r="E1383" i="10" s="1"/>
  <c r="D1384" i="10"/>
  <c r="E1384" i="10" s="1"/>
  <c r="D1385" i="10"/>
  <c r="E1385" i="10" s="1"/>
  <c r="D1386" i="10"/>
  <c r="E1386" i="10" s="1"/>
  <c r="D1387" i="10"/>
  <c r="E1387" i="10" s="1"/>
  <c r="D1388" i="10"/>
  <c r="E1388" i="10" s="1"/>
  <c r="D1389" i="10"/>
  <c r="E1389" i="10" s="1"/>
  <c r="D1390" i="10"/>
  <c r="E1390" i="10" s="1"/>
  <c r="D1391" i="10"/>
  <c r="E1391" i="10" s="1"/>
  <c r="D1392" i="10"/>
  <c r="E1392" i="10" s="1"/>
  <c r="D1393" i="10"/>
  <c r="E1393" i="10" s="1"/>
  <c r="D1394" i="10"/>
  <c r="E1394" i="10" s="1"/>
  <c r="D1395" i="10"/>
  <c r="E1395" i="10" s="1"/>
  <c r="D1396" i="10"/>
  <c r="E1396" i="10" s="1"/>
  <c r="D1397" i="10"/>
  <c r="E1397" i="10" s="1"/>
  <c r="D1398" i="10"/>
  <c r="E1398" i="10" s="1"/>
  <c r="D1399" i="10"/>
  <c r="E1399" i="10" s="1"/>
  <c r="D1400" i="10"/>
  <c r="E1400" i="10" s="1"/>
  <c r="D1401" i="10"/>
  <c r="E1401" i="10" s="1"/>
  <c r="D1402" i="10"/>
  <c r="E1402" i="10" s="1"/>
  <c r="D1403" i="10"/>
  <c r="E1403" i="10" s="1"/>
  <c r="D1404" i="10"/>
  <c r="E1404" i="10" s="1"/>
  <c r="D1405" i="10"/>
  <c r="E1405" i="10" s="1"/>
  <c r="D1406" i="10"/>
  <c r="E1406" i="10" s="1"/>
  <c r="D1407" i="10"/>
  <c r="E1407" i="10" s="1"/>
  <c r="D1408" i="10"/>
  <c r="E1408" i="10" s="1"/>
  <c r="D1409" i="10"/>
  <c r="E1409" i="10" s="1"/>
  <c r="D1410" i="10"/>
  <c r="E1410" i="10" s="1"/>
  <c r="D1411" i="10"/>
  <c r="E1411" i="10" s="1"/>
  <c r="D1412" i="10"/>
  <c r="E1412" i="10" s="1"/>
  <c r="D1413" i="10"/>
  <c r="E1413" i="10" s="1"/>
  <c r="D1414" i="10"/>
  <c r="E1414" i="10" s="1"/>
  <c r="D1415" i="10"/>
  <c r="E1415" i="10" s="1"/>
  <c r="D1416" i="10"/>
  <c r="E1416" i="10" s="1"/>
  <c r="D1417" i="10"/>
  <c r="E1417" i="10" s="1"/>
  <c r="D1418" i="10"/>
  <c r="E1418" i="10" s="1"/>
  <c r="D1419" i="10"/>
  <c r="E1419" i="10" s="1"/>
  <c r="D1420" i="10"/>
  <c r="E1420" i="10" s="1"/>
  <c r="D1421" i="10"/>
  <c r="E1421" i="10" s="1"/>
  <c r="D1422" i="10"/>
  <c r="E1422" i="10" s="1"/>
  <c r="D1423" i="10"/>
  <c r="E1423" i="10" s="1"/>
  <c r="D1424" i="10"/>
  <c r="E1424" i="10" s="1"/>
  <c r="D1425" i="10"/>
  <c r="E1425" i="10" s="1"/>
  <c r="D1426" i="10"/>
  <c r="E1426" i="10" s="1"/>
  <c r="D1427" i="10"/>
  <c r="E1427" i="10" s="1"/>
  <c r="D1428" i="10"/>
  <c r="E1428" i="10" s="1"/>
  <c r="D1429" i="10"/>
  <c r="E1429" i="10" s="1"/>
  <c r="D1430" i="10"/>
  <c r="E1430" i="10" s="1"/>
  <c r="D1431" i="10"/>
  <c r="E1431" i="10" s="1"/>
  <c r="D1432" i="10"/>
  <c r="E1432" i="10" s="1"/>
  <c r="D1433" i="10"/>
  <c r="E1433" i="10" s="1"/>
  <c r="D1434" i="10"/>
  <c r="E1434" i="10" s="1"/>
  <c r="D1435" i="10"/>
  <c r="E1435" i="10" s="1"/>
  <c r="D1436" i="10"/>
  <c r="E1436" i="10" s="1"/>
  <c r="D1437" i="10"/>
  <c r="E1437" i="10" s="1"/>
  <c r="D1438" i="10"/>
  <c r="E1438" i="10" s="1"/>
  <c r="D1439" i="10"/>
  <c r="E1439" i="10" s="1"/>
  <c r="D1440" i="10"/>
  <c r="E1440" i="10" s="1"/>
  <c r="D1441" i="10"/>
  <c r="E1441" i="10" s="1"/>
  <c r="D1442" i="10"/>
  <c r="E1442" i="10" s="1"/>
  <c r="D1443" i="10"/>
  <c r="E1443" i="10" s="1"/>
  <c r="D1444" i="10"/>
  <c r="E1444" i="10" s="1"/>
  <c r="D1445" i="10"/>
  <c r="E1445" i="10" s="1"/>
  <c r="D1446" i="10"/>
  <c r="E1446" i="10" s="1"/>
  <c r="D1447" i="10"/>
  <c r="E1447" i="10" s="1"/>
  <c r="D1448" i="10"/>
  <c r="E1448" i="10" s="1"/>
  <c r="D1449" i="10"/>
  <c r="E1449" i="10" s="1"/>
  <c r="D1450" i="10"/>
  <c r="E1450" i="10" s="1"/>
  <c r="D1451" i="10"/>
  <c r="E1451" i="10" s="1"/>
  <c r="D1452" i="10"/>
  <c r="E1452" i="10" s="1"/>
  <c r="D1453" i="10"/>
  <c r="E1453" i="10" s="1"/>
  <c r="D1454" i="10"/>
  <c r="E1454" i="10" s="1"/>
  <c r="D1455" i="10"/>
  <c r="E1455" i="10" s="1"/>
  <c r="D1456" i="10"/>
  <c r="E1456" i="10" s="1"/>
  <c r="D1457" i="10"/>
  <c r="E1457" i="10" s="1"/>
  <c r="D1458" i="10"/>
  <c r="E1458" i="10" s="1"/>
  <c r="D1459" i="10"/>
  <c r="E1459" i="10" s="1"/>
  <c r="D1460" i="10"/>
  <c r="E1460" i="10" s="1"/>
  <c r="D1461" i="10"/>
  <c r="E1461" i="10" s="1"/>
  <c r="D1462" i="10"/>
  <c r="E1462" i="10" s="1"/>
  <c r="D1463" i="10"/>
  <c r="E1463" i="10" s="1"/>
  <c r="D1464" i="10"/>
  <c r="E1464" i="10" s="1"/>
  <c r="D1465" i="10"/>
  <c r="E1465" i="10" s="1"/>
  <c r="D1466" i="10"/>
  <c r="E1466" i="10" s="1"/>
  <c r="D1467" i="10"/>
  <c r="E1467" i="10" s="1"/>
  <c r="D1468" i="10"/>
  <c r="E1468" i="10" s="1"/>
  <c r="D1469" i="10"/>
  <c r="E1469" i="10" s="1"/>
  <c r="D1470" i="10"/>
  <c r="E1470" i="10" s="1"/>
  <c r="D1471" i="10"/>
  <c r="E1471" i="10" s="1"/>
  <c r="D1472" i="10"/>
  <c r="E1472" i="10" s="1"/>
  <c r="D1473" i="10"/>
  <c r="E1473" i="10" s="1"/>
  <c r="D1474" i="10"/>
  <c r="E1474" i="10" s="1"/>
  <c r="D1475" i="10"/>
  <c r="E1475" i="10" s="1"/>
  <c r="D1476" i="10"/>
  <c r="E1476" i="10" s="1"/>
  <c r="D1477" i="10"/>
  <c r="E1477" i="10" s="1"/>
  <c r="D1478" i="10"/>
  <c r="E1478" i="10" s="1"/>
  <c r="D1479" i="10"/>
  <c r="E1479" i="10" s="1"/>
  <c r="D1480" i="10"/>
  <c r="E1480" i="10" s="1"/>
  <c r="D1481" i="10"/>
  <c r="E1481" i="10" s="1"/>
  <c r="D1482" i="10"/>
  <c r="E1482" i="10" s="1"/>
  <c r="D1483" i="10"/>
  <c r="E1483" i="10" s="1"/>
  <c r="D1484" i="10"/>
  <c r="E1484" i="10" s="1"/>
  <c r="D1485" i="10"/>
  <c r="E1485" i="10" s="1"/>
  <c r="D1486" i="10"/>
  <c r="E1486" i="10" s="1"/>
  <c r="D1487" i="10"/>
  <c r="E1487" i="10" s="1"/>
  <c r="D1488" i="10"/>
  <c r="E1488" i="10" s="1"/>
  <c r="D1489" i="10"/>
  <c r="E1489" i="10" s="1"/>
  <c r="D1490" i="10"/>
  <c r="E1490" i="10" s="1"/>
  <c r="D1491" i="10"/>
  <c r="E1491" i="10" s="1"/>
  <c r="D1492" i="10"/>
  <c r="E1492" i="10" s="1"/>
  <c r="D1493" i="10"/>
  <c r="E1493" i="10" s="1"/>
  <c r="D1494" i="10"/>
  <c r="E1494" i="10" s="1"/>
  <c r="D1495" i="10"/>
  <c r="E1495" i="10" s="1"/>
  <c r="D1496" i="10"/>
  <c r="E1496" i="10" s="1"/>
  <c r="D1497" i="10"/>
  <c r="E1497" i="10" s="1"/>
  <c r="D1498" i="10"/>
  <c r="E1498" i="10" s="1"/>
  <c r="D1499" i="10"/>
  <c r="E1499" i="10" s="1"/>
  <c r="D1500" i="10"/>
  <c r="E1500" i="10" s="1"/>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G1484" i="10" s="1"/>
  <c r="F1486" i="10"/>
  <c r="F1487" i="10"/>
  <c r="F1488" i="10"/>
  <c r="F1489" i="10"/>
  <c r="F1490" i="10"/>
  <c r="F1491" i="10"/>
  <c r="F1492" i="10"/>
  <c r="F1493" i="10"/>
  <c r="F1494" i="10"/>
  <c r="F1495" i="10"/>
  <c r="F1496" i="10"/>
  <c r="F1497" i="10"/>
  <c r="F1498" i="10"/>
  <c r="F1499" i="10"/>
  <c r="F1500"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2" i="10"/>
  <c r="D3" i="10"/>
  <c r="E3" i="10" s="1"/>
  <c r="D4" i="10"/>
  <c r="E4" i="10" s="1"/>
  <c r="D5" i="10"/>
  <c r="E5" i="10" s="1"/>
  <c r="D6" i="10"/>
  <c r="E6" i="10" s="1"/>
  <c r="D7" i="10"/>
  <c r="E7" i="10" s="1"/>
  <c r="D8" i="10"/>
  <c r="E8" i="10" s="1"/>
  <c r="D9" i="10"/>
  <c r="E9" i="10" s="1"/>
  <c r="D10" i="10"/>
  <c r="E10" i="10" s="1"/>
  <c r="D11" i="10"/>
  <c r="E11" i="10" s="1"/>
  <c r="D12" i="10"/>
  <c r="E12" i="10" s="1"/>
  <c r="D13" i="10"/>
  <c r="E13" i="10" s="1"/>
  <c r="D14" i="10"/>
  <c r="E14" i="10" s="1"/>
  <c r="D15" i="10"/>
  <c r="E15" i="10" s="1"/>
  <c r="D16" i="10"/>
  <c r="E16" i="10" s="1"/>
  <c r="D17" i="10"/>
  <c r="E17" i="10" s="1"/>
  <c r="D18" i="10"/>
  <c r="E18" i="10" s="1"/>
  <c r="D19" i="10"/>
  <c r="E19" i="10" s="1"/>
  <c r="D20" i="10"/>
  <c r="E20" i="10" s="1"/>
  <c r="D21" i="10"/>
  <c r="E21" i="10" s="1"/>
  <c r="D22" i="10"/>
  <c r="E22" i="10" s="1"/>
  <c r="D23" i="10"/>
  <c r="E23" i="10" s="1"/>
  <c r="D24" i="10"/>
  <c r="E24" i="10" s="1"/>
  <c r="D25" i="10"/>
  <c r="E25" i="10" s="1"/>
  <c r="D26" i="10"/>
  <c r="E26" i="10" s="1"/>
  <c r="D27" i="10"/>
  <c r="E27" i="10" s="1"/>
  <c r="D28" i="10"/>
  <c r="E28" i="10" s="1"/>
  <c r="D29" i="10"/>
  <c r="E29" i="10" s="1"/>
  <c r="D30" i="10"/>
  <c r="E30" i="10" s="1"/>
  <c r="D31" i="10"/>
  <c r="E31" i="10" s="1"/>
  <c r="D32" i="10"/>
  <c r="E32" i="10" s="1"/>
  <c r="D33" i="10"/>
  <c r="E33" i="10" s="1"/>
  <c r="D34" i="10"/>
  <c r="E34" i="10" s="1"/>
  <c r="D35" i="10"/>
  <c r="E35" i="10" s="1"/>
  <c r="D36" i="10"/>
  <c r="E36" i="10" s="1"/>
  <c r="D37" i="10"/>
  <c r="E37" i="10" s="1"/>
  <c r="D38" i="10"/>
  <c r="E38" i="10" s="1"/>
  <c r="D39" i="10"/>
  <c r="E39" i="10" s="1"/>
  <c r="D40" i="10"/>
  <c r="E40" i="10" s="1"/>
  <c r="D41" i="10"/>
  <c r="E41" i="10" s="1"/>
  <c r="D42" i="10"/>
  <c r="E42" i="10" s="1"/>
  <c r="D43" i="10"/>
  <c r="E43" i="10" s="1"/>
  <c r="D44" i="10"/>
  <c r="E44" i="10" s="1"/>
  <c r="D45" i="10"/>
  <c r="E45" i="10" s="1"/>
  <c r="D46" i="10"/>
  <c r="E46" i="10" s="1"/>
  <c r="D47" i="10"/>
  <c r="E47" i="10" s="1"/>
  <c r="D48" i="10"/>
  <c r="E48" i="10" s="1"/>
  <c r="D49" i="10"/>
  <c r="E49" i="10" s="1"/>
  <c r="D50" i="10"/>
  <c r="E50" i="10" s="1"/>
  <c r="D51" i="10"/>
  <c r="E51" i="10" s="1"/>
  <c r="D52" i="10"/>
  <c r="E52" i="10" s="1"/>
  <c r="D53" i="10"/>
  <c r="E53" i="10" s="1"/>
  <c r="D54" i="10"/>
  <c r="E54" i="10" s="1"/>
  <c r="D55" i="10"/>
  <c r="E55" i="10" s="1"/>
  <c r="D56" i="10"/>
  <c r="E56" i="10" s="1"/>
  <c r="D57" i="10"/>
  <c r="E57" i="10" s="1"/>
  <c r="D58" i="10"/>
  <c r="E58" i="10" s="1"/>
  <c r="D59" i="10"/>
  <c r="E59" i="10" s="1"/>
  <c r="D60" i="10"/>
  <c r="E60" i="10" s="1"/>
  <c r="D61" i="10"/>
  <c r="E61" i="10" s="1"/>
  <c r="D62" i="10"/>
  <c r="E62" i="10" s="1"/>
  <c r="D63" i="10"/>
  <c r="E63" i="10" s="1"/>
  <c r="D64" i="10"/>
  <c r="E64" i="10" s="1"/>
  <c r="D65" i="10"/>
  <c r="E65" i="10" s="1"/>
  <c r="D66" i="10"/>
  <c r="E66" i="10" s="1"/>
  <c r="D67" i="10"/>
  <c r="E67" i="10" s="1"/>
  <c r="D68" i="10"/>
  <c r="E68" i="10" s="1"/>
  <c r="D69" i="10"/>
  <c r="E69" i="10" s="1"/>
  <c r="D70" i="10"/>
  <c r="E70" i="10" s="1"/>
  <c r="D71" i="10"/>
  <c r="E71" i="10" s="1"/>
  <c r="D72" i="10"/>
  <c r="E72" i="10" s="1"/>
  <c r="D73" i="10"/>
  <c r="E73" i="10" s="1"/>
  <c r="D74" i="10"/>
  <c r="E74" i="10" s="1"/>
  <c r="D75" i="10"/>
  <c r="E75" i="10" s="1"/>
  <c r="D76" i="10"/>
  <c r="E76" i="10" s="1"/>
  <c r="D77" i="10"/>
  <c r="E77" i="10" s="1"/>
  <c r="D78" i="10"/>
  <c r="E78" i="10" s="1"/>
  <c r="D79" i="10"/>
  <c r="E79" i="10" s="1"/>
  <c r="D80" i="10"/>
  <c r="E80" i="10" s="1"/>
  <c r="D81" i="10"/>
  <c r="E81" i="10" s="1"/>
  <c r="D82" i="10"/>
  <c r="E82" i="10" s="1"/>
  <c r="D83" i="10"/>
  <c r="E83" i="10" s="1"/>
  <c r="D84" i="10"/>
  <c r="E84" i="10" s="1"/>
  <c r="D85" i="10"/>
  <c r="E85" i="10" s="1"/>
  <c r="D86" i="10"/>
  <c r="E86" i="10" s="1"/>
  <c r="D87" i="10"/>
  <c r="E87" i="10" s="1"/>
  <c r="D88" i="10"/>
  <c r="E88" i="10" s="1"/>
  <c r="D89" i="10"/>
  <c r="E89" i="10" s="1"/>
  <c r="D90" i="10"/>
  <c r="E90" i="10" s="1"/>
  <c r="D91" i="10"/>
  <c r="E91" i="10" s="1"/>
  <c r="D92" i="10"/>
  <c r="E92" i="10" s="1"/>
  <c r="D93" i="10"/>
  <c r="E93" i="10" s="1"/>
  <c r="D94" i="10"/>
  <c r="E94" i="10" s="1"/>
  <c r="D95" i="10"/>
  <c r="E95" i="10" s="1"/>
  <c r="D96" i="10"/>
  <c r="E96" i="10" s="1"/>
  <c r="D97" i="10"/>
  <c r="E97" i="10" s="1"/>
  <c r="D98" i="10"/>
  <c r="E98" i="10" s="1"/>
  <c r="D99" i="10"/>
  <c r="E99" i="10" s="1"/>
  <c r="D100" i="10"/>
  <c r="E100" i="10" s="1"/>
  <c r="D101" i="10"/>
  <c r="E101" i="10" s="1"/>
  <c r="D102" i="10"/>
  <c r="E102" i="10" s="1"/>
  <c r="D103" i="10"/>
  <c r="E103" i="10" s="1"/>
  <c r="D104" i="10"/>
  <c r="E104" i="10" s="1"/>
  <c r="D105" i="10"/>
  <c r="E105" i="10" s="1"/>
  <c r="D106" i="10"/>
  <c r="E106" i="10" s="1"/>
  <c r="D107" i="10"/>
  <c r="E107" i="10" s="1"/>
  <c r="D108" i="10"/>
  <c r="E108" i="10" s="1"/>
  <c r="D109" i="10"/>
  <c r="E109" i="10" s="1"/>
  <c r="D110" i="10"/>
  <c r="E110" i="10" s="1"/>
  <c r="D111" i="10"/>
  <c r="E111" i="10" s="1"/>
  <c r="D112" i="10"/>
  <c r="E112" i="10" s="1"/>
  <c r="D113" i="10"/>
  <c r="E113" i="10" s="1"/>
  <c r="D114" i="10"/>
  <c r="E114" i="10" s="1"/>
  <c r="D115" i="10"/>
  <c r="E115" i="10" s="1"/>
  <c r="D116" i="10"/>
  <c r="E116" i="10" s="1"/>
  <c r="D117" i="10"/>
  <c r="E117" i="10" s="1"/>
  <c r="D118" i="10"/>
  <c r="E118" i="10" s="1"/>
  <c r="D119" i="10"/>
  <c r="E119" i="10" s="1"/>
  <c r="D120" i="10"/>
  <c r="E120" i="10" s="1"/>
  <c r="D121" i="10"/>
  <c r="E121" i="10" s="1"/>
  <c r="D122" i="10"/>
  <c r="E122" i="10" s="1"/>
  <c r="D123" i="10"/>
  <c r="E123" i="10" s="1"/>
  <c r="D124" i="10"/>
  <c r="E124" i="10" s="1"/>
  <c r="D125" i="10"/>
  <c r="E125" i="10" s="1"/>
  <c r="D126" i="10"/>
  <c r="E126" i="10" s="1"/>
  <c r="D127" i="10"/>
  <c r="E127" i="10" s="1"/>
  <c r="D128" i="10"/>
  <c r="E128" i="10" s="1"/>
  <c r="D129" i="10"/>
  <c r="E129" i="10" s="1"/>
  <c r="D130" i="10"/>
  <c r="E130" i="10" s="1"/>
  <c r="D131" i="10"/>
  <c r="E131" i="10" s="1"/>
  <c r="D132" i="10"/>
  <c r="E132" i="10" s="1"/>
  <c r="D133" i="10"/>
  <c r="E133" i="10" s="1"/>
  <c r="D134" i="10"/>
  <c r="E134" i="10" s="1"/>
  <c r="D135" i="10"/>
  <c r="E135" i="10" s="1"/>
  <c r="D136" i="10"/>
  <c r="E136" i="10" s="1"/>
  <c r="D137" i="10"/>
  <c r="E137" i="10" s="1"/>
  <c r="D138" i="10"/>
  <c r="E138" i="10" s="1"/>
  <c r="D139" i="10"/>
  <c r="E139" i="10" s="1"/>
  <c r="D140" i="10"/>
  <c r="E140" i="10" s="1"/>
  <c r="D141" i="10"/>
  <c r="E141" i="10" s="1"/>
  <c r="D142" i="10"/>
  <c r="E142" i="10" s="1"/>
  <c r="D143" i="10"/>
  <c r="E143" i="10" s="1"/>
  <c r="D144" i="10"/>
  <c r="E144" i="10" s="1"/>
  <c r="D145" i="10"/>
  <c r="E145" i="10" s="1"/>
  <c r="D146" i="10"/>
  <c r="E146" i="10" s="1"/>
  <c r="D147" i="10"/>
  <c r="E147" i="10" s="1"/>
  <c r="D148" i="10"/>
  <c r="E148" i="10" s="1"/>
  <c r="D149" i="10"/>
  <c r="E149" i="10" s="1"/>
  <c r="D150" i="10"/>
  <c r="E150" i="10" s="1"/>
  <c r="D151" i="10"/>
  <c r="E151" i="10" s="1"/>
  <c r="D152" i="10"/>
  <c r="E152" i="10" s="1"/>
  <c r="D153" i="10"/>
  <c r="E153" i="10" s="1"/>
  <c r="D154" i="10"/>
  <c r="E154" i="10" s="1"/>
  <c r="D155" i="10"/>
  <c r="E155" i="10" s="1"/>
  <c r="D156" i="10"/>
  <c r="E156" i="10" s="1"/>
  <c r="D157" i="10"/>
  <c r="E157" i="10" s="1"/>
  <c r="D158" i="10"/>
  <c r="E158" i="10" s="1"/>
  <c r="D159" i="10"/>
  <c r="E159" i="10" s="1"/>
  <c r="D160" i="10"/>
  <c r="E160" i="10" s="1"/>
  <c r="D161" i="10"/>
  <c r="E161" i="10" s="1"/>
  <c r="D162" i="10"/>
  <c r="E162" i="10" s="1"/>
  <c r="D163" i="10"/>
  <c r="E163" i="10" s="1"/>
  <c r="D164" i="10"/>
  <c r="E164" i="10" s="1"/>
  <c r="D165" i="10"/>
  <c r="E165" i="10" s="1"/>
  <c r="D166" i="10"/>
  <c r="E166" i="10" s="1"/>
  <c r="D167" i="10"/>
  <c r="E167" i="10" s="1"/>
  <c r="D168" i="10"/>
  <c r="E168" i="10" s="1"/>
  <c r="D169" i="10"/>
  <c r="E169" i="10" s="1"/>
  <c r="D170" i="10"/>
  <c r="E170" i="10" s="1"/>
  <c r="D171" i="10"/>
  <c r="E171" i="10" s="1"/>
  <c r="D172" i="10"/>
  <c r="E172" i="10" s="1"/>
  <c r="D173" i="10"/>
  <c r="E173" i="10" s="1"/>
  <c r="D174" i="10"/>
  <c r="E174" i="10" s="1"/>
  <c r="D175" i="10"/>
  <c r="E175" i="10" s="1"/>
  <c r="D176" i="10"/>
  <c r="E176" i="10" s="1"/>
  <c r="D177" i="10"/>
  <c r="E177" i="10" s="1"/>
  <c r="D178" i="10"/>
  <c r="E178" i="10" s="1"/>
  <c r="D179" i="10"/>
  <c r="E179" i="10" s="1"/>
  <c r="D180" i="10"/>
  <c r="E180" i="10" s="1"/>
  <c r="D181" i="10"/>
  <c r="E181" i="10" s="1"/>
  <c r="D182" i="10"/>
  <c r="E182" i="10" s="1"/>
  <c r="D183" i="10"/>
  <c r="E183" i="10" s="1"/>
  <c r="D184" i="10"/>
  <c r="E184" i="10" s="1"/>
  <c r="D185" i="10"/>
  <c r="E185" i="10" s="1"/>
  <c r="D186" i="10"/>
  <c r="E186" i="10" s="1"/>
  <c r="D187" i="10"/>
  <c r="E187" i="10" s="1"/>
  <c r="D188" i="10"/>
  <c r="E188" i="10" s="1"/>
  <c r="D189" i="10"/>
  <c r="E189" i="10" s="1"/>
  <c r="D190" i="10"/>
  <c r="E190" i="10" s="1"/>
  <c r="D191" i="10"/>
  <c r="E191" i="10" s="1"/>
  <c r="D192" i="10"/>
  <c r="E192" i="10" s="1"/>
  <c r="D193" i="10"/>
  <c r="E193" i="10" s="1"/>
  <c r="D194" i="10"/>
  <c r="E194" i="10" s="1"/>
  <c r="D195" i="10"/>
  <c r="E195" i="10" s="1"/>
  <c r="D196" i="10"/>
  <c r="E196" i="10" s="1"/>
  <c r="D197" i="10"/>
  <c r="E197" i="10" s="1"/>
  <c r="D198" i="10"/>
  <c r="E198" i="10" s="1"/>
  <c r="D199" i="10"/>
  <c r="E199" i="10" s="1"/>
  <c r="D200" i="10"/>
  <c r="E200" i="10" s="1"/>
  <c r="D201" i="10"/>
  <c r="E201" i="10" s="1"/>
  <c r="D202" i="10"/>
  <c r="E202" i="10" s="1"/>
  <c r="D203" i="10"/>
  <c r="E203" i="10" s="1"/>
  <c r="D204" i="10"/>
  <c r="E204" i="10" s="1"/>
  <c r="D205" i="10"/>
  <c r="E205" i="10" s="1"/>
  <c r="D206" i="10"/>
  <c r="E206" i="10" s="1"/>
  <c r="D207" i="10"/>
  <c r="E207" i="10" s="1"/>
  <c r="D208" i="10"/>
  <c r="E208" i="10" s="1"/>
  <c r="D209" i="10"/>
  <c r="E209" i="10" s="1"/>
  <c r="D210" i="10"/>
  <c r="E210" i="10" s="1"/>
  <c r="D211" i="10"/>
  <c r="E211" i="10" s="1"/>
  <c r="D212" i="10"/>
  <c r="E212" i="10" s="1"/>
  <c r="D213" i="10"/>
  <c r="E213" i="10" s="1"/>
  <c r="D214" i="10"/>
  <c r="E214" i="10" s="1"/>
  <c r="D215" i="10"/>
  <c r="E215" i="10" s="1"/>
  <c r="D216" i="10"/>
  <c r="E216" i="10" s="1"/>
  <c r="D217" i="10"/>
  <c r="E217" i="10" s="1"/>
  <c r="D218" i="10"/>
  <c r="E218" i="10" s="1"/>
  <c r="D219" i="10"/>
  <c r="E219" i="10" s="1"/>
  <c r="D220" i="10"/>
  <c r="E220" i="10" s="1"/>
  <c r="D221" i="10"/>
  <c r="E221" i="10" s="1"/>
  <c r="D222" i="10"/>
  <c r="E222" i="10" s="1"/>
  <c r="D223" i="10"/>
  <c r="E223" i="10" s="1"/>
  <c r="D224" i="10"/>
  <c r="E224" i="10" s="1"/>
  <c r="D225" i="10"/>
  <c r="E225" i="10" s="1"/>
  <c r="D226" i="10"/>
  <c r="E226" i="10" s="1"/>
  <c r="D227" i="10"/>
  <c r="E227" i="10" s="1"/>
  <c r="D228" i="10"/>
  <c r="E228" i="10" s="1"/>
  <c r="D229" i="10"/>
  <c r="E229" i="10" s="1"/>
  <c r="D230" i="10"/>
  <c r="E230" i="10" s="1"/>
  <c r="D231" i="10"/>
  <c r="E231" i="10" s="1"/>
  <c r="D232" i="10"/>
  <c r="E232" i="10" s="1"/>
  <c r="D233" i="10"/>
  <c r="E233" i="10" s="1"/>
  <c r="D234" i="10"/>
  <c r="E234" i="10" s="1"/>
  <c r="D235" i="10"/>
  <c r="E235" i="10" s="1"/>
  <c r="D236" i="10"/>
  <c r="E236" i="10" s="1"/>
  <c r="D237" i="10"/>
  <c r="E237" i="10" s="1"/>
  <c r="D238" i="10"/>
  <c r="E238" i="10" s="1"/>
  <c r="D239" i="10"/>
  <c r="E239" i="10" s="1"/>
  <c r="D240" i="10"/>
  <c r="E240" i="10" s="1"/>
  <c r="D241" i="10"/>
  <c r="E241" i="10" s="1"/>
  <c r="D242" i="10"/>
  <c r="E242" i="10" s="1"/>
  <c r="D243" i="10"/>
  <c r="E243" i="10" s="1"/>
  <c r="D244" i="10"/>
  <c r="E244" i="10" s="1"/>
  <c r="D245" i="10"/>
  <c r="E245" i="10" s="1"/>
  <c r="D246" i="10"/>
  <c r="E246" i="10" s="1"/>
  <c r="D247" i="10"/>
  <c r="E247" i="10" s="1"/>
  <c r="D248" i="10"/>
  <c r="E248" i="10" s="1"/>
  <c r="D249" i="10"/>
  <c r="E249" i="10" s="1"/>
  <c r="D250" i="10"/>
  <c r="E250" i="10" s="1"/>
  <c r="D251" i="10"/>
  <c r="E251" i="10" s="1"/>
  <c r="D252" i="10"/>
  <c r="E252" i="10" s="1"/>
  <c r="D253" i="10"/>
  <c r="E253" i="10" s="1"/>
  <c r="D254" i="10"/>
  <c r="E254" i="10" s="1"/>
  <c r="D255" i="10"/>
  <c r="E255" i="10" s="1"/>
  <c r="D256" i="10"/>
  <c r="E256" i="10" s="1"/>
  <c r="D257" i="10"/>
  <c r="E257" i="10" s="1"/>
  <c r="D258" i="10"/>
  <c r="E258" i="10" s="1"/>
  <c r="D259" i="10"/>
  <c r="E259" i="10" s="1"/>
  <c r="D260" i="10"/>
  <c r="E260" i="10" s="1"/>
  <c r="D261" i="10"/>
  <c r="E261" i="10" s="1"/>
  <c r="D262" i="10"/>
  <c r="E262" i="10" s="1"/>
  <c r="D263" i="10"/>
  <c r="E263" i="10" s="1"/>
  <c r="D264" i="10"/>
  <c r="E264" i="10" s="1"/>
  <c r="D265" i="10"/>
  <c r="E265" i="10" s="1"/>
  <c r="D266" i="10"/>
  <c r="E266" i="10" s="1"/>
  <c r="D267" i="10"/>
  <c r="E267" i="10" s="1"/>
  <c r="D268" i="10"/>
  <c r="E268" i="10" s="1"/>
  <c r="D269" i="10"/>
  <c r="E269" i="10" s="1"/>
  <c r="D270" i="10"/>
  <c r="E270" i="10" s="1"/>
  <c r="D271" i="10"/>
  <c r="E271" i="10" s="1"/>
  <c r="D272" i="10"/>
  <c r="E272" i="10" s="1"/>
  <c r="D273" i="10"/>
  <c r="E273" i="10" s="1"/>
  <c r="D274" i="10"/>
  <c r="E274" i="10" s="1"/>
  <c r="D275" i="10"/>
  <c r="E275" i="10" s="1"/>
  <c r="D276" i="10"/>
  <c r="E276" i="10" s="1"/>
  <c r="D277" i="10"/>
  <c r="E277" i="10" s="1"/>
  <c r="D278" i="10"/>
  <c r="E278" i="10" s="1"/>
  <c r="D279" i="10"/>
  <c r="E279" i="10" s="1"/>
  <c r="D280" i="10"/>
  <c r="E280" i="10" s="1"/>
  <c r="D281" i="10"/>
  <c r="E281" i="10" s="1"/>
  <c r="D282" i="10"/>
  <c r="E282" i="10" s="1"/>
  <c r="D283" i="10"/>
  <c r="E283" i="10" s="1"/>
  <c r="D284" i="10"/>
  <c r="E284" i="10" s="1"/>
  <c r="D285" i="10"/>
  <c r="E285" i="10" s="1"/>
  <c r="D286" i="10"/>
  <c r="E286" i="10" s="1"/>
  <c r="D287" i="10"/>
  <c r="E287" i="10" s="1"/>
  <c r="D288" i="10"/>
  <c r="E288" i="10" s="1"/>
  <c r="D289" i="10"/>
  <c r="E289" i="10" s="1"/>
  <c r="D290" i="10"/>
  <c r="E290" i="10" s="1"/>
  <c r="D291" i="10"/>
  <c r="E291" i="10" s="1"/>
  <c r="D292" i="10"/>
  <c r="E292" i="10" s="1"/>
  <c r="D293" i="10"/>
  <c r="E293" i="10" s="1"/>
  <c r="D294" i="10"/>
  <c r="E294" i="10" s="1"/>
  <c r="D295" i="10"/>
  <c r="E295" i="10" s="1"/>
  <c r="D296" i="10"/>
  <c r="E296" i="10" s="1"/>
  <c r="D297" i="10"/>
  <c r="E297" i="10" s="1"/>
  <c r="D298" i="10"/>
  <c r="E298" i="10" s="1"/>
  <c r="D299" i="10"/>
  <c r="E299" i="10" s="1"/>
  <c r="D300" i="10"/>
  <c r="E300" i="10" s="1"/>
  <c r="D301" i="10"/>
  <c r="E301" i="10" s="1"/>
  <c r="D302" i="10"/>
  <c r="E302" i="10" s="1"/>
  <c r="D303" i="10"/>
  <c r="E303" i="10" s="1"/>
  <c r="D304" i="10"/>
  <c r="E304" i="10" s="1"/>
  <c r="D305" i="10"/>
  <c r="E305" i="10" s="1"/>
  <c r="D306" i="10"/>
  <c r="E306" i="10" s="1"/>
  <c r="D307" i="10"/>
  <c r="E307" i="10" s="1"/>
  <c r="D308" i="10"/>
  <c r="E308" i="10" s="1"/>
  <c r="D309" i="10"/>
  <c r="E309" i="10" s="1"/>
  <c r="D310" i="10"/>
  <c r="E310" i="10" s="1"/>
  <c r="D311" i="10"/>
  <c r="E311" i="10" s="1"/>
  <c r="D312" i="10"/>
  <c r="E312" i="10" s="1"/>
  <c r="D313" i="10"/>
  <c r="E313" i="10" s="1"/>
  <c r="D314" i="10"/>
  <c r="E314" i="10" s="1"/>
  <c r="D315" i="10"/>
  <c r="E315" i="10" s="1"/>
  <c r="D316" i="10"/>
  <c r="E316" i="10" s="1"/>
  <c r="D317" i="10"/>
  <c r="E317" i="10" s="1"/>
  <c r="D318" i="10"/>
  <c r="E318" i="10" s="1"/>
  <c r="D319" i="10"/>
  <c r="E319" i="10" s="1"/>
  <c r="D320" i="10"/>
  <c r="E320" i="10" s="1"/>
  <c r="D321" i="10"/>
  <c r="E321" i="10" s="1"/>
  <c r="D322" i="10"/>
  <c r="E322" i="10" s="1"/>
  <c r="D323" i="10"/>
  <c r="E323" i="10" s="1"/>
  <c r="D324" i="10"/>
  <c r="E324" i="10" s="1"/>
  <c r="D325" i="10"/>
  <c r="E325" i="10" s="1"/>
  <c r="D326" i="10"/>
  <c r="E326" i="10" s="1"/>
  <c r="D327" i="10"/>
  <c r="E327" i="10" s="1"/>
  <c r="D328" i="10"/>
  <c r="E328" i="10" s="1"/>
  <c r="D329" i="10"/>
  <c r="E329" i="10" s="1"/>
  <c r="D330" i="10"/>
  <c r="E330" i="10" s="1"/>
  <c r="D331" i="10"/>
  <c r="E331" i="10" s="1"/>
  <c r="D332" i="10"/>
  <c r="E332" i="10" s="1"/>
  <c r="D333" i="10"/>
  <c r="E333" i="10" s="1"/>
  <c r="D334" i="10"/>
  <c r="E334" i="10" s="1"/>
  <c r="D335" i="10"/>
  <c r="E335" i="10" s="1"/>
  <c r="D336" i="10"/>
  <c r="E336" i="10" s="1"/>
  <c r="D337" i="10"/>
  <c r="E337" i="10" s="1"/>
  <c r="D338" i="10"/>
  <c r="E338" i="10" s="1"/>
  <c r="D339" i="10"/>
  <c r="E339" i="10" s="1"/>
  <c r="D340" i="10"/>
  <c r="E340" i="10" s="1"/>
  <c r="D341" i="10"/>
  <c r="E341" i="10" s="1"/>
  <c r="D342" i="10"/>
  <c r="E342" i="10" s="1"/>
  <c r="D343" i="10"/>
  <c r="E343" i="10" s="1"/>
  <c r="D344" i="10"/>
  <c r="E344" i="10" s="1"/>
  <c r="D345" i="10"/>
  <c r="E345" i="10" s="1"/>
  <c r="D346" i="10"/>
  <c r="E346" i="10" s="1"/>
  <c r="D347" i="10"/>
  <c r="E347" i="10" s="1"/>
  <c r="D348" i="10"/>
  <c r="E348" i="10" s="1"/>
  <c r="D349" i="10"/>
  <c r="E349" i="10" s="1"/>
  <c r="D350" i="10"/>
  <c r="E350" i="10" s="1"/>
  <c r="D351" i="10"/>
  <c r="E351" i="10" s="1"/>
  <c r="D352" i="10"/>
  <c r="E352" i="10" s="1"/>
  <c r="D353" i="10"/>
  <c r="E353" i="10" s="1"/>
  <c r="D354" i="10"/>
  <c r="E354" i="10" s="1"/>
  <c r="D355" i="10"/>
  <c r="E355" i="10" s="1"/>
  <c r="D356" i="10"/>
  <c r="E356" i="10" s="1"/>
  <c r="D357" i="10"/>
  <c r="E357" i="10" s="1"/>
  <c r="D358" i="10"/>
  <c r="E358" i="10" s="1"/>
  <c r="D359" i="10"/>
  <c r="E359" i="10" s="1"/>
  <c r="D360" i="10"/>
  <c r="E360" i="10" s="1"/>
  <c r="D361" i="10"/>
  <c r="E361" i="10" s="1"/>
  <c r="D362" i="10"/>
  <c r="E362" i="10" s="1"/>
  <c r="D363" i="10"/>
  <c r="E363" i="10" s="1"/>
  <c r="D364" i="10"/>
  <c r="E364" i="10" s="1"/>
  <c r="D365" i="10"/>
  <c r="E365" i="10" s="1"/>
  <c r="D366" i="10"/>
  <c r="E366" i="10" s="1"/>
  <c r="D367" i="10"/>
  <c r="E367" i="10" s="1"/>
  <c r="D368" i="10"/>
  <c r="E368" i="10" s="1"/>
  <c r="D369" i="10"/>
  <c r="E369" i="10" s="1"/>
  <c r="D370" i="10"/>
  <c r="E370" i="10" s="1"/>
  <c r="D371" i="10"/>
  <c r="E371" i="10" s="1"/>
  <c r="D372" i="10"/>
  <c r="E372" i="10" s="1"/>
  <c r="D373" i="10"/>
  <c r="E373" i="10" s="1"/>
  <c r="D374" i="10"/>
  <c r="E374" i="10" s="1"/>
  <c r="D375" i="10"/>
  <c r="E375" i="10" s="1"/>
  <c r="D376" i="10"/>
  <c r="E376" i="10" s="1"/>
  <c r="D377" i="10"/>
  <c r="E377" i="10" s="1"/>
  <c r="D378" i="10"/>
  <c r="E378" i="10" s="1"/>
  <c r="D379" i="10"/>
  <c r="E379" i="10" s="1"/>
  <c r="D380" i="10"/>
  <c r="E380" i="10" s="1"/>
  <c r="D381" i="10"/>
  <c r="E381" i="10" s="1"/>
  <c r="D382" i="10"/>
  <c r="E382" i="10" s="1"/>
  <c r="D383" i="10"/>
  <c r="E383" i="10" s="1"/>
  <c r="D384" i="10"/>
  <c r="E384" i="10" s="1"/>
  <c r="D385" i="10"/>
  <c r="E385" i="10" s="1"/>
  <c r="D386" i="10"/>
  <c r="E386" i="10" s="1"/>
  <c r="D387" i="10"/>
  <c r="E387" i="10" s="1"/>
  <c r="D388" i="10"/>
  <c r="E388" i="10" s="1"/>
  <c r="D389" i="10"/>
  <c r="E389" i="10" s="1"/>
  <c r="D390" i="10"/>
  <c r="E390" i="10" s="1"/>
  <c r="D391" i="10"/>
  <c r="E391" i="10" s="1"/>
  <c r="D392" i="10"/>
  <c r="E392" i="10" s="1"/>
  <c r="D393" i="10"/>
  <c r="E393" i="10" s="1"/>
  <c r="D394" i="10"/>
  <c r="E394" i="10" s="1"/>
  <c r="D395" i="10"/>
  <c r="E395" i="10" s="1"/>
  <c r="D396" i="10"/>
  <c r="E396" i="10" s="1"/>
  <c r="D397" i="10"/>
  <c r="E397" i="10" s="1"/>
  <c r="D398" i="10"/>
  <c r="E398" i="10" s="1"/>
  <c r="D399" i="10"/>
  <c r="E399" i="10" s="1"/>
  <c r="D400" i="10"/>
  <c r="E400" i="10" s="1"/>
  <c r="D401" i="10"/>
  <c r="E401" i="10" s="1"/>
  <c r="D402" i="10"/>
  <c r="E402" i="10" s="1"/>
  <c r="D403" i="10"/>
  <c r="E403" i="10" s="1"/>
  <c r="D404" i="10"/>
  <c r="E404" i="10" s="1"/>
  <c r="D405" i="10"/>
  <c r="E405" i="10" s="1"/>
  <c r="D406" i="10"/>
  <c r="E406" i="10" s="1"/>
  <c r="D407" i="10"/>
  <c r="E407" i="10" s="1"/>
  <c r="D408" i="10"/>
  <c r="E408" i="10" s="1"/>
  <c r="D409" i="10"/>
  <c r="E409" i="10" s="1"/>
  <c r="D410" i="10"/>
  <c r="E410" i="10" s="1"/>
  <c r="D411" i="10"/>
  <c r="E411" i="10" s="1"/>
  <c r="D412" i="10"/>
  <c r="E412" i="10" s="1"/>
  <c r="D413" i="10"/>
  <c r="E413" i="10" s="1"/>
  <c r="D414" i="10"/>
  <c r="E414" i="10" s="1"/>
  <c r="D415" i="10"/>
  <c r="E415" i="10" s="1"/>
  <c r="D416" i="10"/>
  <c r="E416" i="10" s="1"/>
  <c r="D417" i="10"/>
  <c r="E417" i="10" s="1"/>
  <c r="D418" i="10"/>
  <c r="E418" i="10" s="1"/>
  <c r="D419" i="10"/>
  <c r="E419" i="10" s="1"/>
  <c r="D420" i="10"/>
  <c r="E420" i="10" s="1"/>
  <c r="D421" i="10"/>
  <c r="E421" i="10" s="1"/>
  <c r="D422" i="10"/>
  <c r="E422" i="10" s="1"/>
  <c r="D423" i="10"/>
  <c r="E423" i="10" s="1"/>
  <c r="D424" i="10"/>
  <c r="E424" i="10" s="1"/>
  <c r="D425" i="10"/>
  <c r="E425" i="10" s="1"/>
  <c r="D426" i="10"/>
  <c r="E426" i="10" s="1"/>
  <c r="D427" i="10"/>
  <c r="E427" i="10" s="1"/>
  <c r="D428" i="10"/>
  <c r="E428" i="10" s="1"/>
  <c r="D429" i="10"/>
  <c r="E429" i="10" s="1"/>
  <c r="D430" i="10"/>
  <c r="E430" i="10" s="1"/>
  <c r="D431" i="10"/>
  <c r="E431" i="10" s="1"/>
  <c r="D432" i="10"/>
  <c r="E432" i="10" s="1"/>
  <c r="D433" i="10"/>
  <c r="E433" i="10" s="1"/>
  <c r="D434" i="10"/>
  <c r="E434" i="10" s="1"/>
  <c r="D435" i="10"/>
  <c r="E435" i="10" s="1"/>
  <c r="D436" i="10"/>
  <c r="E436" i="10" s="1"/>
  <c r="D437" i="10"/>
  <c r="E437" i="10" s="1"/>
  <c r="D438" i="10"/>
  <c r="E438" i="10" s="1"/>
  <c r="D439" i="10"/>
  <c r="E439" i="10" s="1"/>
  <c r="D440" i="10"/>
  <c r="E440" i="10" s="1"/>
  <c r="D441" i="10"/>
  <c r="E441" i="10" s="1"/>
  <c r="D442" i="10"/>
  <c r="E442" i="10" s="1"/>
  <c r="D443" i="10"/>
  <c r="E443" i="10" s="1"/>
  <c r="D444" i="10"/>
  <c r="E444" i="10" s="1"/>
  <c r="D445" i="10"/>
  <c r="E445" i="10" s="1"/>
  <c r="D446" i="10"/>
  <c r="E446" i="10" s="1"/>
  <c r="D447" i="10"/>
  <c r="E447" i="10" s="1"/>
  <c r="D448" i="10"/>
  <c r="E448" i="10" s="1"/>
  <c r="D449" i="10"/>
  <c r="E449" i="10" s="1"/>
  <c r="D450" i="10"/>
  <c r="E450" i="10" s="1"/>
  <c r="D451" i="10"/>
  <c r="E451" i="10" s="1"/>
  <c r="D452" i="10"/>
  <c r="E452" i="10" s="1"/>
  <c r="D453" i="10"/>
  <c r="E453" i="10" s="1"/>
  <c r="D454" i="10"/>
  <c r="E454" i="10" s="1"/>
  <c r="D455" i="10"/>
  <c r="E455" i="10" s="1"/>
  <c r="D456" i="10"/>
  <c r="E456" i="10" s="1"/>
  <c r="D457" i="10"/>
  <c r="E457" i="10" s="1"/>
  <c r="D458" i="10"/>
  <c r="E458" i="10" s="1"/>
  <c r="D459" i="10"/>
  <c r="E459" i="10" s="1"/>
  <c r="D460" i="10"/>
  <c r="E460" i="10" s="1"/>
  <c r="D461" i="10"/>
  <c r="E461" i="10" s="1"/>
  <c r="D462" i="10"/>
  <c r="E462" i="10" s="1"/>
  <c r="D463" i="10"/>
  <c r="E463" i="10" s="1"/>
  <c r="D464" i="10"/>
  <c r="E464" i="10" s="1"/>
  <c r="D465" i="10"/>
  <c r="E465" i="10" s="1"/>
  <c r="D466" i="10"/>
  <c r="E466" i="10" s="1"/>
  <c r="D467" i="10"/>
  <c r="E467" i="10" s="1"/>
  <c r="D468" i="10"/>
  <c r="E468" i="10" s="1"/>
  <c r="D469" i="10"/>
  <c r="E469" i="10" s="1"/>
  <c r="D470" i="10"/>
  <c r="E470" i="10" s="1"/>
  <c r="D471" i="10"/>
  <c r="E471" i="10" s="1"/>
  <c r="D472" i="10"/>
  <c r="E472" i="10" s="1"/>
  <c r="D473" i="10"/>
  <c r="E473" i="10" s="1"/>
  <c r="D474" i="10"/>
  <c r="E474" i="10" s="1"/>
  <c r="D475" i="10"/>
  <c r="E475" i="10" s="1"/>
  <c r="D476" i="10"/>
  <c r="E476" i="10" s="1"/>
  <c r="D477" i="10"/>
  <c r="E477" i="10" s="1"/>
  <c r="D478" i="10"/>
  <c r="E478" i="10" s="1"/>
  <c r="D479" i="10"/>
  <c r="E479" i="10" s="1"/>
  <c r="D480" i="10"/>
  <c r="E480" i="10" s="1"/>
  <c r="D481" i="10"/>
  <c r="E481" i="10" s="1"/>
  <c r="D482" i="10"/>
  <c r="E482" i="10" s="1"/>
  <c r="D483" i="10"/>
  <c r="E483" i="10" s="1"/>
  <c r="D484" i="10"/>
  <c r="E484" i="10" s="1"/>
  <c r="D485" i="10"/>
  <c r="E485" i="10" s="1"/>
  <c r="D486" i="10"/>
  <c r="E486" i="10" s="1"/>
  <c r="D487" i="10"/>
  <c r="E487" i="10" s="1"/>
  <c r="D488" i="10"/>
  <c r="E488" i="10" s="1"/>
  <c r="D489" i="10"/>
  <c r="E489" i="10" s="1"/>
  <c r="D490" i="10"/>
  <c r="E490" i="10" s="1"/>
  <c r="D491" i="10"/>
  <c r="E491" i="10" s="1"/>
  <c r="D492" i="10"/>
  <c r="E492" i="10" s="1"/>
  <c r="D493" i="10"/>
  <c r="E493" i="10" s="1"/>
  <c r="D494" i="10"/>
  <c r="E494" i="10" s="1"/>
  <c r="D495" i="10"/>
  <c r="E495" i="10" s="1"/>
  <c r="D496" i="10"/>
  <c r="E496" i="10" s="1"/>
  <c r="D497" i="10"/>
  <c r="E497" i="10" s="1"/>
  <c r="D498" i="10"/>
  <c r="E498" i="10" s="1"/>
  <c r="D499" i="10"/>
  <c r="E499" i="10" s="1"/>
  <c r="D500" i="10"/>
  <c r="E500" i="10" s="1"/>
  <c r="D501" i="10"/>
  <c r="E501" i="10" s="1"/>
  <c r="D502" i="10"/>
  <c r="E502" i="10" s="1"/>
  <c r="D503" i="10"/>
  <c r="E503" i="10" s="1"/>
  <c r="D504" i="10"/>
  <c r="E504" i="10" s="1"/>
  <c r="D505" i="10"/>
  <c r="E505" i="10" s="1"/>
  <c r="D506" i="10"/>
  <c r="E506" i="10" s="1"/>
  <c r="D507" i="10"/>
  <c r="E507" i="10" s="1"/>
  <c r="D508" i="10"/>
  <c r="E508" i="10" s="1"/>
  <c r="D509" i="10"/>
  <c r="E509" i="10" s="1"/>
  <c r="D510" i="10"/>
  <c r="E510" i="10" s="1"/>
  <c r="D511" i="10"/>
  <c r="E511" i="10" s="1"/>
  <c r="D512" i="10"/>
  <c r="E512" i="10" s="1"/>
  <c r="D513" i="10"/>
  <c r="E513" i="10" s="1"/>
  <c r="D514" i="10"/>
  <c r="E514" i="10" s="1"/>
  <c r="D515" i="10"/>
  <c r="E515" i="10" s="1"/>
  <c r="D516" i="10"/>
  <c r="E516" i="10" s="1"/>
  <c r="D517" i="10"/>
  <c r="E517" i="10" s="1"/>
  <c r="D518" i="10"/>
  <c r="E518" i="10" s="1"/>
  <c r="D519" i="10"/>
  <c r="E519" i="10" s="1"/>
  <c r="D520" i="10"/>
  <c r="E520" i="10" s="1"/>
  <c r="D521" i="10"/>
  <c r="E521" i="10" s="1"/>
  <c r="D522" i="10"/>
  <c r="E522" i="10" s="1"/>
  <c r="D523" i="10"/>
  <c r="E523" i="10" s="1"/>
  <c r="D524" i="10"/>
  <c r="E524" i="10" s="1"/>
  <c r="D525" i="10"/>
  <c r="E525" i="10" s="1"/>
  <c r="D526" i="10"/>
  <c r="E526" i="10" s="1"/>
  <c r="D527" i="10"/>
  <c r="E527" i="10" s="1"/>
  <c r="D528" i="10"/>
  <c r="E528" i="10" s="1"/>
  <c r="D529" i="10"/>
  <c r="E529" i="10" s="1"/>
  <c r="D530" i="10"/>
  <c r="E530" i="10" s="1"/>
  <c r="D531" i="10"/>
  <c r="E531" i="10" s="1"/>
  <c r="D532" i="10"/>
  <c r="E532" i="10" s="1"/>
  <c r="D533" i="10"/>
  <c r="E533" i="10" s="1"/>
  <c r="D534" i="10"/>
  <c r="E534" i="10" s="1"/>
  <c r="D535" i="10"/>
  <c r="E535" i="10" s="1"/>
  <c r="D536" i="10"/>
  <c r="E536" i="10" s="1"/>
  <c r="D537" i="10"/>
  <c r="E537" i="10" s="1"/>
  <c r="D538" i="10"/>
  <c r="E538" i="10" s="1"/>
  <c r="D539" i="10"/>
  <c r="E539" i="10" s="1"/>
  <c r="D540" i="10"/>
  <c r="E540" i="10" s="1"/>
  <c r="D541" i="10"/>
  <c r="E541" i="10" s="1"/>
  <c r="D542" i="10"/>
  <c r="E542" i="10" s="1"/>
  <c r="D543" i="10"/>
  <c r="E543" i="10" s="1"/>
  <c r="D544" i="10"/>
  <c r="E544" i="10" s="1"/>
  <c r="D545" i="10"/>
  <c r="E545" i="10" s="1"/>
  <c r="D546" i="10"/>
  <c r="E546" i="10" s="1"/>
  <c r="D547" i="10"/>
  <c r="E547" i="10" s="1"/>
  <c r="D548" i="10"/>
  <c r="E548" i="10" s="1"/>
  <c r="D549" i="10"/>
  <c r="E549" i="10" s="1"/>
  <c r="D550" i="10"/>
  <c r="E550" i="10" s="1"/>
  <c r="D551" i="10"/>
  <c r="E551" i="10" s="1"/>
  <c r="D552" i="10"/>
  <c r="E552" i="10" s="1"/>
  <c r="D553" i="10"/>
  <c r="E553" i="10" s="1"/>
  <c r="D554" i="10"/>
  <c r="E554" i="10" s="1"/>
  <c r="D555" i="10"/>
  <c r="E555" i="10" s="1"/>
  <c r="D556" i="10"/>
  <c r="E556" i="10" s="1"/>
  <c r="D557" i="10"/>
  <c r="E557" i="10" s="1"/>
  <c r="D558" i="10"/>
  <c r="E558" i="10" s="1"/>
  <c r="D559" i="10"/>
  <c r="E559" i="10" s="1"/>
  <c r="D560" i="10"/>
  <c r="E560" i="10" s="1"/>
  <c r="D561" i="10"/>
  <c r="E561" i="10" s="1"/>
  <c r="D562" i="10"/>
  <c r="E562" i="10" s="1"/>
  <c r="D563" i="10"/>
  <c r="E563" i="10" s="1"/>
  <c r="D564" i="10"/>
  <c r="E564" i="10" s="1"/>
  <c r="D565" i="10"/>
  <c r="E565" i="10" s="1"/>
  <c r="D566" i="10"/>
  <c r="E566" i="10" s="1"/>
  <c r="D567" i="10"/>
  <c r="E567" i="10" s="1"/>
  <c r="D568" i="10"/>
  <c r="E568" i="10" s="1"/>
  <c r="D569" i="10"/>
  <c r="E569" i="10" s="1"/>
  <c r="D570" i="10"/>
  <c r="E570" i="10" s="1"/>
  <c r="D571" i="10"/>
  <c r="E571" i="10" s="1"/>
  <c r="D572" i="10"/>
  <c r="E572" i="10" s="1"/>
  <c r="D573" i="10"/>
  <c r="E573" i="10" s="1"/>
  <c r="D574" i="10"/>
  <c r="E574" i="10" s="1"/>
  <c r="D575" i="10"/>
  <c r="E575" i="10" s="1"/>
  <c r="D576" i="10"/>
  <c r="E576" i="10" s="1"/>
  <c r="D577" i="10"/>
  <c r="E577" i="10" s="1"/>
  <c r="D578" i="10"/>
  <c r="E578" i="10" s="1"/>
  <c r="D579" i="10"/>
  <c r="E579" i="10" s="1"/>
  <c r="D580" i="10"/>
  <c r="E580" i="10" s="1"/>
  <c r="D581" i="10"/>
  <c r="E581" i="10" s="1"/>
  <c r="D582" i="10"/>
  <c r="E582" i="10" s="1"/>
  <c r="D583" i="10"/>
  <c r="E583" i="10" s="1"/>
  <c r="D584" i="10"/>
  <c r="E584" i="10" s="1"/>
  <c r="D585" i="10"/>
  <c r="E585" i="10" s="1"/>
  <c r="D586" i="10"/>
  <c r="E586" i="10" s="1"/>
  <c r="D587" i="10"/>
  <c r="E587" i="10" s="1"/>
  <c r="D588" i="10"/>
  <c r="E588" i="10" s="1"/>
  <c r="D589" i="10"/>
  <c r="E589" i="10" s="1"/>
  <c r="D590" i="10"/>
  <c r="E590" i="10" s="1"/>
  <c r="D591" i="10"/>
  <c r="E591" i="10" s="1"/>
  <c r="D592" i="10"/>
  <c r="E592" i="10" s="1"/>
  <c r="D593" i="10"/>
  <c r="E593" i="10" s="1"/>
  <c r="D594" i="10"/>
  <c r="E594" i="10" s="1"/>
  <c r="D595" i="10"/>
  <c r="E595" i="10" s="1"/>
  <c r="D596" i="10"/>
  <c r="E596" i="10" s="1"/>
  <c r="D597" i="10"/>
  <c r="E597" i="10" s="1"/>
  <c r="D598" i="10"/>
  <c r="E598" i="10" s="1"/>
  <c r="D599" i="10"/>
  <c r="E599" i="10" s="1"/>
  <c r="D600" i="10"/>
  <c r="E600" i="10" s="1"/>
  <c r="D601" i="10"/>
  <c r="E601" i="10" s="1"/>
  <c r="D602" i="10"/>
  <c r="E602" i="10" s="1"/>
  <c r="D603" i="10"/>
  <c r="E603" i="10" s="1"/>
  <c r="D604" i="10"/>
  <c r="E604" i="10" s="1"/>
  <c r="D605" i="10"/>
  <c r="E605" i="10" s="1"/>
  <c r="D606" i="10"/>
  <c r="E606" i="10" s="1"/>
  <c r="D607" i="10"/>
  <c r="E607" i="10" s="1"/>
  <c r="D608" i="10"/>
  <c r="E608" i="10" s="1"/>
  <c r="D609" i="10"/>
  <c r="E609" i="10" s="1"/>
  <c r="D610" i="10"/>
  <c r="E610" i="10" s="1"/>
  <c r="D611" i="10"/>
  <c r="E611" i="10" s="1"/>
  <c r="D612" i="10"/>
  <c r="E612" i="10" s="1"/>
  <c r="D613" i="10"/>
  <c r="E613" i="10" s="1"/>
  <c r="D614" i="10"/>
  <c r="E614" i="10" s="1"/>
  <c r="D615" i="10"/>
  <c r="E615" i="10" s="1"/>
  <c r="D616" i="10"/>
  <c r="E616" i="10" s="1"/>
  <c r="D617" i="10"/>
  <c r="E617" i="10" s="1"/>
  <c r="D618" i="10"/>
  <c r="E618" i="10" s="1"/>
  <c r="D619" i="10"/>
  <c r="E619" i="10" s="1"/>
  <c r="D620" i="10"/>
  <c r="E620" i="10" s="1"/>
  <c r="D621" i="10"/>
  <c r="E621" i="10" s="1"/>
  <c r="D622" i="10"/>
  <c r="E622" i="10" s="1"/>
  <c r="D623" i="10"/>
  <c r="E623" i="10" s="1"/>
  <c r="D624" i="10"/>
  <c r="E624" i="10" s="1"/>
  <c r="D625" i="10"/>
  <c r="E625" i="10" s="1"/>
  <c r="D626" i="10"/>
  <c r="E626" i="10" s="1"/>
  <c r="D627" i="10"/>
  <c r="E627" i="10" s="1"/>
  <c r="D628" i="10"/>
  <c r="E628" i="10" s="1"/>
  <c r="D629" i="10"/>
  <c r="E629" i="10" s="1"/>
  <c r="D630" i="10"/>
  <c r="E630" i="10" s="1"/>
  <c r="D631" i="10"/>
  <c r="E631" i="10" s="1"/>
  <c r="D632" i="10"/>
  <c r="E632" i="10" s="1"/>
  <c r="D633" i="10"/>
  <c r="E633" i="10" s="1"/>
  <c r="D634" i="10"/>
  <c r="E634" i="10" s="1"/>
  <c r="D635" i="10"/>
  <c r="E635" i="10" s="1"/>
  <c r="D636" i="10"/>
  <c r="E636" i="10" s="1"/>
  <c r="D637" i="10"/>
  <c r="E637" i="10" s="1"/>
  <c r="D638" i="10"/>
  <c r="E638" i="10" s="1"/>
  <c r="D639" i="10"/>
  <c r="E639" i="10" s="1"/>
  <c r="D640" i="10"/>
  <c r="E640" i="10" s="1"/>
  <c r="D641" i="10"/>
  <c r="E641" i="10" s="1"/>
  <c r="D642" i="10"/>
  <c r="E642" i="10" s="1"/>
  <c r="D643" i="10"/>
  <c r="E643" i="10" s="1"/>
  <c r="D644" i="10"/>
  <c r="E644" i="10" s="1"/>
  <c r="D645" i="10"/>
  <c r="E645" i="10" s="1"/>
  <c r="D646" i="10"/>
  <c r="E646" i="10" s="1"/>
  <c r="D647" i="10"/>
  <c r="E647" i="10" s="1"/>
  <c r="D648" i="10"/>
  <c r="E648" i="10" s="1"/>
  <c r="D649" i="10"/>
  <c r="E649" i="10" s="1"/>
  <c r="D650" i="10"/>
  <c r="E650" i="10" s="1"/>
  <c r="D651" i="10"/>
  <c r="E651" i="10" s="1"/>
  <c r="D652" i="10"/>
  <c r="E652" i="10" s="1"/>
  <c r="D653" i="10"/>
  <c r="E653" i="10" s="1"/>
  <c r="D654" i="10"/>
  <c r="E654" i="10" s="1"/>
  <c r="D655" i="10"/>
  <c r="E655" i="10" s="1"/>
  <c r="D656" i="10"/>
  <c r="E656" i="10" s="1"/>
  <c r="D657" i="10"/>
  <c r="E657" i="10" s="1"/>
  <c r="D658" i="10"/>
  <c r="E658" i="10" s="1"/>
  <c r="D659" i="10"/>
  <c r="E659" i="10" s="1"/>
  <c r="D660" i="10"/>
  <c r="E660" i="10" s="1"/>
  <c r="D661" i="10"/>
  <c r="E661" i="10" s="1"/>
  <c r="D662" i="10"/>
  <c r="E662" i="10" s="1"/>
  <c r="D663" i="10"/>
  <c r="E663" i="10" s="1"/>
  <c r="D664" i="10"/>
  <c r="E664" i="10" s="1"/>
  <c r="D665" i="10"/>
  <c r="E665" i="10" s="1"/>
  <c r="D666" i="10"/>
  <c r="E666" i="10" s="1"/>
  <c r="D667" i="10"/>
  <c r="E667" i="10" s="1"/>
  <c r="D668" i="10"/>
  <c r="E668" i="10" s="1"/>
  <c r="D669" i="10"/>
  <c r="E669" i="10" s="1"/>
  <c r="D670" i="10"/>
  <c r="E670" i="10" s="1"/>
  <c r="D671" i="10"/>
  <c r="E671" i="10" s="1"/>
  <c r="D672" i="10"/>
  <c r="E672" i="10" s="1"/>
  <c r="D673" i="10"/>
  <c r="E673" i="10" s="1"/>
  <c r="D674" i="10"/>
  <c r="E674" i="10" s="1"/>
  <c r="D675" i="10"/>
  <c r="E675" i="10" s="1"/>
  <c r="D676" i="10"/>
  <c r="E676" i="10" s="1"/>
  <c r="D677" i="10"/>
  <c r="E677" i="10" s="1"/>
  <c r="D678" i="10"/>
  <c r="E678" i="10" s="1"/>
  <c r="D679" i="10"/>
  <c r="E679" i="10" s="1"/>
  <c r="D680" i="10"/>
  <c r="E680" i="10" s="1"/>
  <c r="D681" i="10"/>
  <c r="E681" i="10" s="1"/>
  <c r="D682" i="10"/>
  <c r="E682" i="10" s="1"/>
  <c r="D683" i="10"/>
  <c r="E683" i="10" s="1"/>
  <c r="D684" i="10"/>
  <c r="E684" i="10" s="1"/>
  <c r="D685" i="10"/>
  <c r="E685" i="10" s="1"/>
  <c r="D686" i="10"/>
  <c r="E686" i="10" s="1"/>
  <c r="D687" i="10"/>
  <c r="E687" i="10" s="1"/>
  <c r="D688" i="10"/>
  <c r="E688" i="10" s="1"/>
  <c r="D689" i="10"/>
  <c r="E689" i="10" s="1"/>
  <c r="D690" i="10"/>
  <c r="E690" i="10" s="1"/>
  <c r="D691" i="10"/>
  <c r="E691" i="10" s="1"/>
  <c r="D692" i="10"/>
  <c r="E692" i="10" s="1"/>
  <c r="D693" i="10"/>
  <c r="E693" i="10" s="1"/>
  <c r="D694" i="10"/>
  <c r="E694" i="10" s="1"/>
  <c r="D695" i="10"/>
  <c r="E695" i="10" s="1"/>
  <c r="D696" i="10"/>
  <c r="E696" i="10" s="1"/>
  <c r="D697" i="10"/>
  <c r="E697" i="10" s="1"/>
  <c r="D698" i="10"/>
  <c r="E698" i="10" s="1"/>
  <c r="D699" i="10"/>
  <c r="E699" i="10" s="1"/>
  <c r="D700" i="10"/>
  <c r="E700" i="10" s="1"/>
  <c r="D701" i="10"/>
  <c r="E701" i="10" s="1"/>
  <c r="D702" i="10"/>
  <c r="E702" i="10" s="1"/>
  <c r="D703" i="10"/>
  <c r="E703" i="10" s="1"/>
  <c r="D704" i="10"/>
  <c r="E704" i="10" s="1"/>
  <c r="D705" i="10"/>
  <c r="E705" i="10" s="1"/>
  <c r="D706" i="10"/>
  <c r="E706" i="10" s="1"/>
  <c r="D707" i="10"/>
  <c r="E707" i="10" s="1"/>
  <c r="D708" i="10"/>
  <c r="E708" i="10" s="1"/>
  <c r="D709" i="10"/>
  <c r="E709" i="10" s="1"/>
  <c r="D710" i="10"/>
  <c r="E710" i="10" s="1"/>
  <c r="D711" i="10"/>
  <c r="E711" i="10" s="1"/>
  <c r="D712" i="10"/>
  <c r="E712" i="10" s="1"/>
  <c r="D713" i="10"/>
  <c r="E713" i="10" s="1"/>
  <c r="D714" i="10"/>
  <c r="E714" i="10" s="1"/>
  <c r="D715" i="10"/>
  <c r="E715" i="10" s="1"/>
  <c r="D716" i="10"/>
  <c r="E716" i="10" s="1"/>
  <c r="D717" i="10"/>
  <c r="E717" i="10" s="1"/>
  <c r="D718" i="10"/>
  <c r="E718" i="10" s="1"/>
  <c r="D719" i="10"/>
  <c r="E719" i="10" s="1"/>
  <c r="D720" i="10"/>
  <c r="E720" i="10" s="1"/>
  <c r="D721" i="10"/>
  <c r="E721" i="10" s="1"/>
  <c r="D722" i="10"/>
  <c r="E722" i="10" s="1"/>
  <c r="D723" i="10"/>
  <c r="E723" i="10" s="1"/>
  <c r="D724" i="10"/>
  <c r="E724" i="10" s="1"/>
  <c r="D725" i="10"/>
  <c r="E725" i="10" s="1"/>
  <c r="D726" i="10"/>
  <c r="E726" i="10" s="1"/>
  <c r="D727" i="10"/>
  <c r="E727" i="10" s="1"/>
  <c r="D728" i="10"/>
  <c r="E728" i="10" s="1"/>
  <c r="D729" i="10"/>
  <c r="E729" i="10" s="1"/>
  <c r="D730" i="10"/>
  <c r="E730" i="10" s="1"/>
  <c r="D731" i="10"/>
  <c r="E731" i="10" s="1"/>
  <c r="D732" i="10"/>
  <c r="E732" i="10" s="1"/>
  <c r="D733" i="10"/>
  <c r="E733" i="10" s="1"/>
  <c r="D734" i="10"/>
  <c r="E734" i="10" s="1"/>
  <c r="D735" i="10"/>
  <c r="E735" i="10" s="1"/>
  <c r="D736" i="10"/>
  <c r="E736" i="10" s="1"/>
  <c r="D737" i="10"/>
  <c r="E737" i="10" s="1"/>
  <c r="D738" i="10"/>
  <c r="E738" i="10" s="1"/>
  <c r="D739" i="10"/>
  <c r="E739" i="10" s="1"/>
  <c r="D740" i="10"/>
  <c r="E740" i="10" s="1"/>
  <c r="D741" i="10"/>
  <c r="E741" i="10" s="1"/>
  <c r="D742" i="10"/>
  <c r="E742" i="10" s="1"/>
  <c r="D743" i="10"/>
  <c r="E743" i="10" s="1"/>
  <c r="D744" i="10"/>
  <c r="E744" i="10" s="1"/>
  <c r="D745" i="10"/>
  <c r="E745" i="10" s="1"/>
  <c r="D746" i="10"/>
  <c r="E746" i="10" s="1"/>
  <c r="D747" i="10"/>
  <c r="E747" i="10" s="1"/>
  <c r="D748" i="10"/>
  <c r="E748" i="10" s="1"/>
  <c r="D749" i="10"/>
  <c r="E749" i="10" s="1"/>
  <c r="D750" i="10"/>
  <c r="E750" i="10" s="1"/>
  <c r="D751" i="10"/>
  <c r="E751" i="10" s="1"/>
  <c r="D752" i="10"/>
  <c r="E752" i="10" s="1"/>
  <c r="D753" i="10"/>
  <c r="E753" i="10" s="1"/>
  <c r="D754" i="10"/>
  <c r="E754" i="10" s="1"/>
  <c r="D755" i="10"/>
  <c r="E755" i="10" s="1"/>
  <c r="D756" i="10"/>
  <c r="E756" i="10" s="1"/>
  <c r="D757" i="10"/>
  <c r="E757" i="10" s="1"/>
  <c r="D758" i="10"/>
  <c r="E758" i="10" s="1"/>
  <c r="D759" i="10"/>
  <c r="E759" i="10" s="1"/>
  <c r="D760" i="10"/>
  <c r="E760" i="10" s="1"/>
  <c r="D761" i="10"/>
  <c r="E761" i="10" s="1"/>
  <c r="D762" i="10"/>
  <c r="E762" i="10" s="1"/>
  <c r="D763" i="10"/>
  <c r="E763" i="10" s="1"/>
  <c r="D764" i="10"/>
  <c r="E764" i="10" s="1"/>
  <c r="D765" i="10"/>
  <c r="E765" i="10" s="1"/>
  <c r="D766" i="10"/>
  <c r="E766" i="10" s="1"/>
  <c r="D767" i="10"/>
  <c r="E767" i="10" s="1"/>
  <c r="D768" i="10"/>
  <c r="E768" i="10" s="1"/>
  <c r="D769" i="10"/>
  <c r="E769" i="10" s="1"/>
  <c r="D770" i="10"/>
  <c r="E770" i="10" s="1"/>
  <c r="D771" i="10"/>
  <c r="E771" i="10" s="1"/>
  <c r="D772" i="10"/>
  <c r="E772" i="10" s="1"/>
  <c r="D773" i="10"/>
  <c r="E773" i="10" s="1"/>
  <c r="D774" i="10"/>
  <c r="E774" i="10" s="1"/>
  <c r="D775" i="10"/>
  <c r="E775" i="10" s="1"/>
  <c r="D776" i="10"/>
  <c r="E776" i="10" s="1"/>
  <c r="D777" i="10"/>
  <c r="E777" i="10" s="1"/>
  <c r="D778" i="10"/>
  <c r="E778" i="10" s="1"/>
  <c r="D779" i="10"/>
  <c r="E779" i="10" s="1"/>
  <c r="D780" i="10"/>
  <c r="E780" i="10" s="1"/>
  <c r="D781" i="10"/>
  <c r="E781" i="10" s="1"/>
  <c r="D782" i="10"/>
  <c r="E782" i="10" s="1"/>
  <c r="D783" i="10"/>
  <c r="E783" i="10" s="1"/>
  <c r="D784" i="10"/>
  <c r="E784" i="10" s="1"/>
  <c r="D785" i="10"/>
  <c r="E785" i="10" s="1"/>
  <c r="D786" i="10"/>
  <c r="E786" i="10" s="1"/>
  <c r="D787" i="10"/>
  <c r="E787" i="10" s="1"/>
  <c r="D788" i="10"/>
  <c r="E788" i="10" s="1"/>
  <c r="D789" i="10"/>
  <c r="E789" i="10" s="1"/>
  <c r="D790" i="10"/>
  <c r="E790" i="10" s="1"/>
  <c r="D791" i="10"/>
  <c r="E791" i="10" s="1"/>
  <c r="D792" i="10"/>
  <c r="E792" i="10" s="1"/>
  <c r="D793" i="10"/>
  <c r="E793" i="10" s="1"/>
  <c r="D794" i="10"/>
  <c r="E794" i="10" s="1"/>
  <c r="D795" i="10"/>
  <c r="E795" i="10" s="1"/>
  <c r="D796" i="10"/>
  <c r="E796" i="10" s="1"/>
  <c r="D797" i="10"/>
  <c r="E797" i="10" s="1"/>
  <c r="D798" i="10"/>
  <c r="E798" i="10" s="1"/>
  <c r="D799" i="10"/>
  <c r="E799" i="10" s="1"/>
  <c r="D800" i="10"/>
  <c r="E800" i="10" s="1"/>
  <c r="D801" i="10"/>
  <c r="E801" i="10" s="1"/>
  <c r="D802" i="10"/>
  <c r="E802" i="10" s="1"/>
  <c r="D803" i="10"/>
  <c r="E803" i="10" s="1"/>
  <c r="D804" i="10"/>
  <c r="E804" i="10" s="1"/>
  <c r="D805" i="10"/>
  <c r="E805" i="10" s="1"/>
  <c r="D806" i="10"/>
  <c r="E806" i="10" s="1"/>
  <c r="D807" i="10"/>
  <c r="E807" i="10" s="1"/>
  <c r="D808" i="10"/>
  <c r="E808" i="10" s="1"/>
  <c r="D809" i="10"/>
  <c r="E809" i="10" s="1"/>
  <c r="D810" i="10"/>
  <c r="E810" i="10" s="1"/>
  <c r="D811" i="10"/>
  <c r="E811" i="10" s="1"/>
  <c r="D812" i="10"/>
  <c r="E812" i="10" s="1"/>
  <c r="D813" i="10"/>
  <c r="E813" i="10" s="1"/>
  <c r="D814" i="10"/>
  <c r="E814" i="10" s="1"/>
  <c r="D815" i="10"/>
  <c r="E815" i="10" s="1"/>
  <c r="D816" i="10"/>
  <c r="E816" i="10" s="1"/>
  <c r="D817" i="10"/>
  <c r="E817" i="10" s="1"/>
  <c r="D818" i="10"/>
  <c r="E818" i="10" s="1"/>
  <c r="D819" i="10"/>
  <c r="E819" i="10" s="1"/>
  <c r="D820" i="10"/>
  <c r="E820" i="10" s="1"/>
  <c r="D821" i="10"/>
  <c r="E821" i="10" s="1"/>
  <c r="D822" i="10"/>
  <c r="E822" i="10" s="1"/>
  <c r="D823" i="10"/>
  <c r="E823" i="10" s="1"/>
  <c r="D824" i="10"/>
  <c r="E824" i="10" s="1"/>
  <c r="D825" i="10"/>
  <c r="E825" i="10" s="1"/>
  <c r="D826" i="10"/>
  <c r="E826" i="10" s="1"/>
  <c r="D827" i="10"/>
  <c r="E827" i="10" s="1"/>
  <c r="D828" i="10"/>
  <c r="E828" i="10" s="1"/>
  <c r="D829" i="10"/>
  <c r="E829" i="10" s="1"/>
  <c r="D830" i="10"/>
  <c r="E830" i="10" s="1"/>
  <c r="D831" i="10"/>
  <c r="E831" i="10" s="1"/>
  <c r="D832" i="10"/>
  <c r="E832" i="10" s="1"/>
  <c r="D833" i="10"/>
  <c r="E833" i="10" s="1"/>
  <c r="D834" i="10"/>
  <c r="E834" i="10" s="1"/>
  <c r="D835" i="10"/>
  <c r="E835" i="10" s="1"/>
  <c r="D836" i="10"/>
  <c r="E836" i="10" s="1"/>
  <c r="D837" i="10"/>
  <c r="E837" i="10" s="1"/>
  <c r="D838" i="10"/>
  <c r="E838" i="10" s="1"/>
  <c r="D839" i="10"/>
  <c r="E839" i="10" s="1"/>
  <c r="D840" i="10"/>
  <c r="E840" i="10" s="1"/>
  <c r="D841" i="10"/>
  <c r="E841" i="10" s="1"/>
  <c r="D842" i="10"/>
  <c r="E842" i="10" s="1"/>
  <c r="D843" i="10"/>
  <c r="E843" i="10" s="1"/>
  <c r="D844" i="10"/>
  <c r="E844" i="10" s="1"/>
  <c r="D845" i="10"/>
  <c r="E845" i="10" s="1"/>
  <c r="D846" i="10"/>
  <c r="E846" i="10" s="1"/>
  <c r="D847" i="10"/>
  <c r="E847" i="10" s="1"/>
  <c r="D848" i="10"/>
  <c r="E848" i="10" s="1"/>
  <c r="D849" i="10"/>
  <c r="E849" i="10" s="1"/>
  <c r="D850" i="10"/>
  <c r="E850" i="10" s="1"/>
  <c r="D851" i="10"/>
  <c r="E851" i="10" s="1"/>
  <c r="D852" i="10"/>
  <c r="E852" i="10" s="1"/>
  <c r="D853" i="10"/>
  <c r="E853" i="10" s="1"/>
  <c r="D854" i="10"/>
  <c r="E854" i="10" s="1"/>
  <c r="D855" i="10"/>
  <c r="E855" i="10" s="1"/>
  <c r="D856" i="10"/>
  <c r="E856" i="10" s="1"/>
  <c r="D857" i="10"/>
  <c r="E857" i="10" s="1"/>
  <c r="D858" i="10"/>
  <c r="E858" i="10" s="1"/>
  <c r="D859" i="10"/>
  <c r="E859" i="10" s="1"/>
  <c r="D860" i="10"/>
  <c r="E860" i="10" s="1"/>
  <c r="D861" i="10"/>
  <c r="E861" i="10" s="1"/>
  <c r="D862" i="10"/>
  <c r="E862" i="10" s="1"/>
  <c r="D863" i="10"/>
  <c r="E863" i="10" s="1"/>
  <c r="D864" i="10"/>
  <c r="E864" i="10" s="1"/>
  <c r="D865" i="10"/>
  <c r="E865" i="10" s="1"/>
  <c r="D866" i="10"/>
  <c r="E866" i="10" s="1"/>
  <c r="D867" i="10"/>
  <c r="E867" i="10" s="1"/>
  <c r="D868" i="10"/>
  <c r="E868" i="10" s="1"/>
  <c r="D869" i="10"/>
  <c r="E869" i="10" s="1"/>
  <c r="D870" i="10"/>
  <c r="E870" i="10" s="1"/>
  <c r="D871" i="10"/>
  <c r="E871" i="10" s="1"/>
  <c r="D872" i="10"/>
  <c r="E872" i="10" s="1"/>
  <c r="D873" i="10"/>
  <c r="E873" i="10" s="1"/>
  <c r="D874" i="10"/>
  <c r="E874" i="10" s="1"/>
  <c r="D875" i="10"/>
  <c r="E875" i="10" s="1"/>
  <c r="D876" i="10"/>
  <c r="E876" i="10" s="1"/>
  <c r="D877" i="10"/>
  <c r="E877" i="10" s="1"/>
  <c r="D878" i="10"/>
  <c r="E878" i="10" s="1"/>
  <c r="D879" i="10"/>
  <c r="E879" i="10" s="1"/>
  <c r="D880" i="10"/>
  <c r="E880" i="10" s="1"/>
  <c r="D881" i="10"/>
  <c r="E881" i="10" s="1"/>
  <c r="D882" i="10"/>
  <c r="E882" i="10" s="1"/>
  <c r="D883" i="10"/>
  <c r="E883" i="10" s="1"/>
  <c r="D884" i="10"/>
  <c r="E884" i="10" s="1"/>
  <c r="D885" i="10"/>
  <c r="E885" i="10" s="1"/>
  <c r="D886" i="10"/>
  <c r="E886" i="10" s="1"/>
  <c r="D887" i="10"/>
  <c r="E887" i="10" s="1"/>
  <c r="D888" i="10"/>
  <c r="E888" i="10" s="1"/>
  <c r="D889" i="10"/>
  <c r="E889" i="10" s="1"/>
  <c r="D890" i="10"/>
  <c r="E890" i="10" s="1"/>
  <c r="D891" i="10"/>
  <c r="E891" i="10" s="1"/>
  <c r="D892" i="10"/>
  <c r="E892" i="10" s="1"/>
  <c r="D893" i="10"/>
  <c r="E893" i="10" s="1"/>
  <c r="D894" i="10"/>
  <c r="E894" i="10" s="1"/>
  <c r="D895" i="10"/>
  <c r="E895" i="10" s="1"/>
  <c r="D896" i="10"/>
  <c r="E896" i="10" s="1"/>
  <c r="D897" i="10"/>
  <c r="E897" i="10" s="1"/>
  <c r="D898" i="10"/>
  <c r="E898" i="10" s="1"/>
  <c r="D899" i="10"/>
  <c r="E899" i="10" s="1"/>
  <c r="D900" i="10"/>
  <c r="E900" i="10" s="1"/>
  <c r="D901" i="10"/>
  <c r="E901" i="10" s="1"/>
  <c r="D902" i="10"/>
  <c r="E902" i="10" s="1"/>
  <c r="D903" i="10"/>
  <c r="E903" i="10" s="1"/>
  <c r="D904" i="10"/>
  <c r="E904" i="10" s="1"/>
  <c r="D905" i="10"/>
  <c r="E905" i="10" s="1"/>
  <c r="D906" i="10"/>
  <c r="E906" i="10" s="1"/>
  <c r="D907" i="10"/>
  <c r="E907" i="10" s="1"/>
  <c r="D908" i="10"/>
  <c r="E908" i="10" s="1"/>
  <c r="D909" i="10"/>
  <c r="E909" i="10" s="1"/>
  <c r="D910" i="10"/>
  <c r="E910" i="10" s="1"/>
  <c r="D911" i="10"/>
  <c r="E911" i="10" s="1"/>
  <c r="D912" i="10"/>
  <c r="E912" i="10" s="1"/>
  <c r="D913" i="10"/>
  <c r="E913" i="10" s="1"/>
  <c r="D914" i="10"/>
  <c r="E914" i="10" s="1"/>
  <c r="D915" i="10"/>
  <c r="E915" i="10" s="1"/>
  <c r="D916" i="10"/>
  <c r="E916" i="10" s="1"/>
  <c r="D917" i="10"/>
  <c r="E917" i="10" s="1"/>
  <c r="D918" i="10"/>
  <c r="E918" i="10" s="1"/>
  <c r="D919" i="10"/>
  <c r="E919" i="10" s="1"/>
  <c r="D920" i="10"/>
  <c r="E920" i="10" s="1"/>
  <c r="D921" i="10"/>
  <c r="E921" i="10" s="1"/>
  <c r="D922" i="10"/>
  <c r="E922" i="10" s="1"/>
  <c r="D923" i="10"/>
  <c r="E923" i="10" s="1"/>
  <c r="D924" i="10"/>
  <c r="E924" i="10" s="1"/>
  <c r="D925" i="10"/>
  <c r="E925" i="10" s="1"/>
  <c r="D926" i="10"/>
  <c r="E926" i="10" s="1"/>
  <c r="D927" i="10"/>
  <c r="E927" i="10" s="1"/>
  <c r="D928" i="10"/>
  <c r="E928" i="10" s="1"/>
  <c r="D929" i="10"/>
  <c r="E929" i="10" s="1"/>
  <c r="D930" i="10"/>
  <c r="E930" i="10" s="1"/>
  <c r="D931" i="10"/>
  <c r="E931" i="10" s="1"/>
  <c r="D932" i="10"/>
  <c r="E932" i="10" s="1"/>
  <c r="D933" i="10"/>
  <c r="E933" i="10" s="1"/>
  <c r="D934" i="10"/>
  <c r="E934" i="10" s="1"/>
  <c r="D935" i="10"/>
  <c r="E935" i="10" s="1"/>
  <c r="D936" i="10"/>
  <c r="E936" i="10" s="1"/>
  <c r="D937" i="10"/>
  <c r="E937" i="10" s="1"/>
  <c r="D938" i="10"/>
  <c r="E938" i="10" s="1"/>
  <c r="D939" i="10"/>
  <c r="E939" i="10" s="1"/>
  <c r="D940" i="10"/>
  <c r="E940" i="10" s="1"/>
  <c r="D941" i="10"/>
  <c r="E941" i="10" s="1"/>
  <c r="D942" i="10"/>
  <c r="E942" i="10" s="1"/>
  <c r="D943" i="10"/>
  <c r="E943" i="10" s="1"/>
  <c r="D944" i="10"/>
  <c r="E944" i="10" s="1"/>
  <c r="D945" i="10"/>
  <c r="E945" i="10" s="1"/>
  <c r="D946" i="10"/>
  <c r="E946" i="10" s="1"/>
  <c r="D947" i="10"/>
  <c r="E947" i="10" s="1"/>
  <c r="D948" i="10"/>
  <c r="E948" i="10" s="1"/>
  <c r="D949" i="10"/>
  <c r="E949" i="10" s="1"/>
  <c r="D950" i="10"/>
  <c r="E950" i="10" s="1"/>
  <c r="D951" i="10"/>
  <c r="E951" i="10" s="1"/>
  <c r="D952" i="10"/>
  <c r="E952" i="10" s="1"/>
  <c r="D953" i="10"/>
  <c r="E953" i="10" s="1"/>
  <c r="D954" i="10"/>
  <c r="E954" i="10" s="1"/>
  <c r="D955" i="10"/>
  <c r="E955" i="10" s="1"/>
  <c r="D956" i="10"/>
  <c r="E956" i="10" s="1"/>
  <c r="D957" i="10"/>
  <c r="E957" i="10" s="1"/>
  <c r="D958" i="10"/>
  <c r="E958" i="10" s="1"/>
  <c r="D959" i="10"/>
  <c r="E959" i="10" s="1"/>
  <c r="D960" i="10"/>
  <c r="E960" i="10" s="1"/>
  <c r="D961" i="10"/>
  <c r="E961" i="10" s="1"/>
  <c r="D962" i="10"/>
  <c r="E962" i="10" s="1"/>
  <c r="D963" i="10"/>
  <c r="E963" i="10" s="1"/>
  <c r="D964" i="10"/>
  <c r="E964" i="10" s="1"/>
  <c r="D965" i="10"/>
  <c r="E965" i="10" s="1"/>
  <c r="D966" i="10"/>
  <c r="E966" i="10" s="1"/>
  <c r="D967" i="10"/>
  <c r="E967" i="10" s="1"/>
  <c r="D968" i="10"/>
  <c r="E968" i="10" s="1"/>
  <c r="D969" i="10"/>
  <c r="E969" i="10" s="1"/>
  <c r="D970" i="10"/>
  <c r="E970" i="10" s="1"/>
  <c r="D971" i="10"/>
  <c r="E971" i="10" s="1"/>
  <c r="D972" i="10"/>
  <c r="E972" i="10" s="1"/>
  <c r="D973" i="10"/>
  <c r="E973" i="10" s="1"/>
  <c r="D974" i="10"/>
  <c r="E974" i="10" s="1"/>
  <c r="D975" i="10"/>
  <c r="E975" i="10" s="1"/>
  <c r="D976" i="10"/>
  <c r="E976" i="10" s="1"/>
  <c r="D977" i="10"/>
  <c r="E977" i="10" s="1"/>
  <c r="D978" i="10"/>
  <c r="E978" i="10" s="1"/>
  <c r="D979" i="10"/>
  <c r="E979" i="10" s="1"/>
  <c r="D980" i="10"/>
  <c r="E980" i="10" s="1"/>
  <c r="D981" i="10"/>
  <c r="E981" i="10" s="1"/>
  <c r="D982" i="10"/>
  <c r="E982" i="10" s="1"/>
  <c r="D983" i="10"/>
  <c r="E983" i="10" s="1"/>
  <c r="D984" i="10"/>
  <c r="E984" i="10" s="1"/>
  <c r="D985" i="10"/>
  <c r="E985" i="10" s="1"/>
  <c r="D986" i="10"/>
  <c r="E986" i="10" s="1"/>
  <c r="D987" i="10"/>
  <c r="E987" i="10" s="1"/>
  <c r="D988" i="10"/>
  <c r="E988" i="10" s="1"/>
  <c r="D989" i="10"/>
  <c r="E989" i="10" s="1"/>
  <c r="D990" i="10"/>
  <c r="E990" i="10" s="1"/>
  <c r="D991" i="10"/>
  <c r="E991" i="10" s="1"/>
  <c r="D992" i="10"/>
  <c r="E992" i="10" s="1"/>
  <c r="D993" i="10"/>
  <c r="E993" i="10" s="1"/>
  <c r="D994" i="10"/>
  <c r="E994" i="10" s="1"/>
  <c r="D995" i="10"/>
  <c r="E995" i="10" s="1"/>
  <c r="D996" i="10"/>
  <c r="E996" i="10" s="1"/>
  <c r="D997" i="10"/>
  <c r="E997" i="10" s="1"/>
  <c r="D998" i="10"/>
  <c r="E998" i="10" s="1"/>
  <c r="D999" i="10"/>
  <c r="E999" i="10" s="1"/>
  <c r="D1000" i="10"/>
  <c r="E1000" i="10" s="1"/>
  <c r="D1001" i="10"/>
  <c r="E1001" i="10" s="1"/>
  <c r="D1002" i="10"/>
  <c r="E1002" i="10" s="1"/>
  <c r="D1003" i="10"/>
  <c r="E1003" i="10" s="1"/>
  <c r="D1004" i="10"/>
  <c r="E1004" i="10" s="1"/>
  <c r="D1005" i="10"/>
  <c r="E1005" i="10" s="1"/>
  <c r="D1006" i="10"/>
  <c r="E1006" i="10" s="1"/>
  <c r="D1007" i="10"/>
  <c r="E1007" i="10" s="1"/>
  <c r="D1008" i="10"/>
  <c r="E1008" i="10" s="1"/>
  <c r="D1009" i="10"/>
  <c r="E1009" i="10" s="1"/>
  <c r="D1010" i="10"/>
  <c r="E1010" i="10" s="1"/>
  <c r="D1011" i="10"/>
  <c r="E1011" i="10" s="1"/>
  <c r="D1012" i="10"/>
  <c r="E1012" i="10" s="1"/>
  <c r="D1013" i="10"/>
  <c r="E1013" i="10" s="1"/>
  <c r="D1014" i="10"/>
  <c r="E1014" i="10" s="1"/>
  <c r="D1015" i="10"/>
  <c r="E1015" i="10" s="1"/>
  <c r="D1016" i="10"/>
  <c r="E1016" i="10" s="1"/>
  <c r="D1017" i="10"/>
  <c r="E1017" i="10" s="1"/>
  <c r="D1018" i="10"/>
  <c r="E1018" i="10" s="1"/>
  <c r="D1019" i="10"/>
  <c r="E1019" i="10" s="1"/>
  <c r="D1020" i="10"/>
  <c r="E1020" i="10" s="1"/>
  <c r="D1021" i="10"/>
  <c r="E1021" i="10" s="1"/>
  <c r="D1022" i="10"/>
  <c r="E1022" i="10" s="1"/>
  <c r="D1023" i="10"/>
  <c r="E1023" i="10" s="1"/>
  <c r="D1024" i="10"/>
  <c r="E1024" i="10" s="1"/>
  <c r="D1025" i="10"/>
  <c r="E1025" i="10" s="1"/>
  <c r="D1026" i="10"/>
  <c r="E1026" i="10" s="1"/>
  <c r="D1027" i="10"/>
  <c r="E1027" i="10" s="1"/>
  <c r="D1028" i="10"/>
  <c r="E1028" i="10" s="1"/>
  <c r="D1029" i="10"/>
  <c r="E1029" i="10" s="1"/>
  <c r="D1030" i="10"/>
  <c r="E1030" i="10" s="1"/>
  <c r="D1031" i="10"/>
  <c r="E1031" i="10" s="1"/>
  <c r="D1032" i="10"/>
  <c r="E1032" i="10" s="1"/>
  <c r="D1033" i="10"/>
  <c r="E1033" i="10" s="1"/>
  <c r="D1034" i="10"/>
  <c r="E1034" i="10" s="1"/>
  <c r="D1035" i="10"/>
  <c r="E1035" i="10" s="1"/>
  <c r="D1036" i="10"/>
  <c r="E1036" i="10" s="1"/>
  <c r="D1037" i="10"/>
  <c r="E1037" i="10" s="1"/>
  <c r="D1038" i="10"/>
  <c r="E1038" i="10" s="1"/>
  <c r="D1039" i="10"/>
  <c r="E1039" i="10" s="1"/>
  <c r="D1040" i="10"/>
  <c r="E1040" i="10" s="1"/>
  <c r="D1041" i="10"/>
  <c r="E1041" i="10" s="1"/>
  <c r="D1042" i="10"/>
  <c r="E1042" i="10" s="1"/>
  <c r="D1043" i="10"/>
  <c r="E1043" i="10" s="1"/>
  <c r="D1044" i="10"/>
  <c r="E1044" i="10" s="1"/>
  <c r="D1045" i="10"/>
  <c r="E1045" i="10" s="1"/>
  <c r="D1046" i="10"/>
  <c r="E1046" i="10" s="1"/>
  <c r="D1047" i="10"/>
  <c r="E1047" i="10" s="1"/>
  <c r="D1048" i="10"/>
  <c r="E1048" i="10" s="1"/>
  <c r="D1049" i="10"/>
  <c r="E1049" i="10" s="1"/>
  <c r="D1050" i="10"/>
  <c r="E1050" i="10" s="1"/>
  <c r="D1051" i="10"/>
  <c r="E1051" i="10" s="1"/>
  <c r="D1052" i="10"/>
  <c r="E1052" i="10" s="1"/>
  <c r="D1053" i="10"/>
  <c r="E1053" i="10" s="1"/>
  <c r="D1054" i="10"/>
  <c r="E1054" i="10" s="1"/>
  <c r="D1055" i="10"/>
  <c r="E1055" i="10" s="1"/>
  <c r="D1056" i="10"/>
  <c r="E1056" i="10" s="1"/>
  <c r="D1057" i="10"/>
  <c r="E1057" i="10" s="1"/>
  <c r="D1058" i="10"/>
  <c r="E1058" i="10" s="1"/>
  <c r="D1059" i="10"/>
  <c r="E1059" i="10" s="1"/>
  <c r="D1060" i="10"/>
  <c r="E1060" i="10" s="1"/>
  <c r="D1061" i="10"/>
  <c r="E1061" i="10" s="1"/>
  <c r="D1062" i="10"/>
  <c r="E1062" i="10" s="1"/>
  <c r="D1063" i="10"/>
  <c r="E1063" i="10" s="1"/>
  <c r="D1064" i="10"/>
  <c r="E1064" i="10" s="1"/>
  <c r="D1065" i="10"/>
  <c r="E1065" i="10" s="1"/>
  <c r="D1066" i="10"/>
  <c r="E1066" i="10" s="1"/>
  <c r="D1067" i="10"/>
  <c r="E1067" i="10" s="1"/>
  <c r="D1068" i="10"/>
  <c r="E1068" i="10" s="1"/>
  <c r="D1069" i="10"/>
  <c r="E1069" i="10" s="1"/>
  <c r="D1070" i="10"/>
  <c r="E1070" i="10" s="1"/>
  <c r="D1071" i="10"/>
  <c r="E1071" i="10" s="1"/>
  <c r="D1072" i="10"/>
  <c r="E1072" i="10" s="1"/>
  <c r="D1073" i="10"/>
  <c r="E1073" i="10" s="1"/>
  <c r="D1074" i="10"/>
  <c r="E1074" i="10" s="1"/>
  <c r="D1075" i="10"/>
  <c r="E1075" i="10" s="1"/>
  <c r="D1076" i="10"/>
  <c r="E1076" i="10" s="1"/>
  <c r="D1077" i="10"/>
  <c r="E1077" i="10" s="1"/>
  <c r="D1078" i="10"/>
  <c r="E1078" i="10" s="1"/>
  <c r="D1079" i="10"/>
  <c r="E1079" i="10" s="1"/>
  <c r="D1080" i="10"/>
  <c r="E1080" i="10" s="1"/>
  <c r="D1081" i="10"/>
  <c r="E1081" i="10" s="1"/>
  <c r="D1082" i="10"/>
  <c r="E1082" i="10" s="1"/>
  <c r="D1083" i="10"/>
  <c r="E1083" i="10" s="1"/>
  <c r="D1084" i="10"/>
  <c r="E1084" i="10" s="1"/>
  <c r="D1085" i="10"/>
  <c r="E1085" i="10" s="1"/>
  <c r="D1086" i="10"/>
  <c r="E1086" i="10" s="1"/>
  <c r="D1087" i="10"/>
  <c r="E1087" i="10" s="1"/>
  <c r="D1088" i="10"/>
  <c r="E1088" i="10" s="1"/>
  <c r="D1089" i="10"/>
  <c r="E1089" i="10" s="1"/>
  <c r="D1090" i="10"/>
  <c r="E1090" i="10" s="1"/>
  <c r="D1091" i="10"/>
  <c r="E1091" i="10" s="1"/>
  <c r="D1092" i="10"/>
  <c r="E1092" i="10" s="1"/>
  <c r="D1093" i="10"/>
  <c r="E1093" i="10" s="1"/>
  <c r="D1094" i="10"/>
  <c r="E1094" i="10" s="1"/>
  <c r="D1095" i="10"/>
  <c r="E1095" i="10" s="1"/>
  <c r="D1096" i="10"/>
  <c r="E1096" i="10" s="1"/>
  <c r="D1097" i="10"/>
  <c r="E1097" i="10" s="1"/>
  <c r="D1098" i="10"/>
  <c r="E1098" i="10" s="1"/>
  <c r="D1099" i="10"/>
  <c r="E1099" i="10" s="1"/>
  <c r="D1100" i="10"/>
  <c r="E1100" i="10" s="1"/>
  <c r="D1101" i="10"/>
  <c r="E1101" i="10" s="1"/>
  <c r="D1102" i="10"/>
  <c r="E1102" i="10" s="1"/>
  <c r="D1103" i="10"/>
  <c r="E1103" i="10" s="1"/>
  <c r="D1104" i="10"/>
  <c r="E1104" i="10" s="1"/>
  <c r="D1105" i="10"/>
  <c r="E1105" i="10" s="1"/>
  <c r="D1106" i="10"/>
  <c r="E1106" i="10" s="1"/>
  <c r="D1107" i="10"/>
  <c r="E1107" i="10" s="1"/>
  <c r="D1108" i="10"/>
  <c r="E1108" i="10" s="1"/>
  <c r="D1109" i="10"/>
  <c r="E1109" i="10" s="1"/>
  <c r="D1110" i="10"/>
  <c r="E1110" i="10" s="1"/>
  <c r="D1111" i="10"/>
  <c r="E1111" i="10" s="1"/>
  <c r="D1112" i="10"/>
  <c r="E1112" i="10" s="1"/>
  <c r="D1113" i="10"/>
  <c r="E1113" i="10" s="1"/>
  <c r="D1114" i="10"/>
  <c r="E1114" i="10" s="1"/>
  <c r="D1115" i="10"/>
  <c r="E1115" i="10" s="1"/>
  <c r="D1116" i="10"/>
  <c r="E1116" i="10" s="1"/>
  <c r="D1117" i="10"/>
  <c r="E1117" i="10" s="1"/>
  <c r="D1118" i="10"/>
  <c r="E1118" i="10" s="1"/>
  <c r="D1119" i="10"/>
  <c r="E1119" i="10" s="1"/>
  <c r="D1120" i="10"/>
  <c r="E1120" i="10" s="1"/>
  <c r="D1121" i="10"/>
  <c r="E1121" i="10" s="1"/>
  <c r="D1122" i="10"/>
  <c r="E1122" i="10" s="1"/>
  <c r="D1123" i="10"/>
  <c r="E1123" i="10" s="1"/>
  <c r="D1124" i="10"/>
  <c r="E1124" i="10" s="1"/>
  <c r="D1125" i="10"/>
  <c r="E1125" i="10" s="1"/>
  <c r="D1126" i="10"/>
  <c r="E1126" i="10" s="1"/>
  <c r="D1127" i="10"/>
  <c r="E1127" i="10" s="1"/>
  <c r="D1128" i="10"/>
  <c r="E1128" i="10" s="1"/>
  <c r="D1129" i="10"/>
  <c r="E1129" i="10" s="1"/>
  <c r="D1130" i="10"/>
  <c r="E1130" i="10" s="1"/>
  <c r="D1131" i="10"/>
  <c r="E1131" i="10" s="1"/>
  <c r="D1132" i="10"/>
  <c r="E1132" i="10" s="1"/>
  <c r="D1133" i="10"/>
  <c r="E1133" i="10" s="1"/>
  <c r="D1134" i="10"/>
  <c r="E1134" i="10" s="1"/>
  <c r="D1135" i="10"/>
  <c r="E1135" i="10" s="1"/>
  <c r="D1136" i="10"/>
  <c r="E1136" i="10" s="1"/>
  <c r="D1137" i="10"/>
  <c r="E1137" i="10" s="1"/>
  <c r="D1138" i="10"/>
  <c r="E1138" i="10" s="1"/>
  <c r="D1139" i="10"/>
  <c r="E1139" i="10" s="1"/>
  <c r="D1140" i="10"/>
  <c r="E1140" i="10" s="1"/>
  <c r="D1141" i="10"/>
  <c r="E1141" i="10" s="1"/>
  <c r="D1142" i="10"/>
  <c r="E1142" i="10" s="1"/>
  <c r="D1143" i="10"/>
  <c r="E1143" i="10" s="1"/>
  <c r="D1144" i="10"/>
  <c r="E1144" i="10" s="1"/>
  <c r="D1145" i="10"/>
  <c r="E1145" i="10" s="1"/>
  <c r="D1146" i="10"/>
  <c r="E1146" i="10" s="1"/>
  <c r="D1147" i="10"/>
  <c r="E1147" i="10" s="1"/>
  <c r="D1148" i="10"/>
  <c r="E1148" i="10" s="1"/>
  <c r="D1149" i="10"/>
  <c r="E1149" i="10" s="1"/>
  <c r="D1150" i="10"/>
  <c r="E1150" i="10" s="1"/>
  <c r="D1151" i="10"/>
  <c r="E1151" i="10" s="1"/>
  <c r="D1152" i="10"/>
  <c r="E1152" i="10" s="1"/>
  <c r="D1153" i="10"/>
  <c r="E1153" i="10" s="1"/>
  <c r="D1154" i="10"/>
  <c r="E1154" i="10" s="1"/>
  <c r="D1155" i="10"/>
  <c r="E1155" i="10" s="1"/>
  <c r="D1156" i="10"/>
  <c r="E1156" i="10" s="1"/>
  <c r="D1157" i="10"/>
  <c r="E1157" i="10" s="1"/>
  <c r="D1158" i="10"/>
  <c r="E1158" i="10" s="1"/>
  <c r="D1159" i="10"/>
  <c r="E1159" i="10" s="1"/>
  <c r="D1160" i="10"/>
  <c r="E1160" i="10" s="1"/>
  <c r="D1161" i="10"/>
  <c r="E1161" i="10" s="1"/>
  <c r="D1162" i="10"/>
  <c r="E1162" i="10" s="1"/>
  <c r="D1163" i="10"/>
  <c r="E1163" i="10" s="1"/>
  <c r="D1164" i="10"/>
  <c r="E1164" i="10" s="1"/>
  <c r="D1165" i="10"/>
  <c r="E1165" i="10" s="1"/>
  <c r="D1166" i="10"/>
  <c r="E1166" i="10" s="1"/>
  <c r="D1167" i="10"/>
  <c r="E1167" i="10" s="1"/>
  <c r="D1168" i="10"/>
  <c r="E1168" i="10" s="1"/>
  <c r="D1169" i="10"/>
  <c r="E1169" i="10" s="1"/>
  <c r="D1170" i="10"/>
  <c r="E1170" i="10" s="1"/>
  <c r="D1171" i="10"/>
  <c r="E1171" i="10" s="1"/>
  <c r="D1172" i="10"/>
  <c r="E1172" i="10" s="1"/>
  <c r="D1173" i="10"/>
  <c r="E1173" i="10" s="1"/>
  <c r="D1174" i="10"/>
  <c r="E1174" i="10" s="1"/>
  <c r="D1175" i="10"/>
  <c r="E1175" i="10" s="1"/>
  <c r="D1176" i="10"/>
  <c r="E1176" i="10" s="1"/>
  <c r="D1177" i="10"/>
  <c r="E1177" i="10" s="1"/>
  <c r="D1178" i="10"/>
  <c r="E1178" i="10" s="1"/>
  <c r="D1179" i="10"/>
  <c r="E1179" i="10" s="1"/>
  <c r="D1180" i="10"/>
  <c r="E1180" i="10" s="1"/>
  <c r="D1181" i="10"/>
  <c r="E1181" i="10" s="1"/>
  <c r="D1182" i="10"/>
  <c r="E1182" i="10" s="1"/>
  <c r="D1183" i="10"/>
  <c r="E1183" i="10" s="1"/>
  <c r="D1184" i="10"/>
  <c r="E1184" i="10" s="1"/>
  <c r="D1185" i="10"/>
  <c r="E1185" i="10" s="1"/>
  <c r="D1186" i="10"/>
  <c r="E1186" i="10" s="1"/>
  <c r="D1187" i="10"/>
  <c r="E1187" i="10" s="1"/>
  <c r="D1188" i="10"/>
  <c r="E1188" i="10" s="1"/>
  <c r="D1189" i="10"/>
  <c r="E1189" i="10" s="1"/>
  <c r="D1190" i="10"/>
  <c r="E1190" i="10" s="1"/>
  <c r="D1191" i="10"/>
  <c r="E1191" i="10" s="1"/>
  <c r="D1192" i="10"/>
  <c r="E1192" i="10" s="1"/>
  <c r="D1193" i="10"/>
  <c r="E1193" i="10" s="1"/>
  <c r="D1194" i="10"/>
  <c r="E1194" i="10" s="1"/>
  <c r="D1195" i="10"/>
  <c r="E1195" i="10" s="1"/>
  <c r="D1196" i="10"/>
  <c r="E1196" i="10" s="1"/>
  <c r="D1197" i="10"/>
  <c r="E1197" i="10" s="1"/>
  <c r="D1198" i="10"/>
  <c r="E1198" i="10" s="1"/>
  <c r="D1199" i="10"/>
  <c r="E1199" i="10" s="1"/>
  <c r="D1200" i="10"/>
  <c r="E1200" i="10" s="1"/>
  <c r="D1201" i="10"/>
  <c r="E1201" i="10" s="1"/>
  <c r="D1202" i="10"/>
  <c r="E1202" i="10" s="1"/>
  <c r="D1203" i="10"/>
  <c r="E1203" i="10" s="1"/>
  <c r="D1204" i="10"/>
  <c r="E1204" i="10" s="1"/>
  <c r="D1205" i="10"/>
  <c r="E1205" i="10" s="1"/>
  <c r="D1206" i="10"/>
  <c r="E1206" i="10" s="1"/>
  <c r="D1207" i="10"/>
  <c r="E1207" i="10" s="1"/>
  <c r="D1208" i="10"/>
  <c r="E1208" i="10" s="1"/>
  <c r="D1209" i="10"/>
  <c r="E1209" i="10" s="1"/>
  <c r="D1210" i="10"/>
  <c r="E1210" i="10" s="1"/>
  <c r="D1211" i="10"/>
  <c r="E1211" i="10" s="1"/>
  <c r="D1212" i="10"/>
  <c r="E1212" i="10" s="1"/>
  <c r="D1213" i="10"/>
  <c r="E1213" i="10" s="1"/>
  <c r="D1214" i="10"/>
  <c r="E1214" i="10" s="1"/>
  <c r="D1215" i="10"/>
  <c r="E1215" i="10" s="1"/>
  <c r="D1216" i="10"/>
  <c r="E1216" i="10" s="1"/>
  <c r="D1217" i="10"/>
  <c r="E1217" i="10" s="1"/>
  <c r="D1218" i="10"/>
  <c r="E1218" i="10" s="1"/>
  <c r="D1219" i="10"/>
  <c r="E1219" i="10" s="1"/>
  <c r="D1220" i="10"/>
  <c r="E1220" i="10" s="1"/>
  <c r="D1221" i="10"/>
  <c r="E1221" i="10" s="1"/>
  <c r="D1222" i="10"/>
  <c r="E1222" i="10" s="1"/>
  <c r="D1223" i="10"/>
  <c r="E1223" i="10" s="1"/>
  <c r="D1224" i="10"/>
  <c r="E1224" i="10" s="1"/>
  <c r="D1225" i="10"/>
  <c r="E1225" i="10" s="1"/>
  <c r="D1226" i="10"/>
  <c r="E1226" i="10" s="1"/>
  <c r="D1227" i="10"/>
  <c r="E1227" i="10" s="1"/>
  <c r="D1228" i="10"/>
  <c r="E1228" i="10" s="1"/>
  <c r="D1229" i="10"/>
  <c r="E1229" i="10" s="1"/>
  <c r="D1230" i="10"/>
  <c r="E1230" i="10" s="1"/>
  <c r="D1231" i="10"/>
  <c r="E1231" i="10" s="1"/>
  <c r="D1232" i="10"/>
  <c r="E1232" i="10" s="1"/>
  <c r="D1233" i="10"/>
  <c r="E1233" i="10" s="1"/>
  <c r="D1234" i="10"/>
  <c r="E1234" i="10" s="1"/>
  <c r="D1235" i="10"/>
  <c r="E1235" i="10" s="1"/>
  <c r="D1236" i="10"/>
  <c r="E1236" i="10" s="1"/>
  <c r="D1237" i="10"/>
  <c r="E1237" i="10" s="1"/>
  <c r="D1238" i="10"/>
  <c r="E1238" i="10" s="1"/>
  <c r="D1239" i="10"/>
  <c r="E1239" i="10" s="1"/>
  <c r="D1240" i="10"/>
  <c r="E1240" i="10" s="1"/>
  <c r="D1241" i="10"/>
  <c r="E1241" i="10" s="1"/>
  <c r="D1242" i="10"/>
  <c r="E1242" i="10" s="1"/>
  <c r="D1243" i="10"/>
  <c r="E1243" i="10" s="1"/>
  <c r="D1244" i="10"/>
  <c r="E1244" i="10" s="1"/>
  <c r="D1245" i="10"/>
  <c r="E1245" i="10" s="1"/>
  <c r="D1246" i="10"/>
  <c r="E1246" i="10" s="1"/>
  <c r="D1247" i="10"/>
  <c r="E1247" i="10" s="1"/>
  <c r="D1248" i="10"/>
  <c r="E1248" i="10" s="1"/>
  <c r="D1249" i="10"/>
  <c r="E1249" i="10" s="1"/>
  <c r="D1250" i="10"/>
  <c r="E1250" i="10" s="1"/>
  <c r="D1251" i="10"/>
  <c r="E1251" i="10" s="1"/>
  <c r="D1252" i="10"/>
  <c r="E1252" i="10" s="1"/>
  <c r="D1253" i="10"/>
  <c r="E1253" i="10" s="1"/>
  <c r="D1254" i="10"/>
  <c r="E1254" i="10" s="1"/>
  <c r="D1255" i="10"/>
  <c r="E1255" i="10" s="1"/>
  <c r="D1256" i="10"/>
  <c r="E1256" i="10" s="1"/>
  <c r="D1257" i="10"/>
  <c r="E1257" i="10" s="1"/>
  <c r="D1258" i="10"/>
  <c r="E1258" i="10" s="1"/>
  <c r="D1259" i="10"/>
  <c r="E1259" i="10" s="1"/>
  <c r="D1260" i="10"/>
  <c r="E1260" i="10" s="1"/>
  <c r="D1261" i="10"/>
  <c r="E1261" i="10" s="1"/>
  <c r="D1262" i="10"/>
  <c r="E1262" i="10" s="1"/>
  <c r="D1263" i="10"/>
  <c r="E1263" i="10" s="1"/>
  <c r="D1264" i="10"/>
  <c r="E1264" i="10" s="1"/>
  <c r="D1265" i="10"/>
  <c r="E1265" i="10" s="1"/>
  <c r="D1266" i="10"/>
  <c r="E1266" i="10" s="1"/>
  <c r="D1267" i="10"/>
  <c r="E1267" i="10" s="1"/>
  <c r="D1268" i="10"/>
  <c r="E1268" i="10" s="1"/>
  <c r="D1269" i="10"/>
  <c r="E1269" i="10" s="1"/>
  <c r="D1270" i="10"/>
  <c r="E1270" i="10" s="1"/>
  <c r="D1271" i="10"/>
  <c r="E1271" i="10" s="1"/>
  <c r="D1272" i="10"/>
  <c r="E1272" i="10" s="1"/>
  <c r="D1273" i="10"/>
  <c r="E1273" i="10" s="1"/>
  <c r="D2" i="10"/>
  <c r="E2" i="10" s="1"/>
  <c r="A3" i="10"/>
  <c r="B3" i="10" s="1"/>
  <c r="A4" i="10"/>
  <c r="B4" i="10" s="1"/>
  <c r="A5" i="10"/>
  <c r="B5" i="10" s="1"/>
  <c r="A6" i="10"/>
  <c r="A7" i="10"/>
  <c r="A8" i="10"/>
  <c r="B8" i="10" s="1"/>
  <c r="A9" i="10"/>
  <c r="B9" i="10" s="1"/>
  <c r="A10" i="10"/>
  <c r="B10" i="10" s="1"/>
  <c r="A11" i="10"/>
  <c r="B11" i="10" s="1"/>
  <c r="A12" i="10"/>
  <c r="B12" i="10" s="1"/>
  <c r="A13" i="10"/>
  <c r="A14" i="10"/>
  <c r="B14" i="10" s="1"/>
  <c r="A15" i="10"/>
  <c r="B15" i="10" s="1"/>
  <c r="A16" i="10"/>
  <c r="B16" i="10" s="1"/>
  <c r="A17" i="10"/>
  <c r="B17" i="10" s="1"/>
  <c r="A18" i="10"/>
  <c r="A19" i="10"/>
  <c r="A20" i="10"/>
  <c r="B20" i="10" s="1"/>
  <c r="A21" i="10"/>
  <c r="B21" i="10" s="1"/>
  <c r="A22" i="10"/>
  <c r="B22" i="10" s="1"/>
  <c r="A23" i="10"/>
  <c r="B23" i="10" s="1"/>
  <c r="A24" i="10"/>
  <c r="A25" i="10"/>
  <c r="A26" i="10"/>
  <c r="B26" i="10" s="1"/>
  <c r="A27" i="10"/>
  <c r="B27" i="10" s="1"/>
  <c r="A28" i="10"/>
  <c r="B28" i="10" s="1"/>
  <c r="A29" i="10"/>
  <c r="B29" i="10" s="1"/>
  <c r="A30" i="10"/>
  <c r="A31" i="10"/>
  <c r="A32" i="10"/>
  <c r="B32" i="10" s="1"/>
  <c r="A33" i="10"/>
  <c r="B33" i="10" s="1"/>
  <c r="A34" i="10"/>
  <c r="B34" i="10" s="1"/>
  <c r="A35" i="10"/>
  <c r="B35" i="10" s="1"/>
  <c r="A36" i="10"/>
  <c r="A37" i="10"/>
  <c r="A38" i="10"/>
  <c r="B38" i="10" s="1"/>
  <c r="A39" i="10"/>
  <c r="B39" i="10" s="1"/>
  <c r="A40" i="10"/>
  <c r="B40" i="10" s="1"/>
  <c r="A41" i="10"/>
  <c r="B41" i="10" s="1"/>
  <c r="A42" i="10"/>
  <c r="A43" i="10"/>
  <c r="A44" i="10"/>
  <c r="B44" i="10" s="1"/>
  <c r="A45" i="10"/>
  <c r="B45" i="10" s="1"/>
  <c r="A46" i="10"/>
  <c r="B46" i="10" s="1"/>
  <c r="A47" i="10"/>
  <c r="B47" i="10" s="1"/>
  <c r="A48" i="10"/>
  <c r="B48" i="10" s="1"/>
  <c r="A49" i="10"/>
  <c r="A50" i="10"/>
  <c r="B50" i="10" s="1"/>
  <c r="A51" i="10"/>
  <c r="B51" i="10" s="1"/>
  <c r="A52" i="10"/>
  <c r="B52" i="10" s="1"/>
  <c r="A53" i="10"/>
  <c r="B53" i="10" s="1"/>
  <c r="A54" i="10"/>
  <c r="A55" i="10"/>
  <c r="A56" i="10"/>
  <c r="B56" i="10" s="1"/>
  <c r="A57" i="10"/>
  <c r="B57" i="10" s="1"/>
  <c r="A58" i="10"/>
  <c r="B58" i="10" s="1"/>
  <c r="A59" i="10"/>
  <c r="B59" i="10" s="1"/>
  <c r="A60" i="10"/>
  <c r="A61" i="10"/>
  <c r="A62" i="10"/>
  <c r="B62" i="10" s="1"/>
  <c r="A63" i="10"/>
  <c r="B63" i="10" s="1"/>
  <c r="A64" i="10"/>
  <c r="B64" i="10" s="1"/>
  <c r="A65" i="10"/>
  <c r="B65" i="10" s="1"/>
  <c r="A66" i="10"/>
  <c r="A67" i="10"/>
  <c r="A68" i="10"/>
  <c r="B68" i="10" s="1"/>
  <c r="A69" i="10"/>
  <c r="B69" i="10" s="1"/>
  <c r="A70" i="10"/>
  <c r="B70" i="10" s="1"/>
  <c r="A71" i="10"/>
  <c r="B71" i="10" s="1"/>
  <c r="A72" i="10"/>
  <c r="A73" i="10"/>
  <c r="B73" i="10" s="1"/>
  <c r="A74" i="10"/>
  <c r="B74" i="10" s="1"/>
  <c r="A75" i="10"/>
  <c r="B75" i="10" s="1"/>
  <c r="A76" i="10"/>
  <c r="B76" i="10" s="1"/>
  <c r="A77" i="10"/>
  <c r="B77" i="10" s="1"/>
  <c r="A78" i="10"/>
  <c r="B78" i="10" s="1"/>
  <c r="A79" i="10"/>
  <c r="A80" i="10"/>
  <c r="B80" i="10" s="1"/>
  <c r="A81" i="10"/>
  <c r="B81" i="10" s="1"/>
  <c r="A82" i="10"/>
  <c r="B82" i="10" s="1"/>
  <c r="A83" i="10"/>
  <c r="B83" i="10" s="1"/>
  <c r="A84" i="10"/>
  <c r="A85" i="10"/>
  <c r="B85" i="10" s="1"/>
  <c r="A86" i="10"/>
  <c r="B86" i="10" s="1"/>
  <c r="A87" i="10"/>
  <c r="B87" i="10" s="1"/>
  <c r="A88" i="10"/>
  <c r="B88" i="10" s="1"/>
  <c r="A89" i="10"/>
  <c r="B89" i="10" s="1"/>
  <c r="A90" i="10"/>
  <c r="A91" i="10"/>
  <c r="A92" i="10"/>
  <c r="B92" i="10" s="1"/>
  <c r="A93" i="10"/>
  <c r="B93" i="10" s="1"/>
  <c r="A94" i="10"/>
  <c r="B94" i="10" s="1"/>
  <c r="A95" i="10"/>
  <c r="B95" i="10" s="1"/>
  <c r="A96" i="10"/>
  <c r="A97" i="10"/>
  <c r="A98" i="10"/>
  <c r="B98" i="10" s="1"/>
  <c r="A99" i="10"/>
  <c r="B99" i="10" s="1"/>
  <c r="A100" i="10"/>
  <c r="B100" i="10" s="1"/>
  <c r="A101" i="10"/>
  <c r="B101" i="10" s="1"/>
  <c r="A102" i="10"/>
  <c r="B102" i="10" s="1"/>
  <c r="A103" i="10"/>
  <c r="B103" i="10" s="1"/>
  <c r="A104" i="10"/>
  <c r="B104" i="10" s="1"/>
  <c r="A105" i="10"/>
  <c r="B105" i="10" s="1"/>
  <c r="A106" i="10"/>
  <c r="B106" i="10" s="1"/>
  <c r="A107" i="10"/>
  <c r="B107" i="10" s="1"/>
  <c r="A108" i="10"/>
  <c r="A109" i="10"/>
  <c r="A110" i="10"/>
  <c r="B110" i="10" s="1"/>
  <c r="A111" i="10"/>
  <c r="B111" i="10" s="1"/>
  <c r="A112" i="10"/>
  <c r="B112" i="10" s="1"/>
  <c r="A113" i="10"/>
  <c r="B113" i="10" s="1"/>
  <c r="A114" i="10"/>
  <c r="A115" i="10"/>
  <c r="A116" i="10"/>
  <c r="B116" i="10" s="1"/>
  <c r="A117" i="10"/>
  <c r="B117" i="10" s="1"/>
  <c r="A118" i="10"/>
  <c r="B118" i="10" s="1"/>
  <c r="A119" i="10"/>
  <c r="B119" i="10" s="1"/>
  <c r="A120" i="10"/>
  <c r="A121" i="10"/>
  <c r="B121" i="10" s="1"/>
  <c r="A122" i="10"/>
  <c r="B122" i="10" s="1"/>
  <c r="A123" i="10"/>
  <c r="B123" i="10" s="1"/>
  <c r="A124" i="10"/>
  <c r="B124" i="10" s="1"/>
  <c r="A125" i="10"/>
  <c r="B125" i="10" s="1"/>
  <c r="A126" i="10"/>
  <c r="A127" i="10"/>
  <c r="A128" i="10"/>
  <c r="B128" i="10" s="1"/>
  <c r="A129" i="10"/>
  <c r="B129" i="10" s="1"/>
  <c r="A130" i="10"/>
  <c r="B130" i="10" s="1"/>
  <c r="A131" i="10"/>
  <c r="B131" i="10" s="1"/>
  <c r="A132" i="10"/>
  <c r="A133" i="10"/>
  <c r="A134" i="10"/>
  <c r="B134" i="10" s="1"/>
  <c r="A135" i="10"/>
  <c r="B135" i="10" s="1"/>
  <c r="A136" i="10"/>
  <c r="B136" i="10" s="1"/>
  <c r="A137" i="10"/>
  <c r="B137" i="10" s="1"/>
  <c r="A138" i="10"/>
  <c r="A139" i="10"/>
  <c r="A140" i="10"/>
  <c r="B140" i="10" s="1"/>
  <c r="A141" i="10"/>
  <c r="B141" i="10" s="1"/>
  <c r="A142" i="10"/>
  <c r="B142" i="10" s="1"/>
  <c r="A143" i="10"/>
  <c r="B143" i="10" s="1"/>
  <c r="A144" i="10"/>
  <c r="A145" i="10"/>
  <c r="A146" i="10"/>
  <c r="B146" i="10" s="1"/>
  <c r="A147" i="10"/>
  <c r="B147" i="10" s="1"/>
  <c r="A148" i="10"/>
  <c r="B148" i="10" s="1"/>
  <c r="A149" i="10"/>
  <c r="B149" i="10" s="1"/>
  <c r="A150" i="10"/>
  <c r="A151" i="10"/>
  <c r="A152" i="10"/>
  <c r="B152" i="10" s="1"/>
  <c r="A153" i="10"/>
  <c r="B153" i="10" s="1"/>
  <c r="A154" i="10"/>
  <c r="B154" i="10" s="1"/>
  <c r="A155" i="10"/>
  <c r="B155" i="10" s="1"/>
  <c r="A156" i="10"/>
  <c r="A157" i="10"/>
  <c r="A158" i="10"/>
  <c r="B158" i="10" s="1"/>
  <c r="A159" i="10"/>
  <c r="B159" i="10" s="1"/>
  <c r="A160" i="10"/>
  <c r="B160" i="10" s="1"/>
  <c r="A161" i="10"/>
  <c r="B161" i="10" s="1"/>
  <c r="A162" i="10"/>
  <c r="A163" i="10"/>
  <c r="A164" i="10"/>
  <c r="B164" i="10" s="1"/>
  <c r="A165" i="10"/>
  <c r="B165" i="10" s="1"/>
  <c r="A166" i="10"/>
  <c r="B166" i="10" s="1"/>
  <c r="A167" i="10"/>
  <c r="B167" i="10" s="1"/>
  <c r="A168" i="10"/>
  <c r="B168" i="10" s="1"/>
  <c r="A169" i="10"/>
  <c r="A170" i="10"/>
  <c r="B170" i="10" s="1"/>
  <c r="A171" i="10"/>
  <c r="B171" i="10" s="1"/>
  <c r="A172" i="10"/>
  <c r="B172" i="10" s="1"/>
  <c r="A173" i="10"/>
  <c r="B173" i="10" s="1"/>
  <c r="A174" i="10"/>
  <c r="A175" i="10"/>
  <c r="A176" i="10"/>
  <c r="B176" i="10" s="1"/>
  <c r="A177" i="10"/>
  <c r="B177" i="10" s="1"/>
  <c r="A178" i="10"/>
  <c r="B178" i="10" s="1"/>
  <c r="A179" i="10"/>
  <c r="B179" i="10" s="1"/>
  <c r="A180" i="10"/>
  <c r="A181" i="10"/>
  <c r="A182" i="10"/>
  <c r="B182" i="10" s="1"/>
  <c r="A183" i="10"/>
  <c r="B183" i="10" s="1"/>
  <c r="A184" i="10"/>
  <c r="B184" i="10" s="1"/>
  <c r="A185" i="10"/>
  <c r="B185" i="10" s="1"/>
  <c r="A186" i="10"/>
  <c r="A187" i="10"/>
  <c r="A188" i="10"/>
  <c r="B188" i="10" s="1"/>
  <c r="A189" i="10"/>
  <c r="B189" i="10" s="1"/>
  <c r="A190" i="10"/>
  <c r="B190" i="10" s="1"/>
  <c r="A191" i="10"/>
  <c r="B191" i="10" s="1"/>
  <c r="A192" i="10"/>
  <c r="A193" i="10"/>
  <c r="A194" i="10"/>
  <c r="B194" i="10" s="1"/>
  <c r="A195" i="10"/>
  <c r="B195" i="10" s="1"/>
  <c r="A196" i="10"/>
  <c r="B196" i="10" s="1"/>
  <c r="A197" i="10"/>
  <c r="B197" i="10" s="1"/>
  <c r="A198" i="10"/>
  <c r="B198" i="10" s="1"/>
  <c r="A199" i="10"/>
  <c r="A200" i="10"/>
  <c r="B200" i="10" s="1"/>
  <c r="A201" i="10"/>
  <c r="B201" i="10" s="1"/>
  <c r="A202" i="10"/>
  <c r="B202" i="10" s="1"/>
  <c r="A203" i="10"/>
  <c r="B203" i="10" s="1"/>
  <c r="A204" i="10"/>
  <c r="A205" i="10"/>
  <c r="A206" i="10"/>
  <c r="B206" i="10" s="1"/>
  <c r="A207" i="10"/>
  <c r="B207" i="10" s="1"/>
  <c r="A208" i="10"/>
  <c r="B208" i="10" s="1"/>
  <c r="A209" i="10"/>
  <c r="B209" i="10" s="1"/>
  <c r="A210" i="10"/>
  <c r="A211" i="10"/>
  <c r="A212" i="10"/>
  <c r="B212" i="10" s="1"/>
  <c r="A213" i="10"/>
  <c r="B213" i="10" s="1"/>
  <c r="A214" i="10"/>
  <c r="B214" i="10" s="1"/>
  <c r="A215" i="10"/>
  <c r="B215" i="10" s="1"/>
  <c r="A216" i="10"/>
  <c r="A217" i="10"/>
  <c r="B217" i="10" s="1"/>
  <c r="A218" i="10"/>
  <c r="B218" i="10" s="1"/>
  <c r="A219" i="10"/>
  <c r="B219" i="10" s="1"/>
  <c r="A220" i="10"/>
  <c r="B220" i="10" s="1"/>
  <c r="A221" i="10"/>
  <c r="B221" i="10" s="1"/>
  <c r="A222" i="10"/>
  <c r="A223" i="10"/>
  <c r="A224" i="10"/>
  <c r="B224" i="10" s="1"/>
  <c r="A225" i="10"/>
  <c r="B225" i="10" s="1"/>
  <c r="A226" i="10"/>
  <c r="B226" i="10" s="1"/>
  <c r="A227" i="10"/>
  <c r="B227" i="10" s="1"/>
  <c r="A228" i="10"/>
  <c r="A229" i="10"/>
  <c r="A230" i="10"/>
  <c r="B230" i="10" s="1"/>
  <c r="A231" i="10"/>
  <c r="B231" i="10" s="1"/>
  <c r="A232" i="10"/>
  <c r="B232" i="10" s="1"/>
  <c r="A233" i="10"/>
  <c r="B233" i="10" s="1"/>
  <c r="A234" i="10"/>
  <c r="B234" i="10" s="1"/>
  <c r="A235" i="10"/>
  <c r="A236" i="10"/>
  <c r="B236" i="10" s="1"/>
  <c r="A237" i="10"/>
  <c r="B237" i="10" s="1"/>
  <c r="A238" i="10"/>
  <c r="B238" i="10" s="1"/>
  <c r="A239" i="10"/>
  <c r="B239" i="10" s="1"/>
  <c r="A240" i="10"/>
  <c r="A241" i="10"/>
  <c r="A242" i="10"/>
  <c r="B242" i="10" s="1"/>
  <c r="A243" i="10"/>
  <c r="B243" i="10" s="1"/>
  <c r="A244" i="10"/>
  <c r="B244" i="10" s="1"/>
  <c r="A245" i="10"/>
  <c r="B245" i="10" s="1"/>
  <c r="A246" i="10"/>
  <c r="A247" i="10"/>
  <c r="A248" i="10"/>
  <c r="B248" i="10" s="1"/>
  <c r="A249" i="10"/>
  <c r="B249" i="10" s="1"/>
  <c r="A250" i="10"/>
  <c r="B250" i="10" s="1"/>
  <c r="A251" i="10"/>
  <c r="B251" i="10" s="1"/>
  <c r="A252" i="10"/>
  <c r="A253" i="10"/>
  <c r="A254" i="10"/>
  <c r="B254" i="10" s="1"/>
  <c r="A255" i="10"/>
  <c r="B255" i="10" s="1"/>
  <c r="A256" i="10"/>
  <c r="B256" i="10" s="1"/>
  <c r="A257" i="10"/>
  <c r="B257" i="10" s="1"/>
  <c r="A258" i="10"/>
  <c r="A259" i="10"/>
  <c r="B259" i="10" s="1"/>
  <c r="A260" i="10"/>
  <c r="B260" i="10" s="1"/>
  <c r="A261" i="10"/>
  <c r="B261" i="10" s="1"/>
  <c r="A262" i="10"/>
  <c r="B262" i="10" s="1"/>
  <c r="A263" i="10"/>
  <c r="B263" i="10" s="1"/>
  <c r="A264" i="10"/>
  <c r="B264" i="10" s="1"/>
  <c r="A265" i="10"/>
  <c r="A266" i="10"/>
  <c r="B266" i="10" s="1"/>
  <c r="A267" i="10"/>
  <c r="B267" i="10" s="1"/>
  <c r="A268" i="10"/>
  <c r="B268" i="10" s="1"/>
  <c r="A269" i="10"/>
  <c r="B269" i="10" s="1"/>
  <c r="A270" i="10"/>
  <c r="A271" i="10"/>
  <c r="A272" i="10"/>
  <c r="B272" i="10" s="1"/>
  <c r="A273" i="10"/>
  <c r="B273" i="10" s="1"/>
  <c r="A274" i="10"/>
  <c r="B274" i="10" s="1"/>
  <c r="A275" i="10"/>
  <c r="B275" i="10" s="1"/>
  <c r="A276" i="10"/>
  <c r="A277" i="10"/>
  <c r="A278" i="10"/>
  <c r="B278" i="10" s="1"/>
  <c r="A279" i="10"/>
  <c r="B279" i="10" s="1"/>
  <c r="A280" i="10"/>
  <c r="B280" i="10" s="1"/>
  <c r="A281" i="10"/>
  <c r="B281" i="10" s="1"/>
  <c r="A282" i="10"/>
  <c r="A283" i="10"/>
  <c r="A284" i="10"/>
  <c r="B284" i="10" s="1"/>
  <c r="A285" i="10"/>
  <c r="B285" i="10" s="1"/>
  <c r="A286" i="10"/>
  <c r="B286" i="10" s="1"/>
  <c r="A287" i="10"/>
  <c r="B287" i="10" s="1"/>
  <c r="A288" i="10"/>
  <c r="A289" i="10"/>
  <c r="A290" i="10"/>
  <c r="B290" i="10" s="1"/>
  <c r="A291" i="10"/>
  <c r="B291" i="10" s="1"/>
  <c r="A292" i="10"/>
  <c r="B292" i="10" s="1"/>
  <c r="A293" i="10"/>
  <c r="B293" i="10" s="1"/>
  <c r="A294" i="10"/>
  <c r="A295" i="10"/>
  <c r="A296" i="10"/>
  <c r="B296" i="10" s="1"/>
  <c r="A297" i="10"/>
  <c r="B297" i="10" s="1"/>
  <c r="A298" i="10"/>
  <c r="B298" i="10" s="1"/>
  <c r="A299" i="10"/>
  <c r="B299" i="10" s="1"/>
  <c r="A300" i="10"/>
  <c r="B300" i="10" s="1"/>
  <c r="A301" i="10"/>
  <c r="A302" i="10"/>
  <c r="B302" i="10" s="1"/>
  <c r="A303" i="10"/>
  <c r="B303" i="10" s="1"/>
  <c r="A304" i="10"/>
  <c r="B304" i="10" s="1"/>
  <c r="A305" i="10"/>
  <c r="B305" i="10" s="1"/>
  <c r="A306" i="10"/>
  <c r="A307" i="10"/>
  <c r="A308" i="10"/>
  <c r="B308" i="10" s="1"/>
  <c r="A309" i="10"/>
  <c r="B309" i="10" s="1"/>
  <c r="A310" i="10"/>
  <c r="B310" i="10" s="1"/>
  <c r="A311" i="10"/>
  <c r="B311" i="10" s="1"/>
  <c r="A312" i="10"/>
  <c r="A313" i="10"/>
  <c r="A314" i="10"/>
  <c r="B314" i="10" s="1"/>
  <c r="A315" i="10"/>
  <c r="B315" i="10" s="1"/>
  <c r="A316" i="10"/>
  <c r="B316" i="10" s="1"/>
  <c r="A317" i="10"/>
  <c r="B317" i="10" s="1"/>
  <c r="A318" i="10"/>
  <c r="A319" i="10"/>
  <c r="A320" i="10"/>
  <c r="B320" i="10" s="1"/>
  <c r="A321" i="10"/>
  <c r="B321" i="10" s="1"/>
  <c r="A322" i="10"/>
  <c r="B322" i="10" s="1"/>
  <c r="A323" i="10"/>
  <c r="B323" i="10" s="1"/>
  <c r="A324" i="10"/>
  <c r="A325" i="10"/>
  <c r="A326" i="10"/>
  <c r="B326" i="10" s="1"/>
  <c r="A327" i="10"/>
  <c r="B327" i="10" s="1"/>
  <c r="A328" i="10"/>
  <c r="B328" i="10" s="1"/>
  <c r="A329" i="10"/>
  <c r="B329" i="10" s="1"/>
  <c r="A330" i="10"/>
  <c r="A331" i="10"/>
  <c r="A332" i="10"/>
  <c r="B332" i="10" s="1"/>
  <c r="A333" i="10"/>
  <c r="B333" i="10" s="1"/>
  <c r="A334" i="10"/>
  <c r="B334" i="10" s="1"/>
  <c r="A335" i="10"/>
  <c r="B335" i="10" s="1"/>
  <c r="A336" i="10"/>
  <c r="B336" i="10" s="1"/>
  <c r="A337" i="10"/>
  <c r="A338" i="10"/>
  <c r="B338" i="10" s="1"/>
  <c r="A339" i="10"/>
  <c r="I339" i="10" s="1"/>
  <c r="A340" i="10"/>
  <c r="B340" i="10" s="1"/>
  <c r="A341" i="10"/>
  <c r="B341" i="10" s="1"/>
  <c r="A342" i="10"/>
  <c r="A343" i="10"/>
  <c r="A344" i="10"/>
  <c r="B344" i="10" s="1"/>
  <c r="A345" i="10"/>
  <c r="B345" i="10" s="1"/>
  <c r="A346" i="10"/>
  <c r="B346" i="10" s="1"/>
  <c r="A347" i="10"/>
  <c r="B347" i="10" s="1"/>
  <c r="A348" i="10"/>
  <c r="A349" i="10"/>
  <c r="A350" i="10"/>
  <c r="B350" i="10" s="1"/>
  <c r="A351" i="10"/>
  <c r="B351" i="10" s="1"/>
  <c r="A352" i="10"/>
  <c r="B352" i="10" s="1"/>
  <c r="A353" i="10"/>
  <c r="B353" i="10" s="1"/>
  <c r="A354" i="10"/>
  <c r="A355" i="10"/>
  <c r="A356" i="10"/>
  <c r="B356" i="10" s="1"/>
  <c r="A357" i="10"/>
  <c r="B357" i="10" s="1"/>
  <c r="A358" i="10"/>
  <c r="B358" i="10" s="1"/>
  <c r="A359" i="10"/>
  <c r="B359" i="10" s="1"/>
  <c r="A360" i="10"/>
  <c r="A361" i="10"/>
  <c r="A362" i="10"/>
  <c r="B362" i="10" s="1"/>
  <c r="A363" i="10"/>
  <c r="B363" i="10" s="1"/>
  <c r="A364" i="10"/>
  <c r="B364" i="10" s="1"/>
  <c r="A365" i="10"/>
  <c r="B365" i="10" s="1"/>
  <c r="A366" i="10"/>
  <c r="A367" i="10"/>
  <c r="A368" i="10"/>
  <c r="B368" i="10" s="1"/>
  <c r="A369" i="10"/>
  <c r="B369" i="10" s="1"/>
  <c r="A370" i="10"/>
  <c r="B370" i="10" s="1"/>
  <c r="A371" i="10"/>
  <c r="B371" i="10" s="1"/>
  <c r="A372" i="10"/>
  <c r="B372" i="10" s="1"/>
  <c r="A373" i="10"/>
  <c r="B373" i="10" s="1"/>
  <c r="A374" i="10"/>
  <c r="B374" i="10" s="1"/>
  <c r="A375" i="10"/>
  <c r="B375" i="10" s="1"/>
  <c r="A376" i="10"/>
  <c r="B376" i="10" s="1"/>
  <c r="A377" i="10"/>
  <c r="B377" i="10" s="1"/>
  <c r="A378" i="10"/>
  <c r="A379" i="10"/>
  <c r="A380" i="10"/>
  <c r="B380" i="10" s="1"/>
  <c r="A381" i="10"/>
  <c r="B381" i="10" s="1"/>
  <c r="A382" i="10"/>
  <c r="B382" i="10" s="1"/>
  <c r="A383" i="10"/>
  <c r="B383" i="10" s="1"/>
  <c r="A384" i="10"/>
  <c r="A385" i="10"/>
  <c r="A386" i="10"/>
  <c r="B386" i="10" s="1"/>
  <c r="A387" i="10"/>
  <c r="B387" i="10" s="1"/>
  <c r="A388" i="10"/>
  <c r="B388" i="10" s="1"/>
  <c r="A389" i="10"/>
  <c r="B389" i="10" s="1"/>
  <c r="A390" i="10"/>
  <c r="A391" i="10"/>
  <c r="A392" i="10"/>
  <c r="B392" i="10" s="1"/>
  <c r="A393" i="10"/>
  <c r="B393" i="10" s="1"/>
  <c r="A394" i="10"/>
  <c r="B394" i="10" s="1"/>
  <c r="A395" i="10"/>
  <c r="B395" i="10" s="1"/>
  <c r="A396" i="10"/>
  <c r="A397" i="10"/>
  <c r="A398" i="10"/>
  <c r="B398" i="10" s="1"/>
  <c r="A399" i="10"/>
  <c r="B399" i="10" s="1"/>
  <c r="A400" i="10"/>
  <c r="B400" i="10" s="1"/>
  <c r="A401" i="10"/>
  <c r="B401" i="10" s="1"/>
  <c r="A402" i="10"/>
  <c r="A403" i="10"/>
  <c r="B403" i="10" s="1"/>
  <c r="A404" i="10"/>
  <c r="B404" i="10" s="1"/>
  <c r="A405" i="10"/>
  <c r="B405" i="10" s="1"/>
  <c r="A406" i="10"/>
  <c r="B406" i="10" s="1"/>
  <c r="A407" i="10"/>
  <c r="B407" i="10" s="1"/>
  <c r="A408" i="10"/>
  <c r="A409" i="10"/>
  <c r="A410" i="10"/>
  <c r="B410" i="10" s="1"/>
  <c r="A411" i="10"/>
  <c r="B411" i="10" s="1"/>
  <c r="A412" i="10"/>
  <c r="B412" i="10" s="1"/>
  <c r="A413" i="10"/>
  <c r="B413" i="10" s="1"/>
  <c r="A414" i="10"/>
  <c r="A415" i="10"/>
  <c r="B415" i="10" s="1"/>
  <c r="A416" i="10"/>
  <c r="B416" i="10" s="1"/>
  <c r="A417" i="10"/>
  <c r="B417" i="10" s="1"/>
  <c r="A418" i="10"/>
  <c r="B418" i="10" s="1"/>
  <c r="A419" i="10"/>
  <c r="B419" i="10" s="1"/>
  <c r="A420" i="10"/>
  <c r="A421" i="10"/>
  <c r="A422" i="10"/>
  <c r="B422" i="10" s="1"/>
  <c r="A423" i="10"/>
  <c r="B423" i="10" s="1"/>
  <c r="A424" i="10"/>
  <c r="B424" i="10" s="1"/>
  <c r="A425" i="10"/>
  <c r="B425" i="10" s="1"/>
  <c r="A426" i="10"/>
  <c r="A427" i="10"/>
  <c r="A428" i="10"/>
  <c r="B428" i="10" s="1"/>
  <c r="A429" i="10"/>
  <c r="B429" i="10" s="1"/>
  <c r="A430" i="10"/>
  <c r="B430" i="10" s="1"/>
  <c r="A431" i="10"/>
  <c r="B431" i="10" s="1"/>
  <c r="A432" i="10"/>
  <c r="B432" i="10" s="1"/>
  <c r="A433" i="10"/>
  <c r="B433" i="10" s="1"/>
  <c r="A434" i="10"/>
  <c r="B434" i="10" s="1"/>
  <c r="A435" i="10"/>
  <c r="B435" i="10" s="1"/>
  <c r="A436" i="10"/>
  <c r="B436" i="10" s="1"/>
  <c r="A437" i="10"/>
  <c r="B437" i="10" s="1"/>
  <c r="A438" i="10"/>
  <c r="A439" i="10"/>
  <c r="A440" i="10"/>
  <c r="B440" i="10" s="1"/>
  <c r="A441" i="10"/>
  <c r="B441" i="10" s="1"/>
  <c r="A442" i="10"/>
  <c r="B442" i="10" s="1"/>
  <c r="A443" i="10"/>
  <c r="B443" i="10" s="1"/>
  <c r="A444" i="10"/>
  <c r="A445" i="10"/>
  <c r="A446" i="10"/>
  <c r="B446" i="10" s="1"/>
  <c r="A447" i="10"/>
  <c r="B447" i="10" s="1"/>
  <c r="A448" i="10"/>
  <c r="B448" i="10" s="1"/>
  <c r="A449" i="10"/>
  <c r="B449" i="10" s="1"/>
  <c r="A450" i="10"/>
  <c r="A451" i="10"/>
  <c r="B451" i="10" s="1"/>
  <c r="A452" i="10"/>
  <c r="B452" i="10" s="1"/>
  <c r="A453" i="10"/>
  <c r="B453" i="10" s="1"/>
  <c r="A454" i="10"/>
  <c r="B454" i="10" s="1"/>
  <c r="A455" i="10"/>
  <c r="B455" i="10" s="1"/>
  <c r="A456" i="10"/>
  <c r="A457" i="10"/>
  <c r="A458" i="10"/>
  <c r="B458" i="10" s="1"/>
  <c r="A459" i="10"/>
  <c r="B459" i="10" s="1"/>
  <c r="A460" i="10"/>
  <c r="B460" i="10" s="1"/>
  <c r="A461" i="10"/>
  <c r="B461" i="10" s="1"/>
  <c r="A462" i="10"/>
  <c r="A463" i="10"/>
  <c r="A464" i="10"/>
  <c r="B464" i="10" s="1"/>
  <c r="A465" i="10"/>
  <c r="B465" i="10" s="1"/>
  <c r="A466" i="10"/>
  <c r="B466" i="10" s="1"/>
  <c r="A467" i="10"/>
  <c r="B467" i="10" s="1"/>
  <c r="A468" i="10"/>
  <c r="B468" i="10" s="1"/>
  <c r="A469" i="10"/>
  <c r="B469" i="10" s="1"/>
  <c r="A470" i="10"/>
  <c r="B470" i="10" s="1"/>
  <c r="A471" i="10"/>
  <c r="B471" i="10" s="1"/>
  <c r="A472" i="10"/>
  <c r="B472" i="10" s="1"/>
  <c r="A473" i="10"/>
  <c r="B473" i="10" s="1"/>
  <c r="A474" i="10"/>
  <c r="A475" i="10"/>
  <c r="A476" i="10"/>
  <c r="B476" i="10" s="1"/>
  <c r="A477" i="10"/>
  <c r="B477" i="10" s="1"/>
  <c r="A478" i="10"/>
  <c r="B478" i="10" s="1"/>
  <c r="A479" i="10"/>
  <c r="B479" i="10" s="1"/>
  <c r="A480" i="10"/>
  <c r="A481" i="10"/>
  <c r="A482" i="10"/>
  <c r="B482" i="10" s="1"/>
  <c r="A483" i="10"/>
  <c r="B483" i="10" s="1"/>
  <c r="A484" i="10"/>
  <c r="B484" i="10" s="1"/>
  <c r="A485" i="10"/>
  <c r="B485" i="10" s="1"/>
  <c r="A486" i="10"/>
  <c r="A487" i="10"/>
  <c r="B487" i="10" s="1"/>
  <c r="A488" i="10"/>
  <c r="B488" i="10" s="1"/>
  <c r="A489" i="10"/>
  <c r="B489" i="10" s="1"/>
  <c r="A490" i="10"/>
  <c r="B490" i="10" s="1"/>
  <c r="A491" i="10"/>
  <c r="B491" i="10" s="1"/>
  <c r="A492" i="10"/>
  <c r="A493" i="10"/>
  <c r="A494" i="10"/>
  <c r="B494" i="10" s="1"/>
  <c r="A495" i="10"/>
  <c r="B495" i="10" s="1"/>
  <c r="A496" i="10"/>
  <c r="B496" i="10" s="1"/>
  <c r="A497" i="10"/>
  <c r="B497" i="10" s="1"/>
  <c r="A498" i="10"/>
  <c r="B498" i="10" s="1"/>
  <c r="A499" i="10"/>
  <c r="A500" i="10"/>
  <c r="B500" i="10" s="1"/>
  <c r="A501" i="10"/>
  <c r="B501" i="10" s="1"/>
  <c r="A502" i="10"/>
  <c r="B502" i="10" s="1"/>
  <c r="A503" i="10"/>
  <c r="B503" i="10" s="1"/>
  <c r="A504" i="10"/>
  <c r="A505" i="10"/>
  <c r="A506" i="10"/>
  <c r="B506" i="10" s="1"/>
  <c r="A507" i="10"/>
  <c r="B507" i="10" s="1"/>
  <c r="A508" i="10"/>
  <c r="B508" i="10" s="1"/>
  <c r="A509" i="10"/>
  <c r="B509" i="10" s="1"/>
  <c r="A510" i="10"/>
  <c r="A511" i="10"/>
  <c r="A512" i="10"/>
  <c r="B512" i="10" s="1"/>
  <c r="A513" i="10"/>
  <c r="B513" i="10" s="1"/>
  <c r="A514" i="10"/>
  <c r="B514" i="10" s="1"/>
  <c r="A515" i="10"/>
  <c r="B515" i="10" s="1"/>
  <c r="A516" i="10"/>
  <c r="A517" i="10"/>
  <c r="A518" i="10"/>
  <c r="B518" i="10" s="1"/>
  <c r="A519" i="10"/>
  <c r="B519" i="10" s="1"/>
  <c r="A520" i="10"/>
  <c r="B520" i="10" s="1"/>
  <c r="A521" i="10"/>
  <c r="B521" i="10" s="1"/>
  <c r="A522" i="10"/>
  <c r="A523" i="10"/>
  <c r="A524" i="10"/>
  <c r="B524" i="10" s="1"/>
  <c r="A525" i="10"/>
  <c r="B525" i="10" s="1"/>
  <c r="A526" i="10"/>
  <c r="B526" i="10" s="1"/>
  <c r="A527" i="10"/>
  <c r="B527" i="10" s="1"/>
  <c r="A528" i="10"/>
  <c r="A529" i="10"/>
  <c r="A530" i="10"/>
  <c r="B530" i="10" s="1"/>
  <c r="A531" i="10"/>
  <c r="B531" i="10" s="1"/>
  <c r="A532" i="10"/>
  <c r="B532" i="10" s="1"/>
  <c r="A533" i="10"/>
  <c r="B533" i="10" s="1"/>
  <c r="A534" i="10"/>
  <c r="B534" i="10" s="1"/>
  <c r="A535" i="10"/>
  <c r="A536" i="10"/>
  <c r="B536" i="10" s="1"/>
  <c r="A537" i="10"/>
  <c r="B537" i="10" s="1"/>
  <c r="A538" i="10"/>
  <c r="B538" i="10" s="1"/>
  <c r="A539" i="10"/>
  <c r="B539" i="10" s="1"/>
  <c r="A540" i="10"/>
  <c r="A541" i="10"/>
  <c r="A542" i="10"/>
  <c r="B542" i="10" s="1"/>
  <c r="A543" i="10"/>
  <c r="B543" i="10" s="1"/>
  <c r="A544" i="10"/>
  <c r="B544" i="10" s="1"/>
  <c r="A545" i="10"/>
  <c r="B545" i="10" s="1"/>
  <c r="A546" i="10"/>
  <c r="A547" i="10"/>
  <c r="A548" i="10"/>
  <c r="B548" i="10" s="1"/>
  <c r="A549" i="10"/>
  <c r="B549" i="10" s="1"/>
  <c r="A550" i="10"/>
  <c r="B550" i="10" s="1"/>
  <c r="A551" i="10"/>
  <c r="B551" i="10" s="1"/>
  <c r="A552" i="10"/>
  <c r="A553" i="10"/>
  <c r="A554" i="10"/>
  <c r="B554" i="10" s="1"/>
  <c r="A555" i="10"/>
  <c r="B555" i="10" s="1"/>
  <c r="A556" i="10"/>
  <c r="B556" i="10" s="1"/>
  <c r="A557" i="10"/>
  <c r="B557" i="10" s="1"/>
  <c r="A558" i="10"/>
  <c r="A559" i="10"/>
  <c r="A560" i="10"/>
  <c r="B560" i="10" s="1"/>
  <c r="A561" i="10"/>
  <c r="B561" i="10" s="1"/>
  <c r="A562" i="10"/>
  <c r="B562" i="10" s="1"/>
  <c r="A563" i="10"/>
  <c r="B563" i="10" s="1"/>
  <c r="A564" i="10"/>
  <c r="A565" i="10"/>
  <c r="A566" i="10"/>
  <c r="B566" i="10" s="1"/>
  <c r="A567" i="10"/>
  <c r="B567" i="10" s="1"/>
  <c r="A568" i="10"/>
  <c r="B568" i="10" s="1"/>
  <c r="A569" i="10"/>
  <c r="B569" i="10" s="1"/>
  <c r="A570" i="10"/>
  <c r="B570" i="10" s="1"/>
  <c r="A571" i="10"/>
  <c r="A572" i="10"/>
  <c r="B572" i="10" s="1"/>
  <c r="A573" i="10"/>
  <c r="B573" i="10" s="1"/>
  <c r="A574" i="10"/>
  <c r="B574" i="10" s="1"/>
  <c r="A575" i="10"/>
  <c r="B575" i="10" s="1"/>
  <c r="A576" i="10"/>
  <c r="A577" i="10"/>
  <c r="A578" i="10"/>
  <c r="A579" i="10"/>
  <c r="B579" i="10" s="1"/>
  <c r="A580" i="10"/>
  <c r="B580" i="10" s="1"/>
  <c r="A581" i="10"/>
  <c r="B581" i="10" s="1"/>
  <c r="A582" i="10"/>
  <c r="A583" i="10"/>
  <c r="B583" i="10" s="1"/>
  <c r="A584" i="10"/>
  <c r="B584" i="10" s="1"/>
  <c r="A585" i="10"/>
  <c r="B585" i="10" s="1"/>
  <c r="A586" i="10"/>
  <c r="B586" i="10" s="1"/>
  <c r="A587" i="10"/>
  <c r="B587" i="10" s="1"/>
  <c r="A588" i="10"/>
  <c r="A589" i="10"/>
  <c r="A590" i="10"/>
  <c r="B590" i="10" s="1"/>
  <c r="A591" i="10"/>
  <c r="B591" i="10" s="1"/>
  <c r="A592" i="10"/>
  <c r="B592" i="10" s="1"/>
  <c r="A593" i="10"/>
  <c r="B593" i="10" s="1"/>
  <c r="A594" i="10"/>
  <c r="A595" i="10"/>
  <c r="A596" i="10"/>
  <c r="B596" i="10" s="1"/>
  <c r="A597" i="10"/>
  <c r="B597" i="10" s="1"/>
  <c r="A598" i="10"/>
  <c r="B598" i="10" s="1"/>
  <c r="A599" i="10"/>
  <c r="B599" i="10" s="1"/>
  <c r="A600" i="10"/>
  <c r="B600" i="10" s="1"/>
  <c r="A601" i="10"/>
  <c r="A602" i="10"/>
  <c r="B602" i="10" s="1"/>
  <c r="A603" i="10"/>
  <c r="B603" i="10" s="1"/>
  <c r="A604" i="10"/>
  <c r="B604" i="10" s="1"/>
  <c r="A605" i="10"/>
  <c r="B605" i="10" s="1"/>
  <c r="A606" i="10"/>
  <c r="A607" i="10"/>
  <c r="A608" i="10"/>
  <c r="B608" i="10" s="1"/>
  <c r="A609" i="10"/>
  <c r="B609" i="10" s="1"/>
  <c r="A610" i="10"/>
  <c r="B610" i="10" s="1"/>
  <c r="A611" i="10"/>
  <c r="B611" i="10" s="1"/>
  <c r="A612" i="10"/>
  <c r="A613" i="10"/>
  <c r="B613" i="10" s="1"/>
  <c r="A614" i="10"/>
  <c r="B614" i="10" s="1"/>
  <c r="A615" i="10"/>
  <c r="B615" i="10" s="1"/>
  <c r="A616" i="10"/>
  <c r="B616" i="10" s="1"/>
  <c r="A617" i="10"/>
  <c r="B617" i="10" s="1"/>
  <c r="A618" i="10"/>
  <c r="A619" i="10"/>
  <c r="A620" i="10"/>
  <c r="B620" i="10" s="1"/>
  <c r="A621" i="10"/>
  <c r="B621" i="10" s="1"/>
  <c r="A622" i="10"/>
  <c r="B622" i="10" s="1"/>
  <c r="A623" i="10"/>
  <c r="B623" i="10" s="1"/>
  <c r="A624" i="10"/>
  <c r="A625" i="10"/>
  <c r="A626" i="10"/>
  <c r="B626" i="10" s="1"/>
  <c r="A627" i="10"/>
  <c r="B627" i="10" s="1"/>
  <c r="A628" i="10"/>
  <c r="B628" i="10" s="1"/>
  <c r="A629" i="10"/>
  <c r="B629" i="10" s="1"/>
  <c r="A630" i="10"/>
  <c r="A631" i="10"/>
  <c r="A632" i="10"/>
  <c r="B632" i="10" s="1"/>
  <c r="A633" i="10"/>
  <c r="B633" i="10" s="1"/>
  <c r="A634" i="10"/>
  <c r="B634" i="10" s="1"/>
  <c r="A635" i="10"/>
  <c r="B635" i="10" s="1"/>
  <c r="A636" i="10"/>
  <c r="B636" i="10" s="1"/>
  <c r="A637" i="10"/>
  <c r="A638" i="10"/>
  <c r="B638" i="10" s="1"/>
  <c r="A639" i="10"/>
  <c r="B639" i="10" s="1"/>
  <c r="A640" i="10"/>
  <c r="B640" i="10" s="1"/>
  <c r="A641" i="10"/>
  <c r="B641" i="10" s="1"/>
  <c r="A642" i="10"/>
  <c r="A643" i="10"/>
  <c r="A644" i="10"/>
  <c r="B644" i="10" s="1"/>
  <c r="A645" i="10"/>
  <c r="B645" i="10" s="1"/>
  <c r="A646" i="10"/>
  <c r="B646" i="10" s="1"/>
  <c r="A647" i="10"/>
  <c r="B647" i="10" s="1"/>
  <c r="A648" i="10"/>
  <c r="A649" i="10"/>
  <c r="A650" i="10"/>
  <c r="B650" i="10" s="1"/>
  <c r="A651" i="10"/>
  <c r="B651" i="10" s="1"/>
  <c r="A652" i="10"/>
  <c r="B652" i="10" s="1"/>
  <c r="A653" i="10"/>
  <c r="B653" i="10" s="1"/>
  <c r="A654" i="10"/>
  <c r="A655" i="10"/>
  <c r="B655" i="10" s="1"/>
  <c r="A656" i="10"/>
  <c r="B656" i="10" s="1"/>
  <c r="A657" i="10"/>
  <c r="B657" i="10" s="1"/>
  <c r="A658" i="10"/>
  <c r="B658" i="10" s="1"/>
  <c r="A659" i="10"/>
  <c r="B659" i="10" s="1"/>
  <c r="A660" i="10"/>
  <c r="A661" i="10"/>
  <c r="A662" i="10"/>
  <c r="B662" i="10" s="1"/>
  <c r="A663" i="10"/>
  <c r="B663" i="10" s="1"/>
  <c r="A664" i="10"/>
  <c r="B664" i="10" s="1"/>
  <c r="A665" i="10"/>
  <c r="B665" i="10" s="1"/>
  <c r="A666" i="10"/>
  <c r="B666" i="10" s="1"/>
  <c r="A667" i="10"/>
  <c r="A668" i="10"/>
  <c r="B668" i="10" s="1"/>
  <c r="A669" i="10"/>
  <c r="B669" i="10" s="1"/>
  <c r="A670" i="10"/>
  <c r="B670" i="10" s="1"/>
  <c r="A671" i="10"/>
  <c r="B671" i="10" s="1"/>
  <c r="A672" i="10"/>
  <c r="A673" i="10"/>
  <c r="A674" i="10"/>
  <c r="B674" i="10" s="1"/>
  <c r="A675" i="10"/>
  <c r="B675" i="10" s="1"/>
  <c r="A676" i="10"/>
  <c r="B676" i="10" s="1"/>
  <c r="A677" i="10"/>
  <c r="B677" i="10" s="1"/>
  <c r="A678" i="10"/>
  <c r="A679" i="10"/>
  <c r="A680" i="10"/>
  <c r="B680" i="10" s="1"/>
  <c r="A681" i="10"/>
  <c r="B681" i="10" s="1"/>
  <c r="A682" i="10"/>
  <c r="B682" i="10" s="1"/>
  <c r="A683" i="10"/>
  <c r="B683" i="10" s="1"/>
  <c r="A684" i="10"/>
  <c r="A685" i="10"/>
  <c r="A686" i="10"/>
  <c r="B686" i="10" s="1"/>
  <c r="A687" i="10"/>
  <c r="B687" i="10" s="1"/>
  <c r="A688" i="10"/>
  <c r="B688" i="10" s="1"/>
  <c r="A689" i="10"/>
  <c r="B689" i="10" s="1"/>
  <c r="A690" i="10"/>
  <c r="A691" i="10"/>
  <c r="A692" i="10"/>
  <c r="B692" i="10" s="1"/>
  <c r="A693" i="10"/>
  <c r="B693" i="10" s="1"/>
  <c r="A694" i="10"/>
  <c r="B694" i="10" s="1"/>
  <c r="A695" i="10"/>
  <c r="B695" i="10" s="1"/>
  <c r="A696" i="10"/>
  <c r="A697" i="10"/>
  <c r="A698" i="10"/>
  <c r="B698" i="10" s="1"/>
  <c r="A699" i="10"/>
  <c r="B699" i="10" s="1"/>
  <c r="A700" i="10"/>
  <c r="B700" i="10" s="1"/>
  <c r="A701" i="10"/>
  <c r="B701" i="10" s="1"/>
  <c r="A702" i="10"/>
  <c r="B702" i="10" s="1"/>
  <c r="A703" i="10"/>
  <c r="B703" i="10" s="1"/>
  <c r="A704" i="10"/>
  <c r="B704" i="10" s="1"/>
  <c r="A705" i="10"/>
  <c r="B705" i="10" s="1"/>
  <c r="A706" i="10"/>
  <c r="B706" i="10" s="1"/>
  <c r="A707" i="10"/>
  <c r="B707" i="10" s="1"/>
  <c r="A708" i="10"/>
  <c r="A709" i="10"/>
  <c r="A710" i="10"/>
  <c r="B710" i="10" s="1"/>
  <c r="A711" i="10"/>
  <c r="B711" i="10" s="1"/>
  <c r="A712" i="10"/>
  <c r="B712" i="10" s="1"/>
  <c r="A713" i="10"/>
  <c r="B713" i="10" s="1"/>
  <c r="A714" i="10"/>
  <c r="A715" i="10"/>
  <c r="A716" i="10"/>
  <c r="B716" i="10" s="1"/>
  <c r="A717" i="10"/>
  <c r="B717" i="10" s="1"/>
  <c r="A718" i="10"/>
  <c r="B718" i="10" s="1"/>
  <c r="A719" i="10"/>
  <c r="B719" i="10" s="1"/>
  <c r="A720" i="10"/>
  <c r="A721" i="10"/>
  <c r="A722" i="10"/>
  <c r="B722" i="10" s="1"/>
  <c r="A723" i="10"/>
  <c r="B723" i="10" s="1"/>
  <c r="A724" i="10"/>
  <c r="B724" i="10" s="1"/>
  <c r="A725" i="10"/>
  <c r="B725" i="10" s="1"/>
  <c r="A726" i="10"/>
  <c r="A727" i="10"/>
  <c r="A728" i="10"/>
  <c r="B728" i="10" s="1"/>
  <c r="A729" i="10"/>
  <c r="B729" i="10" s="1"/>
  <c r="A730" i="10"/>
  <c r="B730" i="10" s="1"/>
  <c r="A731" i="10"/>
  <c r="B731" i="10" s="1"/>
  <c r="A732" i="10"/>
  <c r="A733" i="10"/>
  <c r="A734" i="10"/>
  <c r="B734" i="10" s="1"/>
  <c r="A735" i="10"/>
  <c r="B735" i="10" s="1"/>
  <c r="A736" i="10"/>
  <c r="B736" i="10" s="1"/>
  <c r="A737" i="10"/>
  <c r="B737" i="10" s="1"/>
  <c r="A738" i="10"/>
  <c r="B738" i="10" s="1"/>
  <c r="A739" i="10"/>
  <c r="B739" i="10" s="1"/>
  <c r="A740" i="10"/>
  <c r="B740" i="10" s="1"/>
  <c r="A741" i="10"/>
  <c r="B741" i="10" s="1"/>
  <c r="A742" i="10"/>
  <c r="B742" i="10" s="1"/>
  <c r="A743" i="10"/>
  <c r="B743" i="10" s="1"/>
  <c r="A744" i="10"/>
  <c r="A745" i="10"/>
  <c r="A746" i="10"/>
  <c r="B746" i="10" s="1"/>
  <c r="A747" i="10"/>
  <c r="B747" i="10" s="1"/>
  <c r="A748" i="10"/>
  <c r="B748" i="10" s="1"/>
  <c r="A749" i="10"/>
  <c r="B749" i="10" s="1"/>
  <c r="A750" i="10"/>
  <c r="A751" i="10"/>
  <c r="A752" i="10"/>
  <c r="B752" i="10" s="1"/>
  <c r="A753" i="10"/>
  <c r="B753" i="10" s="1"/>
  <c r="A754" i="10"/>
  <c r="B754" i="10" s="1"/>
  <c r="A755" i="10"/>
  <c r="B755" i="10" s="1"/>
  <c r="A756" i="10"/>
  <c r="A757" i="10"/>
  <c r="A758" i="10"/>
  <c r="B758" i="10" s="1"/>
  <c r="A759" i="10"/>
  <c r="B759" i="10" s="1"/>
  <c r="A760" i="10"/>
  <c r="B760" i="10" s="1"/>
  <c r="A761" i="10"/>
  <c r="B761" i="10" s="1"/>
  <c r="A762" i="10"/>
  <c r="A763" i="10"/>
  <c r="B763" i="10" s="1"/>
  <c r="A764" i="10"/>
  <c r="B764" i="10" s="1"/>
  <c r="A765" i="10"/>
  <c r="B765" i="10" s="1"/>
  <c r="A766" i="10"/>
  <c r="B766" i="10" s="1"/>
  <c r="A767" i="10"/>
  <c r="B767" i="10" s="1"/>
  <c r="A768" i="10"/>
  <c r="A769" i="10"/>
  <c r="B769" i="10" s="1"/>
  <c r="A770" i="10"/>
  <c r="B770" i="10" s="1"/>
  <c r="A771" i="10"/>
  <c r="I771" i="10" s="1"/>
  <c r="A772" i="10"/>
  <c r="B772" i="10" s="1"/>
  <c r="A773" i="10"/>
  <c r="B773" i="10" s="1"/>
  <c r="A774" i="10"/>
  <c r="A775" i="10"/>
  <c r="A776" i="10"/>
  <c r="B776" i="10" s="1"/>
  <c r="A777" i="10"/>
  <c r="B777" i="10" s="1"/>
  <c r="A778" i="10"/>
  <c r="B778" i="10" s="1"/>
  <c r="A779" i="10"/>
  <c r="B779" i="10" s="1"/>
  <c r="A780" i="10"/>
  <c r="A781" i="10"/>
  <c r="A782" i="10"/>
  <c r="B782" i="10" s="1"/>
  <c r="A783" i="10"/>
  <c r="B783" i="10" s="1"/>
  <c r="A784" i="10"/>
  <c r="B784" i="10" s="1"/>
  <c r="A785" i="10"/>
  <c r="B785" i="10" s="1"/>
  <c r="A786" i="10"/>
  <c r="A787" i="10"/>
  <c r="A788" i="10"/>
  <c r="A789" i="10"/>
  <c r="B789" i="10" s="1"/>
  <c r="A790" i="10"/>
  <c r="B790" i="10" s="1"/>
  <c r="A791" i="10"/>
  <c r="B791" i="10" s="1"/>
  <c r="A792" i="10"/>
  <c r="A793" i="10"/>
  <c r="A794" i="10"/>
  <c r="B794" i="10" s="1"/>
  <c r="A795" i="10"/>
  <c r="B795" i="10" s="1"/>
  <c r="A796" i="10"/>
  <c r="B796" i="10" s="1"/>
  <c r="A797" i="10"/>
  <c r="B797" i="10" s="1"/>
  <c r="A798" i="10"/>
  <c r="B798" i="10" s="1"/>
  <c r="A799" i="10"/>
  <c r="B799" i="10" s="1"/>
  <c r="A800" i="10"/>
  <c r="B800" i="10" s="1"/>
  <c r="A801" i="10"/>
  <c r="B801" i="10" s="1"/>
  <c r="A802" i="10"/>
  <c r="B802" i="10" s="1"/>
  <c r="A803" i="10"/>
  <c r="B803" i="10" s="1"/>
  <c r="A804" i="10"/>
  <c r="A805" i="10"/>
  <c r="A806" i="10"/>
  <c r="B806" i="10" s="1"/>
  <c r="A807" i="10"/>
  <c r="B807" i="10" s="1"/>
  <c r="A808" i="10"/>
  <c r="B808" i="10" s="1"/>
  <c r="A809" i="10"/>
  <c r="B809" i="10" s="1"/>
  <c r="A810" i="10"/>
  <c r="A811" i="10"/>
  <c r="A812" i="10"/>
  <c r="B812" i="10" s="1"/>
  <c r="A813" i="10"/>
  <c r="B813" i="10" s="1"/>
  <c r="A814" i="10"/>
  <c r="B814" i="10" s="1"/>
  <c r="A815" i="10"/>
  <c r="B815" i="10" s="1"/>
  <c r="A816" i="10"/>
  <c r="A817" i="10"/>
  <c r="B817" i="10" s="1"/>
  <c r="A818" i="10"/>
  <c r="B818" i="10" s="1"/>
  <c r="A819" i="10"/>
  <c r="B819" i="10" s="1"/>
  <c r="A820" i="10"/>
  <c r="B820" i="10" s="1"/>
  <c r="A821" i="10"/>
  <c r="B821" i="10" s="1"/>
  <c r="A822" i="10"/>
  <c r="A823" i="10"/>
  <c r="A824" i="10"/>
  <c r="B824" i="10" s="1"/>
  <c r="A825" i="10"/>
  <c r="B825" i="10" s="1"/>
  <c r="A826" i="10"/>
  <c r="B826" i="10" s="1"/>
  <c r="A827" i="10"/>
  <c r="B827" i="10" s="1"/>
  <c r="A828" i="10"/>
  <c r="A829" i="10"/>
  <c r="A830" i="10"/>
  <c r="B830" i="10" s="1"/>
  <c r="A831" i="10"/>
  <c r="B831" i="10" s="1"/>
  <c r="A832" i="10"/>
  <c r="B832" i="10" s="1"/>
  <c r="A833" i="10"/>
  <c r="B833" i="10" s="1"/>
  <c r="A834" i="10"/>
  <c r="B834" i="10" s="1"/>
  <c r="A835" i="10"/>
  <c r="B835" i="10" s="1"/>
  <c r="A836" i="10"/>
  <c r="B836" i="10" s="1"/>
  <c r="A837" i="10"/>
  <c r="B837" i="10" s="1"/>
  <c r="A838" i="10"/>
  <c r="B838" i="10" s="1"/>
  <c r="A839" i="10"/>
  <c r="B839" i="10" s="1"/>
  <c r="A840" i="10"/>
  <c r="A841" i="10"/>
  <c r="A842" i="10"/>
  <c r="B842" i="10" s="1"/>
  <c r="A843" i="10"/>
  <c r="B843" i="10" s="1"/>
  <c r="A844" i="10"/>
  <c r="B844" i="10" s="1"/>
  <c r="A845" i="10"/>
  <c r="B845" i="10" s="1"/>
  <c r="A846" i="10"/>
  <c r="A847" i="10"/>
  <c r="B847" i="10" s="1"/>
  <c r="A848" i="10"/>
  <c r="B848" i="10" s="1"/>
  <c r="A849" i="10"/>
  <c r="B849" i="10" s="1"/>
  <c r="A850" i="10"/>
  <c r="B850" i="10" s="1"/>
  <c r="A851" i="10"/>
  <c r="B851" i="10" s="1"/>
  <c r="A852" i="10"/>
  <c r="A853" i="10"/>
  <c r="A854" i="10"/>
  <c r="B854" i="10" s="1"/>
  <c r="A855" i="10"/>
  <c r="B855" i="10" s="1"/>
  <c r="A856" i="10"/>
  <c r="B856" i="10" s="1"/>
  <c r="A857" i="10"/>
  <c r="B857" i="10" s="1"/>
  <c r="A858" i="10"/>
  <c r="B858" i="10" s="1"/>
  <c r="A859" i="10"/>
  <c r="B859" i="10" s="1"/>
  <c r="A860" i="10"/>
  <c r="B860" i="10" s="1"/>
  <c r="A861" i="10"/>
  <c r="B861" i="10" s="1"/>
  <c r="A862" i="10"/>
  <c r="B862" i="10" s="1"/>
  <c r="A863" i="10"/>
  <c r="B863" i="10" s="1"/>
  <c r="A864" i="10"/>
  <c r="B864" i="10" s="1"/>
  <c r="A865" i="10"/>
  <c r="B865" i="10" s="1"/>
  <c r="A866" i="10"/>
  <c r="B866" i="10" s="1"/>
  <c r="A867" i="10"/>
  <c r="B867" i="10" s="1"/>
  <c r="A868" i="10"/>
  <c r="B868" i="10" s="1"/>
  <c r="A869" i="10"/>
  <c r="B869" i="10" s="1"/>
  <c r="A870" i="10"/>
  <c r="A871" i="10"/>
  <c r="A872" i="10"/>
  <c r="B872" i="10" s="1"/>
  <c r="A873" i="10"/>
  <c r="B873" i="10" s="1"/>
  <c r="A874" i="10"/>
  <c r="B874" i="10" s="1"/>
  <c r="A875" i="10"/>
  <c r="B875" i="10" s="1"/>
  <c r="A876" i="10"/>
  <c r="A877" i="10"/>
  <c r="B877" i="10" s="1"/>
  <c r="A878" i="10"/>
  <c r="B878" i="10" s="1"/>
  <c r="A879" i="10"/>
  <c r="B879" i="10" s="1"/>
  <c r="A880" i="10"/>
  <c r="B880" i="10" s="1"/>
  <c r="A881" i="10"/>
  <c r="B881" i="10" s="1"/>
  <c r="A882" i="10"/>
  <c r="A883" i="10"/>
  <c r="B883" i="10" s="1"/>
  <c r="A884" i="10"/>
  <c r="B884" i="10" s="1"/>
  <c r="A885" i="10"/>
  <c r="B885" i="10" s="1"/>
  <c r="A886" i="10"/>
  <c r="B886" i="10" s="1"/>
  <c r="A887" i="10"/>
  <c r="B887" i="10" s="1"/>
  <c r="A888" i="10"/>
  <c r="A889" i="10"/>
  <c r="A890" i="10"/>
  <c r="B890" i="10" s="1"/>
  <c r="A891" i="10"/>
  <c r="B891" i="10" s="1"/>
  <c r="A892" i="10"/>
  <c r="B892" i="10" s="1"/>
  <c r="A893" i="10"/>
  <c r="B893" i="10" s="1"/>
  <c r="A894" i="10"/>
  <c r="B894" i="10" s="1"/>
  <c r="A895" i="10"/>
  <c r="B895" i="10" s="1"/>
  <c r="A896" i="10"/>
  <c r="B896" i="10" s="1"/>
  <c r="A897" i="10"/>
  <c r="B897" i="10" s="1"/>
  <c r="A898" i="10"/>
  <c r="B898" i="10" s="1"/>
  <c r="A899" i="10"/>
  <c r="B899" i="10" s="1"/>
  <c r="A900" i="10"/>
  <c r="A901" i="10"/>
  <c r="B901" i="10" s="1"/>
  <c r="A902" i="10"/>
  <c r="B902" i="10" s="1"/>
  <c r="A903" i="10"/>
  <c r="B903" i="10" s="1"/>
  <c r="A904" i="10"/>
  <c r="B904" i="10" s="1"/>
  <c r="A905" i="10"/>
  <c r="B905" i="10" s="1"/>
  <c r="A906" i="10"/>
  <c r="A907" i="10"/>
  <c r="A908" i="10"/>
  <c r="B908" i="10" s="1"/>
  <c r="A909" i="10"/>
  <c r="B909" i="10" s="1"/>
  <c r="A910" i="10"/>
  <c r="B910" i="10" s="1"/>
  <c r="A911" i="10"/>
  <c r="B911" i="10" s="1"/>
  <c r="A912" i="10"/>
  <c r="A913" i="10"/>
  <c r="B913" i="10" s="1"/>
  <c r="A914" i="10"/>
  <c r="B914" i="10" s="1"/>
  <c r="A915" i="10"/>
  <c r="B915" i="10" s="1"/>
  <c r="A916" i="10"/>
  <c r="B916" i="10" s="1"/>
  <c r="A917" i="10"/>
  <c r="B917" i="10" s="1"/>
  <c r="A918" i="10"/>
  <c r="A919" i="10"/>
  <c r="B919" i="10" s="1"/>
  <c r="A920" i="10"/>
  <c r="A921" i="10"/>
  <c r="B921" i="10" s="1"/>
  <c r="A922" i="10"/>
  <c r="B922" i="10" s="1"/>
  <c r="A923" i="10"/>
  <c r="B923" i="10" s="1"/>
  <c r="A924" i="10"/>
  <c r="A925" i="10"/>
  <c r="A926" i="10"/>
  <c r="B926" i="10" s="1"/>
  <c r="A927" i="10"/>
  <c r="B927" i="10" s="1"/>
  <c r="A928" i="10"/>
  <c r="B928" i="10" s="1"/>
  <c r="A929" i="10"/>
  <c r="B929" i="10" s="1"/>
  <c r="A930" i="10"/>
  <c r="A931" i="10"/>
  <c r="A932" i="10"/>
  <c r="B932" i="10" s="1"/>
  <c r="A933" i="10"/>
  <c r="B933" i="10" s="1"/>
  <c r="A934" i="10"/>
  <c r="B934" i="10" s="1"/>
  <c r="A935" i="10"/>
  <c r="B935" i="10" s="1"/>
  <c r="A936" i="10"/>
  <c r="A937" i="10"/>
  <c r="B937" i="10" s="1"/>
  <c r="A938" i="10"/>
  <c r="B938" i="10" s="1"/>
  <c r="A939" i="10"/>
  <c r="B939" i="10" s="1"/>
  <c r="A940" i="10"/>
  <c r="B940" i="10" s="1"/>
  <c r="A941" i="10"/>
  <c r="B941" i="10" s="1"/>
  <c r="A942" i="10"/>
  <c r="B942" i="10" s="1"/>
  <c r="A943" i="10"/>
  <c r="B943" i="10" s="1"/>
  <c r="A944" i="10"/>
  <c r="B944" i="10" s="1"/>
  <c r="A945" i="10"/>
  <c r="B945" i="10" s="1"/>
  <c r="A946" i="10"/>
  <c r="B946" i="10" s="1"/>
  <c r="A947" i="10"/>
  <c r="B947" i="10" s="1"/>
  <c r="A948" i="10"/>
  <c r="B948" i="10" s="1"/>
  <c r="A949" i="10"/>
  <c r="B949" i="10" s="1"/>
  <c r="A950" i="10"/>
  <c r="B950" i="10" s="1"/>
  <c r="A951" i="10"/>
  <c r="B951" i="10" s="1"/>
  <c r="A952" i="10"/>
  <c r="B952" i="10" s="1"/>
  <c r="A953" i="10"/>
  <c r="B953" i="10" s="1"/>
  <c r="A954" i="10"/>
  <c r="A955" i="10"/>
  <c r="A956" i="10"/>
  <c r="B956" i="10" s="1"/>
  <c r="A957" i="10"/>
  <c r="B957" i="10" s="1"/>
  <c r="A958" i="10"/>
  <c r="B958" i="10" s="1"/>
  <c r="A959" i="10"/>
  <c r="B959" i="10" s="1"/>
  <c r="A960" i="10"/>
  <c r="A961" i="10"/>
  <c r="A962" i="10"/>
  <c r="B962" i="10" s="1"/>
  <c r="A963" i="10"/>
  <c r="B963" i="10" s="1"/>
  <c r="A964" i="10"/>
  <c r="B964" i="10" s="1"/>
  <c r="A965" i="10"/>
  <c r="B965" i="10" s="1"/>
  <c r="A966" i="10"/>
  <c r="A967" i="10"/>
  <c r="A968" i="10"/>
  <c r="B968" i="10" s="1"/>
  <c r="A969" i="10"/>
  <c r="B969" i="10" s="1"/>
  <c r="A970" i="10"/>
  <c r="B970" i="10" s="1"/>
  <c r="A971" i="10"/>
  <c r="B971" i="10" s="1"/>
  <c r="A972" i="10"/>
  <c r="A973" i="10"/>
  <c r="B973" i="10" s="1"/>
  <c r="A974" i="10"/>
  <c r="B974" i="10" s="1"/>
  <c r="A975" i="10"/>
  <c r="B975" i="10" s="1"/>
  <c r="A976" i="10"/>
  <c r="B976" i="10" s="1"/>
  <c r="A977" i="10"/>
  <c r="B977" i="10" s="1"/>
  <c r="A978" i="10"/>
  <c r="B978" i="10" s="1"/>
  <c r="A979" i="10"/>
  <c r="B979" i="10" s="1"/>
  <c r="A980" i="10"/>
  <c r="B980" i="10" s="1"/>
  <c r="A981" i="10"/>
  <c r="B981" i="10" s="1"/>
  <c r="A982" i="10"/>
  <c r="B982" i="10" s="1"/>
  <c r="A983" i="10"/>
  <c r="B983" i="10" s="1"/>
  <c r="A984" i="10"/>
  <c r="A985" i="10"/>
  <c r="A986" i="10"/>
  <c r="B986" i="10" s="1"/>
  <c r="A987" i="10"/>
  <c r="B987" i="10" s="1"/>
  <c r="A988" i="10"/>
  <c r="B988" i="10" s="1"/>
  <c r="A989" i="10"/>
  <c r="B989" i="10" s="1"/>
  <c r="A990" i="10"/>
  <c r="A991" i="10"/>
  <c r="B991" i="10" s="1"/>
  <c r="A992" i="10"/>
  <c r="B992" i="10" s="1"/>
  <c r="A993" i="10"/>
  <c r="B993" i="10" s="1"/>
  <c r="A994" i="10"/>
  <c r="B994" i="10" s="1"/>
  <c r="A995" i="10"/>
  <c r="B995" i="10" s="1"/>
  <c r="A996" i="10"/>
  <c r="A997" i="10"/>
  <c r="B997" i="10" s="1"/>
  <c r="A998" i="10"/>
  <c r="B998" i="10" s="1"/>
  <c r="A999" i="10"/>
  <c r="B999" i="10" s="1"/>
  <c r="A1000" i="10"/>
  <c r="B1000" i="10" s="1"/>
  <c r="A1001" i="10"/>
  <c r="B1001" i="10" s="1"/>
  <c r="A1002" i="10"/>
  <c r="B1002" i="10" s="1"/>
  <c r="A1003" i="10"/>
  <c r="A1004" i="10"/>
  <c r="B1004" i="10" s="1"/>
  <c r="A1005" i="10"/>
  <c r="B1005" i="10" s="1"/>
  <c r="A1006" i="10"/>
  <c r="B1006" i="10" s="1"/>
  <c r="A1007" i="10"/>
  <c r="B1007" i="10" s="1"/>
  <c r="A1008" i="10"/>
  <c r="B1008" i="10" s="1"/>
  <c r="A1009" i="10"/>
  <c r="B1009" i="10" s="1"/>
  <c r="A1010" i="10"/>
  <c r="B1010" i="10" s="1"/>
  <c r="A1011" i="10"/>
  <c r="B1011" i="10" s="1"/>
  <c r="A1012" i="10"/>
  <c r="B1012" i="10" s="1"/>
  <c r="A1013" i="10"/>
  <c r="B1013" i="10" s="1"/>
  <c r="A1014" i="10"/>
  <c r="A1015" i="10"/>
  <c r="B1015" i="10" s="1"/>
  <c r="A1016" i="10"/>
  <c r="B1016" i="10" s="1"/>
  <c r="A1017" i="10"/>
  <c r="B1017" i="10" s="1"/>
  <c r="A1018" i="10"/>
  <c r="B1018" i="10" s="1"/>
  <c r="A1019" i="10"/>
  <c r="B1019" i="10" s="1"/>
  <c r="A1020" i="10"/>
  <c r="B1020" i="10" s="1"/>
  <c r="A1021" i="10"/>
  <c r="B1021" i="10" s="1"/>
  <c r="A1022" i="10"/>
  <c r="B1022" i="10" s="1"/>
  <c r="A1023" i="10"/>
  <c r="B1023" i="10" s="1"/>
  <c r="A1024" i="10"/>
  <c r="B1024" i="10" s="1"/>
  <c r="A1025" i="10"/>
  <c r="B1025" i="10" s="1"/>
  <c r="A1026" i="10"/>
  <c r="A1027" i="10"/>
  <c r="B1027" i="10" s="1"/>
  <c r="A1028" i="10"/>
  <c r="B1028" i="10" s="1"/>
  <c r="A1029" i="10"/>
  <c r="B1029" i="10" s="1"/>
  <c r="A1030" i="10"/>
  <c r="B1030" i="10" s="1"/>
  <c r="A1031" i="10"/>
  <c r="B1031" i="10" s="1"/>
  <c r="A1032" i="10"/>
  <c r="B1032" i="10" s="1"/>
  <c r="A1033" i="10"/>
  <c r="B1033" i="10" s="1"/>
  <c r="A1034" i="10"/>
  <c r="B1034" i="10" s="1"/>
  <c r="A1035" i="10"/>
  <c r="B1035" i="10" s="1"/>
  <c r="A1036" i="10"/>
  <c r="B1036" i="10" s="1"/>
  <c r="A1037" i="10"/>
  <c r="B1037" i="10" s="1"/>
  <c r="A1038" i="10"/>
  <c r="B1038" i="10" s="1"/>
  <c r="A1039" i="10"/>
  <c r="B1039" i="10" s="1"/>
  <c r="A1040" i="10"/>
  <c r="B1040" i="10" s="1"/>
  <c r="A1041" i="10"/>
  <c r="B1041" i="10" s="1"/>
  <c r="A1042" i="10"/>
  <c r="B1042" i="10" s="1"/>
  <c r="A1043" i="10"/>
  <c r="B1043" i="10" s="1"/>
  <c r="A1044" i="10"/>
  <c r="A1045" i="10"/>
  <c r="A1046" i="10"/>
  <c r="B1046" i="10" s="1"/>
  <c r="A1047" i="10"/>
  <c r="B1047" i="10" s="1"/>
  <c r="A1048" i="10"/>
  <c r="B1048" i="10" s="1"/>
  <c r="A1049" i="10"/>
  <c r="B1049" i="10" s="1"/>
  <c r="A1050" i="10"/>
  <c r="B1050" i="10" s="1"/>
  <c r="A1051" i="10"/>
  <c r="B1051" i="10" s="1"/>
  <c r="A1052" i="10"/>
  <c r="B1052" i="10" s="1"/>
  <c r="A1053" i="10"/>
  <c r="B1053" i="10" s="1"/>
  <c r="A1054" i="10"/>
  <c r="B1054" i="10" s="1"/>
  <c r="A1055" i="10"/>
  <c r="B1055" i="10" s="1"/>
  <c r="A1056" i="10"/>
  <c r="A1057" i="10"/>
  <c r="A1058" i="10"/>
  <c r="B1058" i="10" s="1"/>
  <c r="A1059" i="10"/>
  <c r="B1059" i="10" s="1"/>
  <c r="A1060" i="10"/>
  <c r="B1060" i="10" s="1"/>
  <c r="A1061" i="10"/>
  <c r="B1061" i="10" s="1"/>
  <c r="A1062" i="10"/>
  <c r="A1063" i="10"/>
  <c r="A1064" i="10"/>
  <c r="B1064" i="10" s="1"/>
  <c r="A1065" i="10"/>
  <c r="B1065" i="10" s="1"/>
  <c r="A1066" i="10"/>
  <c r="B1066" i="10" s="1"/>
  <c r="A1067" i="10"/>
  <c r="B1067" i="10" s="1"/>
  <c r="A1068" i="10"/>
  <c r="B1068" i="10" s="1"/>
  <c r="A1069" i="10"/>
  <c r="B1069" i="10" s="1"/>
  <c r="A1070" i="10"/>
  <c r="B1070" i="10" s="1"/>
  <c r="A1071" i="10"/>
  <c r="B1071" i="10" s="1"/>
  <c r="A1072" i="10"/>
  <c r="B1072" i="10" s="1"/>
  <c r="A1073" i="10"/>
  <c r="B1073" i="10" s="1"/>
  <c r="A1074" i="10"/>
  <c r="B1074" i="10" s="1"/>
  <c r="A1075" i="10"/>
  <c r="B1075" i="10" s="1"/>
  <c r="A1076" i="10"/>
  <c r="B1076" i="10" s="1"/>
  <c r="A1077" i="10"/>
  <c r="B1077" i="10" s="1"/>
  <c r="A1078" i="10"/>
  <c r="B1078" i="10" s="1"/>
  <c r="A1079" i="10"/>
  <c r="B1079" i="10" s="1"/>
  <c r="A1080" i="10"/>
  <c r="A1081" i="10"/>
  <c r="B1081" i="10" s="1"/>
  <c r="A1082" i="10"/>
  <c r="B1082" i="10" s="1"/>
  <c r="A1083" i="10"/>
  <c r="B1083" i="10" s="1"/>
  <c r="A1084" i="10"/>
  <c r="B1084" i="10" s="1"/>
  <c r="A1085" i="10"/>
  <c r="B1085" i="10" s="1"/>
  <c r="A1086" i="10"/>
  <c r="A1087" i="10"/>
  <c r="A1088" i="10"/>
  <c r="B1088" i="10" s="1"/>
  <c r="A1089" i="10"/>
  <c r="B1089" i="10" s="1"/>
  <c r="A1090" i="10"/>
  <c r="B1090" i="10" s="1"/>
  <c r="A1091" i="10"/>
  <c r="B1091" i="10" s="1"/>
  <c r="A1092" i="10"/>
  <c r="B1092" i="10" s="1"/>
  <c r="A1093" i="10"/>
  <c r="B1093" i="10" s="1"/>
  <c r="A1094" i="10"/>
  <c r="B1094" i="10" s="1"/>
  <c r="A1095" i="10"/>
  <c r="B1095" i="10" s="1"/>
  <c r="A1096" i="10"/>
  <c r="B1096" i="10" s="1"/>
  <c r="A1097" i="10"/>
  <c r="B1097" i="10" s="1"/>
  <c r="A1098" i="10"/>
  <c r="B1098" i="10" s="1"/>
  <c r="A1099" i="10"/>
  <c r="B1099" i="10" s="1"/>
  <c r="A1100" i="10"/>
  <c r="B1100" i="10" s="1"/>
  <c r="A1101" i="10"/>
  <c r="B1101" i="10" s="1"/>
  <c r="A1102" i="10"/>
  <c r="B1102" i="10" s="1"/>
  <c r="A1103" i="10"/>
  <c r="B1103" i="10" s="1"/>
  <c r="A1104" i="10"/>
  <c r="B1104" i="10" s="1"/>
  <c r="A1105" i="10"/>
  <c r="A1106" i="10"/>
  <c r="B1106" i="10" s="1"/>
  <c r="A1107" i="10"/>
  <c r="B1107" i="10" s="1"/>
  <c r="A1108" i="10"/>
  <c r="A1109" i="10"/>
  <c r="B1109" i="10" s="1"/>
  <c r="A1110" i="10"/>
  <c r="B1110" i="10" s="1"/>
  <c r="A1111" i="10"/>
  <c r="A1112" i="10"/>
  <c r="B1112" i="10" s="1"/>
  <c r="A1113" i="10"/>
  <c r="B1113" i="10" s="1"/>
  <c r="A1114" i="10"/>
  <c r="B1114" i="10" s="1"/>
  <c r="A1115" i="10"/>
  <c r="B1115" i="10" s="1"/>
  <c r="A1116" i="10"/>
  <c r="B1116" i="10" s="1"/>
  <c r="A1117" i="10"/>
  <c r="A1118" i="10"/>
  <c r="B1118" i="10" s="1"/>
  <c r="A1119" i="10"/>
  <c r="B1119" i="10" s="1"/>
  <c r="A1120" i="10"/>
  <c r="B1120" i="10" s="1"/>
  <c r="A1121" i="10"/>
  <c r="B1121" i="10" s="1"/>
  <c r="A1122" i="10"/>
  <c r="A1123" i="10"/>
  <c r="B1123" i="10" s="1"/>
  <c r="A1124" i="10"/>
  <c r="B1124" i="10" s="1"/>
  <c r="A1125" i="10"/>
  <c r="B1125" i="10" s="1"/>
  <c r="A1126" i="10"/>
  <c r="B1126" i="10" s="1"/>
  <c r="A1127" i="10"/>
  <c r="B1127" i="10" s="1"/>
  <c r="A1128" i="10"/>
  <c r="A1129" i="10"/>
  <c r="B1129" i="10" s="1"/>
  <c r="A1130" i="10"/>
  <c r="B1130" i="10" s="1"/>
  <c r="A1131" i="10"/>
  <c r="B1131" i="10" s="1"/>
  <c r="A1132" i="10"/>
  <c r="B1132" i="10" s="1"/>
  <c r="A1133" i="10"/>
  <c r="B1133" i="10" s="1"/>
  <c r="A1134" i="10"/>
  <c r="B1134" i="10" s="1"/>
  <c r="A1135" i="10"/>
  <c r="B1135" i="10" s="1"/>
  <c r="A1136" i="10"/>
  <c r="B1136" i="10" s="1"/>
  <c r="A1137" i="10"/>
  <c r="B1137" i="10" s="1"/>
  <c r="A1138" i="10"/>
  <c r="B1138" i="10" s="1"/>
  <c r="A1139" i="10"/>
  <c r="B1139" i="10" s="1"/>
  <c r="A1140" i="10"/>
  <c r="B1140" i="10" s="1"/>
  <c r="A1141" i="10"/>
  <c r="A1142" i="10"/>
  <c r="B1142" i="10" s="1"/>
  <c r="A1143" i="10"/>
  <c r="B1143" i="10" s="1"/>
  <c r="A1144" i="10"/>
  <c r="B1144" i="10" s="1"/>
  <c r="A1145" i="10"/>
  <c r="B1145" i="10" s="1"/>
  <c r="A1146" i="10"/>
  <c r="B1146" i="10" s="1"/>
  <c r="A1147" i="10"/>
  <c r="A1148" i="10"/>
  <c r="B1148" i="10" s="1"/>
  <c r="A1149" i="10"/>
  <c r="B1149" i="10" s="1"/>
  <c r="A1150" i="10"/>
  <c r="B1150" i="10" s="1"/>
  <c r="A1151" i="10"/>
  <c r="B1151" i="10" s="1"/>
  <c r="A1152" i="10"/>
  <c r="B1152" i="10" s="1"/>
  <c r="A1153" i="10"/>
  <c r="B1153" i="10" s="1"/>
  <c r="A1154" i="10"/>
  <c r="B1154" i="10" s="1"/>
  <c r="A1155" i="10"/>
  <c r="B1155" i="10" s="1"/>
  <c r="A1156" i="10"/>
  <c r="B1156" i="10" s="1"/>
  <c r="A1157" i="10"/>
  <c r="B1157" i="10" s="1"/>
  <c r="A1158" i="10"/>
  <c r="A1159" i="10"/>
  <c r="B1159" i="10" s="1"/>
  <c r="A1160" i="10"/>
  <c r="B1160" i="10" s="1"/>
  <c r="A1161" i="10"/>
  <c r="B1161" i="10" s="1"/>
  <c r="A1162" i="10"/>
  <c r="B1162" i="10" s="1"/>
  <c r="A1163" i="10"/>
  <c r="B1163" i="10" s="1"/>
  <c r="A1164" i="10"/>
  <c r="A1165" i="10"/>
  <c r="A1166" i="10"/>
  <c r="B1166" i="10" s="1"/>
  <c r="A1167" i="10"/>
  <c r="B1167" i="10" s="1"/>
  <c r="A1168" i="10"/>
  <c r="B1168" i="10" s="1"/>
  <c r="A1169" i="10"/>
  <c r="B1169" i="10" s="1"/>
  <c r="A1170" i="10"/>
  <c r="B1170" i="10" s="1"/>
  <c r="A1171" i="10"/>
  <c r="B1171" i="10" s="1"/>
  <c r="A1172" i="10"/>
  <c r="B1172" i="10" s="1"/>
  <c r="A1173" i="10"/>
  <c r="B1173" i="10" s="1"/>
  <c r="A1174" i="10"/>
  <c r="B1174" i="10" s="1"/>
  <c r="A1175" i="10"/>
  <c r="B1175" i="10" s="1"/>
  <c r="A1176" i="10"/>
  <c r="B1176" i="10" s="1"/>
  <c r="A1177" i="10"/>
  <c r="A1178" i="10"/>
  <c r="B1178" i="10" s="1"/>
  <c r="A1179" i="10"/>
  <c r="A1180" i="10"/>
  <c r="B1180" i="10" s="1"/>
  <c r="A1181" i="10"/>
  <c r="B1181" i="10" s="1"/>
  <c r="A1182" i="10"/>
  <c r="A1183" i="10"/>
  <c r="B1183" i="10" s="1"/>
  <c r="A1184" i="10"/>
  <c r="B1184" i="10" s="1"/>
  <c r="A1185" i="10"/>
  <c r="B1185" i="10" s="1"/>
  <c r="A1186" i="10"/>
  <c r="B1186" i="10" s="1"/>
  <c r="A1187" i="10"/>
  <c r="B1187" i="10" s="1"/>
  <c r="A1188" i="10"/>
  <c r="A1189" i="10"/>
  <c r="B1189" i="10" s="1"/>
  <c r="A1190" i="10"/>
  <c r="B1190" i="10" s="1"/>
  <c r="A1191" i="10"/>
  <c r="B1191" i="10" s="1"/>
  <c r="A1192" i="10"/>
  <c r="B1192" i="10" s="1"/>
  <c r="A1193" i="10"/>
  <c r="B1193" i="10" s="1"/>
  <c r="A1194" i="10"/>
  <c r="B1194" i="10" s="1"/>
  <c r="A1195" i="10"/>
  <c r="B1195" i="10" s="1"/>
  <c r="A1196" i="10"/>
  <c r="B1196" i="10" s="1"/>
  <c r="A1197" i="10"/>
  <c r="B1197" i="10" s="1"/>
  <c r="A1198" i="10"/>
  <c r="B1198" i="10" s="1"/>
  <c r="A1199" i="10"/>
  <c r="B1199" i="10" s="1"/>
  <c r="A1200" i="10"/>
  <c r="B1200" i="10" s="1"/>
  <c r="A1201" i="10"/>
  <c r="A1202" i="10"/>
  <c r="B1202" i="10" s="1"/>
  <c r="A1203" i="10"/>
  <c r="B1203" i="10" s="1"/>
  <c r="A1204" i="10"/>
  <c r="B1204" i="10" s="1"/>
  <c r="A1205" i="10"/>
  <c r="B1205" i="10" s="1"/>
  <c r="A1206" i="10"/>
  <c r="B1206" i="10" s="1"/>
  <c r="A1207" i="10"/>
  <c r="A1208" i="10"/>
  <c r="B1208" i="10" s="1"/>
  <c r="A1209" i="10"/>
  <c r="B1209" i="10" s="1"/>
  <c r="A1210" i="10"/>
  <c r="B1210" i="10" s="1"/>
  <c r="A1211" i="10"/>
  <c r="B1211" i="10" s="1"/>
  <c r="A1212" i="10"/>
  <c r="B1212" i="10" s="1"/>
  <c r="A1213" i="10"/>
  <c r="B1213" i="10" s="1"/>
  <c r="A1214" i="10"/>
  <c r="B1214" i="10" s="1"/>
  <c r="A1215" i="10"/>
  <c r="B1215" i="10" s="1"/>
  <c r="A1216" i="10"/>
  <c r="B1216" i="10" s="1"/>
  <c r="A1217" i="10"/>
  <c r="B1217" i="10" s="1"/>
  <c r="A1218" i="10"/>
  <c r="B1218" i="10" s="1"/>
  <c r="A1219" i="10"/>
  <c r="B1219" i="10" s="1"/>
  <c r="A1220" i="10"/>
  <c r="B1220" i="10" s="1"/>
  <c r="A1221" i="10"/>
  <c r="B1221" i="10" s="1"/>
  <c r="A1222" i="10"/>
  <c r="B1222" i="10" s="1"/>
  <c r="A1223" i="10"/>
  <c r="B1223" i="10" s="1"/>
  <c r="A1224" i="10"/>
  <c r="A1225" i="10"/>
  <c r="B1225" i="10" s="1"/>
  <c r="A1226" i="10"/>
  <c r="B1226" i="10" s="1"/>
  <c r="A1227" i="10"/>
  <c r="B1227" i="10" s="1"/>
  <c r="A1228" i="10"/>
  <c r="B1228" i="10" s="1"/>
  <c r="A1229" i="10"/>
  <c r="B1229" i="10" s="1"/>
  <c r="A1230" i="10"/>
  <c r="B1230" i="10" s="1"/>
  <c r="A1231" i="10"/>
  <c r="B1231" i="10" s="1"/>
  <c r="A1232" i="10"/>
  <c r="B1232" i="10" s="1"/>
  <c r="A1233" i="10"/>
  <c r="B1233" i="10" s="1"/>
  <c r="A1234" i="10"/>
  <c r="B1234" i="10" s="1"/>
  <c r="A1235" i="10"/>
  <c r="B1235" i="10" s="1"/>
  <c r="A1236" i="10"/>
  <c r="B1236" i="10" s="1"/>
  <c r="A1237" i="10"/>
  <c r="A1238" i="10"/>
  <c r="B1238" i="10" s="1"/>
  <c r="A1239" i="10"/>
  <c r="B1239" i="10" s="1"/>
  <c r="A1240" i="10"/>
  <c r="B1240" i="10" s="1"/>
  <c r="A1241" i="10"/>
  <c r="B1241" i="10" s="1"/>
  <c r="A1242" i="10"/>
  <c r="A1243" i="10"/>
  <c r="B1243" i="10" s="1"/>
  <c r="A1244" i="10"/>
  <c r="B1244" i="10" s="1"/>
  <c r="A1245" i="10"/>
  <c r="B1245" i="10" s="1"/>
  <c r="A1246" i="10"/>
  <c r="B1246" i="10" s="1"/>
  <c r="A1247" i="10"/>
  <c r="B1247" i="10" s="1"/>
  <c r="A1248" i="10"/>
  <c r="B1248" i="10" s="1"/>
  <c r="A1249" i="10"/>
  <c r="B1249" i="10" s="1"/>
  <c r="A1250" i="10"/>
  <c r="B1250" i="10" s="1"/>
  <c r="A1251" i="10"/>
  <c r="B1251" i="10" s="1"/>
  <c r="A1252" i="10"/>
  <c r="B1252" i="10" s="1"/>
  <c r="A1253" i="10"/>
  <c r="B1253" i="10" s="1"/>
  <c r="A1254" i="10"/>
  <c r="B1254" i="10" s="1"/>
  <c r="A1255" i="10"/>
  <c r="B1255" i="10" s="1"/>
  <c r="A1256" i="10"/>
  <c r="B1256" i="10" s="1"/>
  <c r="A1257" i="10"/>
  <c r="B1257" i="10" s="1"/>
  <c r="A1258" i="10"/>
  <c r="B1258" i="10" s="1"/>
  <c r="A1259" i="10"/>
  <c r="B1259" i="10" s="1"/>
  <c r="A1260" i="10"/>
  <c r="B1260" i="10" s="1"/>
  <c r="A1261" i="10"/>
  <c r="B1261" i="10" s="1"/>
  <c r="A1262" i="10"/>
  <c r="B1262" i="10" s="1"/>
  <c r="A1263" i="10"/>
  <c r="B1263" i="10" s="1"/>
  <c r="A1264" i="10"/>
  <c r="B1264" i="10" s="1"/>
  <c r="A1265" i="10"/>
  <c r="B1265" i="10" s="1"/>
  <c r="A1266" i="10"/>
  <c r="B1266" i="10" s="1"/>
  <c r="A1267" i="10"/>
  <c r="A1268" i="10"/>
  <c r="B1268" i="10" s="1"/>
  <c r="A1269" i="10"/>
  <c r="B1269" i="10" s="1"/>
  <c r="A1270" i="10"/>
  <c r="B1270" i="10" s="1"/>
  <c r="A1271" i="10"/>
  <c r="B1271" i="10" s="1"/>
  <c r="A1272" i="10"/>
  <c r="A1273" i="10"/>
  <c r="B1273" i="10" s="1"/>
  <c r="A1274" i="10"/>
  <c r="B1274" i="10" s="1"/>
  <c r="A1275" i="10"/>
  <c r="I1275" i="10" s="1"/>
  <c r="A1276" i="10"/>
  <c r="B1276" i="10" s="1"/>
  <c r="A1277" i="10"/>
  <c r="B1277" i="10" s="1"/>
  <c r="A1278" i="10"/>
  <c r="B1278" i="10" s="1"/>
  <c r="A1279" i="10"/>
  <c r="B1279" i="10" s="1"/>
  <c r="A1280" i="10"/>
  <c r="B1280" i="10" s="1"/>
  <c r="A1281" i="10"/>
  <c r="B1281" i="10" s="1"/>
  <c r="A1282" i="10"/>
  <c r="B1282" i="10" s="1"/>
  <c r="A1283" i="10"/>
  <c r="B1283" i="10" s="1"/>
  <c r="A1284" i="10"/>
  <c r="B1284" i="10" s="1"/>
  <c r="A1285" i="10"/>
  <c r="B1285" i="10" s="1"/>
  <c r="A1286" i="10"/>
  <c r="B1286" i="10" s="1"/>
  <c r="A1287" i="10"/>
  <c r="B1287" i="10" s="1"/>
  <c r="A1288" i="10"/>
  <c r="B1288" i="10" s="1"/>
  <c r="A1289" i="10"/>
  <c r="B1289" i="10" s="1"/>
  <c r="A1290" i="10"/>
  <c r="B1290" i="10" s="1"/>
  <c r="A1291" i="10"/>
  <c r="B1291" i="10" s="1"/>
  <c r="A1292" i="10"/>
  <c r="B1292" i="10" s="1"/>
  <c r="A1293" i="10"/>
  <c r="B1293" i="10" s="1"/>
  <c r="A1294" i="10"/>
  <c r="B1294" i="10" s="1"/>
  <c r="A1295" i="10"/>
  <c r="B1295" i="10" s="1"/>
  <c r="A1296" i="10"/>
  <c r="A1297" i="10"/>
  <c r="B1297" i="10" s="1"/>
  <c r="A1298" i="10"/>
  <c r="B1298" i="10" s="1"/>
  <c r="A1299" i="10"/>
  <c r="B1299" i="10" s="1"/>
  <c r="A1300" i="10"/>
  <c r="B1300" i="10" s="1"/>
  <c r="A1301" i="10"/>
  <c r="B1301" i="10" s="1"/>
  <c r="A1302" i="10"/>
  <c r="B1302" i="10" s="1"/>
  <c r="A1303" i="10"/>
  <c r="B1303" i="10" s="1"/>
  <c r="A1304" i="10"/>
  <c r="B1304" i="10" s="1"/>
  <c r="A1305" i="10"/>
  <c r="B1305" i="10" s="1"/>
  <c r="A1306" i="10"/>
  <c r="B1306" i="10" s="1"/>
  <c r="A1307" i="10"/>
  <c r="B1307" i="10" s="1"/>
  <c r="A1308" i="10"/>
  <c r="B1308" i="10" s="1"/>
  <c r="A1309" i="10"/>
  <c r="B1309" i="10" s="1"/>
  <c r="A1310" i="10"/>
  <c r="B1310" i="10" s="1"/>
  <c r="A1311" i="10"/>
  <c r="B1311" i="10" s="1"/>
  <c r="A1312" i="10"/>
  <c r="B1312" i="10" s="1"/>
  <c r="A1313" i="10"/>
  <c r="B1313" i="10" s="1"/>
  <c r="A1314" i="10"/>
  <c r="B1314" i="10" s="1"/>
  <c r="A1315" i="10"/>
  <c r="B1315" i="10" s="1"/>
  <c r="A1316" i="10"/>
  <c r="B1316" i="10" s="1"/>
  <c r="A1317" i="10"/>
  <c r="B1317" i="10" s="1"/>
  <c r="A1318" i="10"/>
  <c r="B1318" i="10" s="1"/>
  <c r="A1319" i="10"/>
  <c r="B1319" i="10" s="1"/>
  <c r="A1320" i="10"/>
  <c r="A1321" i="10"/>
  <c r="B1321" i="10" s="1"/>
  <c r="A1322" i="10"/>
  <c r="B1322" i="10" s="1"/>
  <c r="A1323" i="10"/>
  <c r="B1323" i="10" s="1"/>
  <c r="A1324" i="10"/>
  <c r="B1324" i="10" s="1"/>
  <c r="A1325" i="10"/>
  <c r="B1325" i="10" s="1"/>
  <c r="A1326" i="10"/>
  <c r="B1326" i="10" s="1"/>
  <c r="A1327" i="10"/>
  <c r="B1327" i="10" s="1"/>
  <c r="A1328" i="10"/>
  <c r="B1328" i="10" s="1"/>
  <c r="A1329" i="10"/>
  <c r="B1329" i="10" s="1"/>
  <c r="A1330" i="10"/>
  <c r="B1330" i="10" s="1"/>
  <c r="A1331" i="10"/>
  <c r="B1331" i="10" s="1"/>
  <c r="A1332" i="10"/>
  <c r="B1332" i="10" s="1"/>
  <c r="A1333" i="10"/>
  <c r="B1333" i="10" s="1"/>
  <c r="A1334" i="10"/>
  <c r="B1334" i="10" s="1"/>
  <c r="A1335" i="10"/>
  <c r="B1335" i="10" s="1"/>
  <c r="A1336" i="10"/>
  <c r="B1336" i="10" s="1"/>
  <c r="A1337" i="10"/>
  <c r="B1337" i="10" s="1"/>
  <c r="A1338" i="10"/>
  <c r="B1338" i="10" s="1"/>
  <c r="A1339" i="10"/>
  <c r="B1339" i="10" s="1"/>
  <c r="A1340" i="10"/>
  <c r="B1340" i="10" s="1"/>
  <c r="A1341" i="10"/>
  <c r="B1341" i="10" s="1"/>
  <c r="A1342" i="10"/>
  <c r="B1342" i="10" s="1"/>
  <c r="A1343" i="10"/>
  <c r="B1343" i="10" s="1"/>
  <c r="A1344" i="10"/>
  <c r="B1344" i="10" s="1"/>
  <c r="A1345" i="10"/>
  <c r="B1345" i="10" s="1"/>
  <c r="A1346" i="10"/>
  <c r="B1346" i="10" s="1"/>
  <c r="A1347" i="10"/>
  <c r="B1347" i="10" s="1"/>
  <c r="A1348" i="10"/>
  <c r="B1348" i="10" s="1"/>
  <c r="A1349" i="10"/>
  <c r="B1349" i="10" s="1"/>
  <c r="A1350" i="10"/>
  <c r="B1350" i="10" s="1"/>
  <c r="A1351" i="10"/>
  <c r="B1351" i="10" s="1"/>
  <c r="A1352" i="10"/>
  <c r="B1352" i="10" s="1"/>
  <c r="A1353" i="10"/>
  <c r="B1353" i="10" s="1"/>
  <c r="A1354" i="10"/>
  <c r="B1354" i="10" s="1"/>
  <c r="A1355" i="10"/>
  <c r="B1355" i="10" s="1"/>
  <c r="A1356" i="10"/>
  <c r="B1356" i="10" s="1"/>
  <c r="A1357" i="10"/>
  <c r="B1357" i="10" s="1"/>
  <c r="A1358" i="10"/>
  <c r="B1358" i="10" s="1"/>
  <c r="A1359" i="10"/>
  <c r="B1359" i="10" s="1"/>
  <c r="A1360" i="10"/>
  <c r="B1360" i="10" s="1"/>
  <c r="A1361" i="10"/>
  <c r="B1361" i="10" s="1"/>
  <c r="A1362" i="10"/>
  <c r="B1362" i="10" s="1"/>
  <c r="A1363" i="10"/>
  <c r="B1363" i="10" s="1"/>
  <c r="A1364" i="10"/>
  <c r="B1364" i="10" s="1"/>
  <c r="A1365" i="10"/>
  <c r="B1365" i="10" s="1"/>
  <c r="A1366" i="10"/>
  <c r="B1366" i="10" s="1"/>
  <c r="A1367" i="10"/>
  <c r="B1367" i="10" s="1"/>
  <c r="A1368" i="10"/>
  <c r="B1368" i="10" s="1"/>
  <c r="A1369" i="10"/>
  <c r="B1369" i="10" s="1"/>
  <c r="A1370" i="10"/>
  <c r="B1370" i="10" s="1"/>
  <c r="A1371" i="10"/>
  <c r="B1371" i="10" s="1"/>
  <c r="A1372" i="10"/>
  <c r="B1372" i="10" s="1"/>
  <c r="A1373" i="10"/>
  <c r="A1374" i="10"/>
  <c r="B1374" i="10" s="1"/>
  <c r="A1375" i="10"/>
  <c r="B1375" i="10" s="1"/>
  <c r="A1376" i="10"/>
  <c r="B1376" i="10" s="1"/>
  <c r="A1377" i="10"/>
  <c r="B1377" i="10" s="1"/>
  <c r="A1378" i="10"/>
  <c r="B1378" i="10" s="1"/>
  <c r="A1379" i="10"/>
  <c r="B1379" i="10" s="1"/>
  <c r="A1380" i="10"/>
  <c r="B1380" i="10" s="1"/>
  <c r="A1381" i="10"/>
  <c r="B1381" i="10" s="1"/>
  <c r="A1382" i="10"/>
  <c r="B1382" i="10" s="1"/>
  <c r="A1383" i="10"/>
  <c r="B1383" i="10" s="1"/>
  <c r="A1384" i="10"/>
  <c r="B1384" i="10" s="1"/>
  <c r="A1385" i="10"/>
  <c r="B1385" i="10" s="1"/>
  <c r="A1386" i="10"/>
  <c r="B1386" i="10" s="1"/>
  <c r="A1387" i="10"/>
  <c r="B1387" i="10" s="1"/>
  <c r="A1388" i="10"/>
  <c r="B1388" i="10" s="1"/>
  <c r="A1389" i="10"/>
  <c r="B1389" i="10" s="1"/>
  <c r="A1390" i="10"/>
  <c r="B1390" i="10" s="1"/>
  <c r="A1391" i="10"/>
  <c r="B1391" i="10" s="1"/>
  <c r="A1392" i="10"/>
  <c r="B1392" i="10" s="1"/>
  <c r="A1393" i="10"/>
  <c r="B1393" i="10" s="1"/>
  <c r="A1394" i="10"/>
  <c r="B1394" i="10" s="1"/>
  <c r="A1395" i="10"/>
  <c r="B1395" i="10" s="1"/>
  <c r="A1396" i="10"/>
  <c r="B1396" i="10" s="1"/>
  <c r="A1397" i="10"/>
  <c r="B1397" i="10" s="1"/>
  <c r="A1398" i="10"/>
  <c r="B1398" i="10" s="1"/>
  <c r="A1399" i="10"/>
  <c r="B1399" i="10" s="1"/>
  <c r="A1400" i="10"/>
  <c r="B1400" i="10" s="1"/>
  <c r="A1401" i="10"/>
  <c r="B1401" i="10" s="1"/>
  <c r="A1402" i="10"/>
  <c r="B1402" i="10" s="1"/>
  <c r="A1403" i="10"/>
  <c r="B1403" i="10" s="1"/>
  <c r="A1404" i="10"/>
  <c r="B1404" i="10" s="1"/>
  <c r="A1405" i="10"/>
  <c r="B1405" i="10" s="1"/>
  <c r="A1406" i="10"/>
  <c r="B1406" i="10" s="1"/>
  <c r="A1407" i="10"/>
  <c r="B1407" i="10" s="1"/>
  <c r="A1408" i="10"/>
  <c r="B1408" i="10" s="1"/>
  <c r="A1409" i="10"/>
  <c r="B1409" i="10" s="1"/>
  <c r="A1410" i="10"/>
  <c r="B1410" i="10" s="1"/>
  <c r="A1411" i="10"/>
  <c r="B1411" i="10" s="1"/>
  <c r="A1412" i="10"/>
  <c r="B1412" i="10" s="1"/>
  <c r="A1413" i="10"/>
  <c r="B1413" i="10" s="1"/>
  <c r="A1414" i="10"/>
  <c r="B1414" i="10" s="1"/>
  <c r="A1415" i="10"/>
  <c r="B1415" i="10" s="1"/>
  <c r="A1416" i="10"/>
  <c r="B1416" i="10" s="1"/>
  <c r="A1417" i="10"/>
  <c r="B1417" i="10" s="1"/>
  <c r="A1418" i="10"/>
  <c r="B1418" i="10" s="1"/>
  <c r="A1419" i="10"/>
  <c r="B1419" i="10" s="1"/>
  <c r="A2" i="10"/>
  <c r="C177" i="4"/>
  <c r="C176" i="4"/>
  <c r="C175" i="4"/>
  <c r="C173" i="4"/>
  <c r="C172" i="4"/>
  <c r="C171" i="4"/>
  <c r="C169" i="4"/>
  <c r="C168" i="4"/>
  <c r="C166" i="4"/>
  <c r="C165" i="4"/>
  <c r="C163" i="4"/>
  <c r="C161" i="4"/>
  <c r="C160" i="4"/>
  <c r="C158" i="4"/>
  <c r="C156" i="4"/>
  <c r="C155" i="4"/>
  <c r="C154" i="4"/>
  <c r="C152" i="4"/>
  <c r="C150" i="4"/>
  <c r="C148" i="4"/>
  <c r="C146" i="4"/>
  <c r="C145" i="4"/>
  <c r="C143" i="4"/>
  <c r="C141" i="4"/>
  <c r="C139" i="4"/>
  <c r="C138" i="4"/>
  <c r="C136" i="4"/>
  <c r="C135" i="4"/>
  <c r="C134" i="4"/>
  <c r="C132" i="4"/>
  <c r="C130" i="4"/>
  <c r="C128" i="4"/>
  <c r="C127" i="4"/>
  <c r="C125" i="4"/>
  <c r="C124" i="4"/>
  <c r="C122" i="4"/>
  <c r="C120" i="4"/>
  <c r="C119" i="4"/>
  <c r="C117" i="4"/>
  <c r="C115" i="4"/>
  <c r="C114" i="4"/>
  <c r="C113" i="4"/>
  <c r="C111" i="4"/>
  <c r="C109" i="4"/>
  <c r="C108" i="4"/>
  <c r="C106" i="4"/>
  <c r="C105" i="4"/>
  <c r="C104" i="4"/>
  <c r="C102" i="4"/>
  <c r="C100" i="4"/>
  <c r="C98" i="4"/>
  <c r="C96" i="4"/>
  <c r="C95" i="4"/>
  <c r="C94" i="4"/>
  <c r="C92" i="4"/>
  <c r="C90" i="4"/>
  <c r="C88" i="4"/>
  <c r="C86" i="4"/>
  <c r="C85" i="4"/>
  <c r="C83" i="4"/>
  <c r="C81" i="4"/>
  <c r="C79" i="4"/>
  <c r="C78" i="4"/>
  <c r="C76" i="4"/>
  <c r="C75" i="4"/>
  <c r="C73" i="4"/>
  <c r="C71" i="4"/>
  <c r="C70" i="4"/>
  <c r="C68" i="4"/>
  <c r="C66" i="4"/>
  <c r="C65" i="4"/>
  <c r="C63" i="4"/>
  <c r="C61" i="4"/>
  <c r="C59" i="4"/>
  <c r="C57" i="4"/>
  <c r="C56" i="4"/>
  <c r="C55" i="4"/>
  <c r="C54" i="4"/>
  <c r="C52" i="4"/>
  <c r="C51" i="4"/>
  <c r="C50" i="4"/>
  <c r="C49" i="4"/>
  <c r="C47" i="4"/>
  <c r="C46" i="4"/>
  <c r="C45" i="4"/>
  <c r="C43" i="4"/>
  <c r="C42" i="4"/>
  <c r="C41" i="4"/>
  <c r="C40" i="4"/>
  <c r="C38" i="4"/>
  <c r="C36" i="4"/>
  <c r="C35" i="4"/>
  <c r="C33" i="4"/>
  <c r="C32" i="4"/>
  <c r="C30" i="4"/>
  <c r="C28" i="4"/>
  <c r="C27" i="4"/>
  <c r="C25" i="4"/>
  <c r="C24" i="4"/>
  <c r="C23" i="4"/>
  <c r="C21" i="4"/>
  <c r="C20" i="4"/>
  <c r="C19" i="4"/>
  <c r="C17" i="4"/>
  <c r="C15" i="4"/>
  <c r="C13" i="4"/>
  <c r="C11" i="4"/>
  <c r="C10" i="4"/>
  <c r="C8" i="4"/>
  <c r="C6" i="4"/>
  <c r="C4" i="4"/>
  <c r="C3" i="4"/>
  <c r="C2" i="4"/>
  <c r="I1465" i="10" l="1"/>
  <c r="G1478" i="10"/>
  <c r="G1503" i="10"/>
  <c r="G1496" i="10"/>
  <c r="G1472" i="10"/>
  <c r="G1576" i="10"/>
  <c r="G1570" i="10"/>
  <c r="G1564" i="10"/>
  <c r="G1558" i="10"/>
  <c r="G1552" i="10"/>
  <c r="G1546" i="10"/>
  <c r="G1599" i="10"/>
  <c r="G1593" i="10"/>
  <c r="G1587" i="10"/>
  <c r="G1581" i="10"/>
  <c r="G1561" i="10"/>
  <c r="G1555" i="10"/>
  <c r="G1549" i="10"/>
  <c r="G1543" i="10"/>
  <c r="G1602" i="10"/>
  <c r="G1490" i="10"/>
  <c r="G1595" i="10"/>
  <c r="G1589" i="10"/>
  <c r="G1583" i="10"/>
  <c r="G1577" i="10"/>
  <c r="G1601" i="10"/>
  <c r="G1571" i="10"/>
  <c r="G1565" i="10"/>
  <c r="G1559" i="10"/>
  <c r="G1553" i="10"/>
  <c r="G1547" i="10"/>
  <c r="G1541" i="10"/>
  <c r="G1535" i="10"/>
  <c r="G1529" i="10"/>
  <c r="G1523" i="10"/>
  <c r="G1517" i="10"/>
  <c r="I83" i="10"/>
  <c r="J83" i="10" s="1"/>
  <c r="I1733" i="10"/>
  <c r="J1733" i="10" s="1"/>
  <c r="I1744" i="10"/>
  <c r="I1695" i="10"/>
  <c r="G1464" i="10"/>
  <c r="G1392" i="10"/>
  <c r="G1386" i="10"/>
  <c r="G1380" i="10"/>
  <c r="G1374" i="10"/>
  <c r="G1368" i="10"/>
  <c r="G1356" i="10"/>
  <c r="G1350" i="10"/>
  <c r="G1338" i="10"/>
  <c r="G1332" i="10"/>
  <c r="G1320" i="10"/>
  <c r="I1483" i="10"/>
  <c r="L1483" i="10" s="1"/>
  <c r="M1483" i="10" s="1"/>
  <c r="I659" i="10"/>
  <c r="I1476" i="10"/>
  <c r="I137" i="10"/>
  <c r="I1440" i="10"/>
  <c r="I245" i="10"/>
  <c r="J245" i="10" s="1"/>
  <c r="I191" i="10"/>
  <c r="L191" i="10" s="1"/>
  <c r="M191" i="10" s="1"/>
  <c r="G1267" i="10"/>
  <c r="G1261" i="10"/>
  <c r="G1255" i="10"/>
  <c r="G1249" i="10"/>
  <c r="G1243" i="10"/>
  <c r="G1237" i="10"/>
  <c r="G1231" i="10"/>
  <c r="G1225" i="10"/>
  <c r="G1219" i="10"/>
  <c r="G1213" i="10"/>
  <c r="G1207" i="10"/>
  <c r="G1201" i="10"/>
  <c r="G1195" i="10"/>
  <c r="G847" i="10"/>
  <c r="G841" i="10"/>
  <c r="G835" i="10"/>
  <c r="G829" i="10"/>
  <c r="G823" i="10"/>
  <c r="G817" i="10"/>
  <c r="G811" i="10"/>
  <c r="G751" i="10"/>
  <c r="G733" i="10"/>
  <c r="G685" i="10"/>
  <c r="G673" i="10"/>
  <c r="G661" i="10"/>
  <c r="G655" i="10"/>
  <c r="G649" i="10"/>
  <c r="G643" i="10"/>
  <c r="G637" i="10"/>
  <c r="G625" i="10"/>
  <c r="G619" i="10"/>
  <c r="G613" i="10"/>
  <c r="G607" i="10"/>
  <c r="G601" i="10"/>
  <c r="G589" i="10"/>
  <c r="G583" i="10"/>
  <c r="G577" i="10"/>
  <c r="G571" i="10"/>
  <c r="G565" i="10"/>
  <c r="G559" i="10"/>
  <c r="G553" i="10"/>
  <c r="G547" i="10"/>
  <c r="G541" i="10"/>
  <c r="G535" i="10"/>
  <c r="G529" i="10"/>
  <c r="G523" i="10"/>
  <c r="G517" i="10"/>
  <c r="G511" i="10"/>
  <c r="G505" i="10"/>
  <c r="G499" i="10"/>
  <c r="G493" i="10"/>
  <c r="G487" i="10"/>
  <c r="G481" i="10"/>
  <c r="G475" i="10"/>
  <c r="G469" i="10"/>
  <c r="G463" i="10"/>
  <c r="G457" i="10"/>
  <c r="G451" i="10"/>
  <c r="G445" i="10"/>
  <c r="G439" i="10"/>
  <c r="G433" i="10"/>
  <c r="G427" i="10"/>
  <c r="G421" i="10"/>
  <c r="G415" i="10"/>
  <c r="G409" i="10"/>
  <c r="G403" i="10"/>
  <c r="G397" i="10"/>
  <c r="G391" i="10"/>
  <c r="G385" i="10"/>
  <c r="G379" i="10"/>
  <c r="G373" i="10"/>
  <c r="G367" i="10"/>
  <c r="G361" i="10"/>
  <c r="G355" i="10"/>
  <c r="G349" i="10"/>
  <c r="G343" i="10"/>
  <c r="G337" i="10"/>
  <c r="G331" i="10"/>
  <c r="G325" i="10"/>
  <c r="G319" i="10"/>
  <c r="G313" i="10"/>
  <c r="G307" i="10"/>
  <c r="G301" i="10"/>
  <c r="G193" i="10"/>
  <c r="G163" i="10"/>
  <c r="G127" i="10"/>
  <c r="G1314" i="10"/>
  <c r="G1540" i="10"/>
  <c r="G1537" i="10"/>
  <c r="G1534" i="10"/>
  <c r="G1531" i="10"/>
  <c r="G1528" i="10"/>
  <c r="G1525" i="10"/>
  <c r="G1522" i="10"/>
  <c r="I1767" i="10"/>
  <c r="I1750" i="10"/>
  <c r="L1750" i="10" s="1"/>
  <c r="M1750" i="10" s="1"/>
  <c r="G1308" i="10"/>
  <c r="I1497" i="10"/>
  <c r="I1473" i="10"/>
  <c r="J1473" i="10" s="1"/>
  <c r="I1443" i="10"/>
  <c r="I1449" i="10"/>
  <c r="J1449" i="10" s="1"/>
  <c r="I1491" i="10"/>
  <c r="J1491" i="10" s="1"/>
  <c r="I1467" i="10"/>
  <c r="J1467" i="10" s="1"/>
  <c r="I1485" i="10"/>
  <c r="I1437" i="10"/>
  <c r="J1437" i="10" s="1"/>
  <c r="I1461" i="10"/>
  <c r="I1431" i="10"/>
  <c r="L1431" i="10" s="1"/>
  <c r="M1431" i="10" s="1"/>
  <c r="I1479" i="10"/>
  <c r="J1479" i="10" s="1"/>
  <c r="I1455" i="10"/>
  <c r="I1425" i="10"/>
  <c r="G1302" i="10"/>
  <c r="G739" i="10"/>
  <c r="G1442" i="10"/>
  <c r="G1436" i="10"/>
  <c r="G1424" i="10"/>
  <c r="G1418" i="10"/>
  <c r="G1412" i="10"/>
  <c r="G1400" i="10"/>
  <c r="G1394" i="10"/>
  <c r="G1388" i="10"/>
  <c r="G1382" i="10"/>
  <c r="G1376" i="10"/>
  <c r="G1370" i="10"/>
  <c r="G646" i="10"/>
  <c r="G640" i="10"/>
  <c r="G634" i="10"/>
  <c r="G628" i="10"/>
  <c r="G622" i="10"/>
  <c r="G616" i="10"/>
  <c r="G610" i="10"/>
  <c r="G298" i="10"/>
  <c r="G292" i="10"/>
  <c r="G286" i="10"/>
  <c r="G280" i="10"/>
  <c r="G274" i="10"/>
  <c r="G268" i="10"/>
  <c r="G262" i="10"/>
  <c r="G256" i="10"/>
  <c r="G250" i="10"/>
  <c r="G244" i="10"/>
  <c r="G238" i="10"/>
  <c r="G232" i="10"/>
  <c r="G226" i="10"/>
  <c r="G220" i="10"/>
  <c r="G214" i="10"/>
  <c r="G208" i="10"/>
  <c r="G202" i="10"/>
  <c r="G196" i="10"/>
  <c r="G190" i="10"/>
  <c r="G184" i="10"/>
  <c r="G178" i="10"/>
  <c r="G172" i="10"/>
  <c r="G166" i="10"/>
  <c r="G160" i="10"/>
  <c r="G154" i="10"/>
  <c r="G148" i="10"/>
  <c r="G142" i="10"/>
  <c r="G136" i="10"/>
  <c r="G130" i="10"/>
  <c r="G124" i="10"/>
  <c r="G118" i="10"/>
  <c r="G112" i="10"/>
  <c r="G106" i="10"/>
  <c r="G100" i="10"/>
  <c r="G94" i="10"/>
  <c r="G88" i="10"/>
  <c r="G82" i="10"/>
  <c r="G76" i="10"/>
  <c r="G1364" i="10"/>
  <c r="G1358" i="10"/>
  <c r="G1189" i="10"/>
  <c r="G1183" i="10"/>
  <c r="G1177" i="10"/>
  <c r="G1171" i="10"/>
  <c r="G1165" i="10"/>
  <c r="G1159" i="10"/>
  <c r="G1135" i="10"/>
  <c r="G1129" i="10"/>
  <c r="G1123" i="10"/>
  <c r="G1117" i="10"/>
  <c r="G1111" i="10"/>
  <c r="G1027" i="10"/>
  <c r="G1021" i="10"/>
  <c r="G1015" i="10"/>
  <c r="G1009" i="10"/>
  <c r="G1003" i="10"/>
  <c r="G997" i="10"/>
  <c r="G991" i="10"/>
  <c r="G985" i="10"/>
  <c r="G979" i="10"/>
  <c r="G973" i="10"/>
  <c r="G967" i="10"/>
  <c r="G961" i="10"/>
  <c r="G955" i="10"/>
  <c r="G949" i="10"/>
  <c r="G943" i="10"/>
  <c r="G937" i="10"/>
  <c r="G931" i="10"/>
  <c r="G925" i="10"/>
  <c r="G919" i="10"/>
  <c r="G913" i="10"/>
  <c r="G907" i="10"/>
  <c r="G901" i="10"/>
  <c r="G895" i="10"/>
  <c r="G889" i="10"/>
  <c r="G883" i="10"/>
  <c r="G877" i="10"/>
  <c r="G871" i="10"/>
  <c r="G865" i="10"/>
  <c r="G859" i="10"/>
  <c r="G853" i="10"/>
  <c r="I1052" i="10"/>
  <c r="I1148" i="10"/>
  <c r="J1148" i="10" s="1"/>
  <c r="I1124" i="10"/>
  <c r="I1495" i="10"/>
  <c r="J1495" i="10" s="1"/>
  <c r="I1477" i="10"/>
  <c r="J1477" i="10" s="1"/>
  <c r="I1002" i="10"/>
  <c r="J1002" i="10" s="1"/>
  <c r="I1459" i="10"/>
  <c r="I1489" i="10"/>
  <c r="J1489" i="10" s="1"/>
  <c r="I264" i="10"/>
  <c r="I1471" i="10"/>
  <c r="J1471" i="10" s="1"/>
  <c r="I1292" i="10"/>
  <c r="J1292" i="10" s="1"/>
  <c r="I835" i="10"/>
  <c r="J835" i="10" s="1"/>
  <c r="I1250" i="10"/>
  <c r="I1088" i="10"/>
  <c r="L1088" i="10" s="1"/>
  <c r="M1088" i="10" s="1"/>
  <c r="I85" i="10"/>
  <c r="I1405" i="10"/>
  <c r="J1405" i="10" s="1"/>
  <c r="I1075" i="10"/>
  <c r="L1075" i="10" s="1"/>
  <c r="M1075" i="10" s="1"/>
  <c r="I415" i="10"/>
  <c r="J415" i="10" s="1"/>
  <c r="I991" i="10"/>
  <c r="L991" i="10" s="1"/>
  <c r="M991" i="10" s="1"/>
  <c r="I1369" i="10"/>
  <c r="I1214" i="10"/>
  <c r="I973" i="10"/>
  <c r="J973" i="10" s="1"/>
  <c r="I763" i="10"/>
  <c r="L763" i="10" s="1"/>
  <c r="M763" i="10" s="1"/>
  <c r="I403" i="10"/>
  <c r="J403" i="10" s="1"/>
  <c r="I1460" i="10"/>
  <c r="J1460" i="10" s="1"/>
  <c r="I1357" i="10"/>
  <c r="L1357" i="10" s="1"/>
  <c r="M1357" i="10" s="1"/>
  <c r="I1033" i="10"/>
  <c r="I937" i="10"/>
  <c r="L937" i="10" s="1"/>
  <c r="M937" i="10" s="1"/>
  <c r="I739" i="10"/>
  <c r="J739" i="10" s="1"/>
  <c r="I73" i="10"/>
  <c r="J73" i="10" s="1"/>
  <c r="I1472" i="10"/>
  <c r="J1472" i="10" s="1"/>
  <c r="I1315" i="10"/>
  <c r="J1315" i="10" s="1"/>
  <c r="I1135" i="10"/>
  <c r="I1021" i="10"/>
  <c r="J1021" i="10" s="1"/>
  <c r="I919" i="10"/>
  <c r="L919" i="10" s="1"/>
  <c r="M919" i="10" s="1"/>
  <c r="I1430" i="10"/>
  <c r="J1430" i="10" s="1"/>
  <c r="I1015" i="10"/>
  <c r="J1015" i="10" s="1"/>
  <c r="I895" i="10"/>
  <c r="L895" i="10" s="1"/>
  <c r="M895" i="10" s="1"/>
  <c r="I583" i="10"/>
  <c r="I1291" i="10"/>
  <c r="L1291" i="10" s="1"/>
  <c r="M1291" i="10" s="1"/>
  <c r="I877" i="10"/>
  <c r="J877" i="10" s="1"/>
  <c r="I469" i="10"/>
  <c r="L469" i="10" s="1"/>
  <c r="M469" i="10" s="1"/>
  <c r="G1153" i="10"/>
  <c r="G1147" i="10"/>
  <c r="G1141" i="10"/>
  <c r="G727" i="10"/>
  <c r="G721" i="10"/>
  <c r="G709" i="10"/>
  <c r="G703" i="10"/>
  <c r="G697" i="10"/>
  <c r="G691" i="10"/>
  <c r="G295" i="10"/>
  <c r="G289" i="10"/>
  <c r="G283" i="10"/>
  <c r="G277" i="10"/>
  <c r="G271" i="10"/>
  <c r="G265" i="10"/>
  <c r="G259" i="10"/>
  <c r="G253" i="10"/>
  <c r="G247" i="10"/>
  <c r="G241" i="10"/>
  <c r="G235" i="10"/>
  <c r="G229" i="10"/>
  <c r="G223" i="10"/>
  <c r="G217" i="10"/>
  <c r="G211" i="10"/>
  <c r="G205" i="10"/>
  <c r="G199" i="10"/>
  <c r="G91" i="10"/>
  <c r="G55" i="10"/>
  <c r="G19" i="10"/>
  <c r="G604" i="10"/>
  <c r="G598" i="10"/>
  <c r="G592" i="10"/>
  <c r="G586" i="10"/>
  <c r="G580" i="10"/>
  <c r="G574" i="10"/>
  <c r="G568" i="10"/>
  <c r="G562" i="10"/>
  <c r="G556" i="10"/>
  <c r="G550" i="10"/>
  <c r="G544" i="10"/>
  <c r="G538" i="10"/>
  <c r="G532" i="10"/>
  <c r="G526" i="10"/>
  <c r="G520" i="10"/>
  <c r="G514" i="10"/>
  <c r="G508" i="10"/>
  <c r="G502" i="10"/>
  <c r="G496" i="10"/>
  <c r="G490" i="10"/>
  <c r="G484" i="10"/>
  <c r="G466" i="10"/>
  <c r="G460" i="10"/>
  <c r="G454" i="10"/>
  <c r="G448" i="10"/>
  <c r="G436" i="10"/>
  <c r="G430" i="10"/>
  <c r="G418" i="10"/>
  <c r="G412" i="10"/>
  <c r="G406" i="10"/>
  <c r="G400" i="10"/>
  <c r="G394" i="10"/>
  <c r="G388" i="10"/>
  <c r="G382" i="10"/>
  <c r="G376" i="10"/>
  <c r="G370" i="10"/>
  <c r="G364" i="10"/>
  <c r="G358" i="10"/>
  <c r="G352" i="10"/>
  <c r="G346" i="10"/>
  <c r="G340" i="10"/>
  <c r="G334" i="10"/>
  <c r="G328" i="10"/>
  <c r="G322" i="10"/>
  <c r="G316" i="10"/>
  <c r="G310" i="10"/>
  <c r="G304" i="10"/>
  <c r="G70" i="10"/>
  <c r="G64" i="10"/>
  <c r="G58" i="10"/>
  <c r="G52" i="10"/>
  <c r="G46" i="10"/>
  <c r="G40" i="10"/>
  <c r="G34" i="10"/>
  <c r="G28" i="10"/>
  <c r="G22" i="10"/>
  <c r="G16" i="10"/>
  <c r="G10" i="10"/>
  <c r="G4" i="10"/>
  <c r="G1352" i="10"/>
  <c r="G1346" i="10"/>
  <c r="G1340" i="10"/>
  <c r="G1334" i="10"/>
  <c r="G1328" i="10"/>
  <c r="G1322" i="10"/>
  <c r="G1316" i="10"/>
  <c r="G1310" i="10"/>
  <c r="G1304" i="10"/>
  <c r="G1298" i="10"/>
  <c r="G1292" i="10"/>
  <c r="G1286" i="10"/>
  <c r="G1280" i="10"/>
  <c r="G1274" i="10"/>
  <c r="I858" i="10"/>
  <c r="J858" i="10" s="1"/>
  <c r="I48" i="10"/>
  <c r="J48" i="10" s="1"/>
  <c r="I432" i="10"/>
  <c r="J432" i="10" s="1"/>
  <c r="I1116" i="10"/>
  <c r="J1116" i="10" s="1"/>
  <c r="I738" i="10"/>
  <c r="L738" i="10" s="1"/>
  <c r="M738" i="10" s="1"/>
  <c r="G818" i="10"/>
  <c r="G812" i="10"/>
  <c r="G806" i="10"/>
  <c r="G800" i="10"/>
  <c r="G794" i="10"/>
  <c r="G788" i="10"/>
  <c r="G782" i="10"/>
  <c r="G776" i="10"/>
  <c r="G758" i="10"/>
  <c r="G752" i="10"/>
  <c r="G746" i="10"/>
  <c r="G740" i="10"/>
  <c r="G734" i="10"/>
  <c r="G728" i="10"/>
  <c r="G722" i="10"/>
  <c r="G716" i="10"/>
  <c r="G710" i="10"/>
  <c r="G704" i="10"/>
  <c r="G698" i="10"/>
  <c r="G692" i="10"/>
  <c r="G686" i="10"/>
  <c r="G680" i="10"/>
  <c r="G674" i="10"/>
  <c r="G668" i="10"/>
  <c r="G662" i="10"/>
  <c r="G656" i="10"/>
  <c r="G650" i="10"/>
  <c r="G644" i="10"/>
  <c r="G638" i="10"/>
  <c r="G632" i="10"/>
  <c r="G626" i="10"/>
  <c r="G620" i="10"/>
  <c r="G614" i="10"/>
  <c r="G602" i="10"/>
  <c r="G596" i="10"/>
  <c r="G590" i="10"/>
  <c r="G584" i="10"/>
  <c r="G578" i="10"/>
  <c r="G572" i="10"/>
  <c r="G566" i="10"/>
  <c r="G560" i="10"/>
  <c r="G554" i="10"/>
  <c r="G548" i="10"/>
  <c r="G542" i="10"/>
  <c r="G536" i="10"/>
  <c r="G530" i="10"/>
  <c r="G524" i="10"/>
  <c r="G518" i="10"/>
  <c r="G512" i="10"/>
  <c r="G506" i="10"/>
  <c r="G500" i="10"/>
  <c r="G494" i="10"/>
  <c r="G488" i="10"/>
  <c r="G482" i="10"/>
  <c r="G476" i="10"/>
  <c r="G470" i="10"/>
  <c r="G464" i="10"/>
  <c r="G458" i="10"/>
  <c r="G452" i="10"/>
  <c r="G446" i="10"/>
  <c r="G440" i="10"/>
  <c r="G434" i="10"/>
  <c r="G428" i="10"/>
  <c r="G422" i="10"/>
  <c r="G416" i="10"/>
  <c r="G410" i="10"/>
  <c r="G404" i="10"/>
  <c r="G398" i="10"/>
  <c r="G392" i="10"/>
  <c r="G386" i="10"/>
  <c r="G380" i="10"/>
  <c r="G374" i="10"/>
  <c r="G368" i="10"/>
  <c r="G362" i="10"/>
  <c r="G356" i="10"/>
  <c r="G350" i="10"/>
  <c r="G344" i="10"/>
  <c r="G338" i="10"/>
  <c r="G332" i="10"/>
  <c r="G326" i="10"/>
  <c r="G320" i="10"/>
  <c r="G302" i="10"/>
  <c r="G296" i="10"/>
  <c r="G290" i="10"/>
  <c r="G284" i="10"/>
  <c r="G278" i="10"/>
  <c r="G272" i="10"/>
  <c r="G266" i="10"/>
  <c r="G260" i="10"/>
  <c r="G254" i="10"/>
  <c r="G248" i="10"/>
  <c r="G242" i="10"/>
  <c r="G236" i="10"/>
  <c r="G230" i="10"/>
  <c r="G224" i="10"/>
  <c r="G218" i="10"/>
  <c r="G212" i="10"/>
  <c r="G38" i="10"/>
  <c r="G32" i="10"/>
  <c r="G26" i="10"/>
  <c r="G20" i="10"/>
  <c r="G14" i="10"/>
  <c r="G8" i="10"/>
  <c r="G1296" i="10"/>
  <c r="G1290" i="10"/>
  <c r="G1284" i="10"/>
  <c r="B1164" i="10"/>
  <c r="I1164" i="10"/>
  <c r="J1164" i="10" s="1"/>
  <c r="B1158" i="10"/>
  <c r="I1158" i="10"/>
  <c r="J1158" i="10" s="1"/>
  <c r="B1044" i="10"/>
  <c r="I1044" i="10"/>
  <c r="B972" i="10"/>
  <c r="I972" i="10"/>
  <c r="L972" i="10" s="1"/>
  <c r="M972" i="10" s="1"/>
  <c r="B936" i="10"/>
  <c r="I936" i="10"/>
  <c r="L936" i="10" s="1"/>
  <c r="M936" i="10" s="1"/>
  <c r="B786" i="10"/>
  <c r="I786" i="10"/>
  <c r="J786" i="10" s="1"/>
  <c r="B768" i="10"/>
  <c r="I768" i="10"/>
  <c r="J768" i="10" s="1"/>
  <c r="B756" i="10"/>
  <c r="I756" i="10"/>
  <c r="B732" i="10"/>
  <c r="I732" i="10"/>
  <c r="B678" i="10"/>
  <c r="I678" i="10"/>
  <c r="J678" i="10" s="1"/>
  <c r="B516" i="10"/>
  <c r="I516" i="10"/>
  <c r="J516" i="10" s="1"/>
  <c r="B486" i="10"/>
  <c r="I486" i="10"/>
  <c r="B438" i="10"/>
  <c r="I438" i="10"/>
  <c r="J438" i="10" s="1"/>
  <c r="B348" i="10"/>
  <c r="I348" i="10"/>
  <c r="L348" i="10" s="1"/>
  <c r="M348" i="10" s="1"/>
  <c r="B312" i="10"/>
  <c r="I312" i="10"/>
  <c r="B246" i="10"/>
  <c r="I246" i="10"/>
  <c r="J246" i="10" s="1"/>
  <c r="B228" i="10"/>
  <c r="I228" i="10"/>
  <c r="J228" i="10" s="1"/>
  <c r="B162" i="10"/>
  <c r="I162" i="10"/>
  <c r="B156" i="10"/>
  <c r="I156" i="10"/>
  <c r="L156" i="10" s="1"/>
  <c r="M156" i="10" s="1"/>
  <c r="B144" i="10"/>
  <c r="I144" i="10"/>
  <c r="J144" i="10" s="1"/>
  <c r="B60" i="10"/>
  <c r="I60" i="10"/>
  <c r="B36" i="10"/>
  <c r="I36" i="10"/>
  <c r="L36" i="10" s="1"/>
  <c r="M36" i="10" s="1"/>
  <c r="B6" i="10"/>
  <c r="I6" i="10"/>
  <c r="L6" i="10" s="1"/>
  <c r="M6" i="10" s="1"/>
  <c r="B1453" i="10"/>
  <c r="I1453" i="10"/>
  <c r="B1423" i="10"/>
  <c r="I1423" i="10"/>
  <c r="L1423" i="10" s="1"/>
  <c r="M1423" i="10" s="1"/>
  <c r="I1212" i="10"/>
  <c r="J1212" i="10" s="1"/>
  <c r="I1098" i="10"/>
  <c r="J1098" i="10" s="1"/>
  <c r="I702" i="10"/>
  <c r="J702" i="10" s="1"/>
  <c r="I570" i="10"/>
  <c r="I102" i="10"/>
  <c r="J102" i="10" s="1"/>
  <c r="I12" i="10"/>
  <c r="L12" i="10" s="1"/>
  <c r="M12" i="10" s="1"/>
  <c r="B1056" i="10"/>
  <c r="I1056" i="10"/>
  <c r="L1056" i="10" s="1"/>
  <c r="M1056" i="10" s="1"/>
  <c r="B1026" i="10"/>
  <c r="I1026" i="10"/>
  <c r="L1026" i="10" s="1"/>
  <c r="M1026" i="10" s="1"/>
  <c r="B1014" i="10"/>
  <c r="I1014" i="10"/>
  <c r="J1014" i="10" s="1"/>
  <c r="B996" i="10"/>
  <c r="I996" i="10"/>
  <c r="J996" i="10" s="1"/>
  <c r="B984" i="10"/>
  <c r="I984" i="10"/>
  <c r="B966" i="10"/>
  <c r="I966" i="10"/>
  <c r="L966" i="10" s="1"/>
  <c r="M966" i="10" s="1"/>
  <c r="B960" i="10"/>
  <c r="I960" i="10"/>
  <c r="J960" i="10" s="1"/>
  <c r="B918" i="10"/>
  <c r="I918" i="10"/>
  <c r="J918" i="10" s="1"/>
  <c r="B828" i="10"/>
  <c r="I828" i="10"/>
  <c r="J828" i="10" s="1"/>
  <c r="B774" i="10"/>
  <c r="I774" i="10"/>
  <c r="L774" i="10" s="1"/>
  <c r="M774" i="10" s="1"/>
  <c r="B546" i="10"/>
  <c r="I546" i="10"/>
  <c r="B510" i="10"/>
  <c r="I510" i="10"/>
  <c r="L510" i="10" s="1"/>
  <c r="M510" i="10" s="1"/>
  <c r="B396" i="10"/>
  <c r="I396" i="10"/>
  <c r="J396" i="10" s="1"/>
  <c r="B318" i="10"/>
  <c r="I318" i="10"/>
  <c r="J318" i="10" s="1"/>
  <c r="B282" i="10"/>
  <c r="I282" i="10"/>
  <c r="J282" i="10" s="1"/>
  <c r="B222" i="10"/>
  <c r="I222" i="10"/>
  <c r="L222" i="10" s="1"/>
  <c r="M222" i="10" s="1"/>
  <c r="B210" i="10"/>
  <c r="I210" i="10"/>
  <c r="B204" i="10"/>
  <c r="I204" i="10"/>
  <c r="J204" i="10" s="1"/>
  <c r="B192" i="10"/>
  <c r="I192" i="10"/>
  <c r="J192" i="10" s="1"/>
  <c r="B174" i="10"/>
  <c r="I174" i="10"/>
  <c r="B138" i="10"/>
  <c r="I138" i="10"/>
  <c r="J138" i="10" s="1"/>
  <c r="B1441" i="10"/>
  <c r="I1441" i="10"/>
  <c r="L1441" i="10" s="1"/>
  <c r="M1441" i="10" s="1"/>
  <c r="I1032" i="10"/>
  <c r="J1032" i="10" s="1"/>
  <c r="I978" i="10"/>
  <c r="J978" i="10" s="1"/>
  <c r="I834" i="10"/>
  <c r="J834" i="10" s="1"/>
  <c r="I666" i="10"/>
  <c r="J666" i="10" s="1"/>
  <c r="I534" i="10"/>
  <c r="J534" i="10" s="1"/>
  <c r="I234" i="10"/>
  <c r="B1242" i="10"/>
  <c r="I1242" i="10"/>
  <c r="J1242" i="10" s="1"/>
  <c r="B1224" i="10"/>
  <c r="I1224" i="10"/>
  <c r="J1224" i="10" s="1"/>
  <c r="B1188" i="10"/>
  <c r="I1188" i="10"/>
  <c r="J1188" i="10" s="1"/>
  <c r="B1128" i="10"/>
  <c r="I1128" i="10"/>
  <c r="J1128" i="10" s="1"/>
  <c r="B1080" i="10"/>
  <c r="I1080" i="10"/>
  <c r="J1080" i="10" s="1"/>
  <c r="B954" i="10"/>
  <c r="I954" i="10"/>
  <c r="J954" i="10" s="1"/>
  <c r="B882" i="10"/>
  <c r="I882" i="10"/>
  <c r="B870" i="10"/>
  <c r="I870" i="10"/>
  <c r="J870" i="10" s="1"/>
  <c r="B852" i="10"/>
  <c r="I852" i="10"/>
  <c r="J852" i="10" s="1"/>
  <c r="B840" i="10"/>
  <c r="I840" i="10"/>
  <c r="B822" i="10"/>
  <c r="I822" i="10"/>
  <c r="J822" i="10" s="1"/>
  <c r="B804" i="10"/>
  <c r="I804" i="10"/>
  <c r="L804" i="10" s="1"/>
  <c r="M804" i="10" s="1"/>
  <c r="B780" i="10"/>
  <c r="I780" i="10"/>
  <c r="J780" i="10" s="1"/>
  <c r="B750" i="10"/>
  <c r="I750" i="10"/>
  <c r="J750" i="10" s="1"/>
  <c r="B714" i="10"/>
  <c r="I714" i="10"/>
  <c r="L714" i="10" s="1"/>
  <c r="M714" i="10" s="1"/>
  <c r="B630" i="10"/>
  <c r="I630" i="10"/>
  <c r="B354" i="10"/>
  <c r="I354" i="10"/>
  <c r="J354" i="10" s="1"/>
  <c r="B132" i="10"/>
  <c r="I132" i="10"/>
  <c r="J132" i="10" s="1"/>
  <c r="B126" i="10"/>
  <c r="I126" i="10"/>
  <c r="B120" i="10"/>
  <c r="I120" i="10"/>
  <c r="J120" i="10" s="1"/>
  <c r="B114" i="10"/>
  <c r="I114" i="10"/>
  <c r="J114" i="10" s="1"/>
  <c r="B108" i="10"/>
  <c r="I108" i="10"/>
  <c r="B96" i="10"/>
  <c r="I96" i="10"/>
  <c r="J96" i="10" s="1"/>
  <c r="B84" i="10"/>
  <c r="I84" i="10"/>
  <c r="B66" i="10"/>
  <c r="I66" i="10"/>
  <c r="J66" i="10" s="1"/>
  <c r="B42" i="10"/>
  <c r="I42" i="10"/>
  <c r="J42" i="10" s="1"/>
  <c r="B18" i="10"/>
  <c r="I18" i="10"/>
  <c r="L18" i="10" s="1"/>
  <c r="M18" i="10" s="1"/>
  <c r="B1435" i="10"/>
  <c r="I1435" i="10"/>
  <c r="I1447" i="10"/>
  <c r="J1447" i="10" s="1"/>
  <c r="I1146" i="10"/>
  <c r="J1146" i="10" s="1"/>
  <c r="I894" i="10"/>
  <c r="J894" i="10" s="1"/>
  <c r="I798" i="10"/>
  <c r="J798" i="10" s="1"/>
  <c r="I498" i="10"/>
  <c r="L498" i="10" s="1"/>
  <c r="M498" i="10" s="1"/>
  <c r="I372" i="10"/>
  <c r="J372" i="10" s="1"/>
  <c r="I198" i="10"/>
  <c r="J198" i="10" s="1"/>
  <c r="B1272" i="10"/>
  <c r="I1272" i="10"/>
  <c r="J1272" i="10" s="1"/>
  <c r="B1182" i="10"/>
  <c r="I1182" i="10"/>
  <c r="J1182" i="10" s="1"/>
  <c r="B930" i="10"/>
  <c r="I930" i="10"/>
  <c r="L930" i="10" s="1"/>
  <c r="M930" i="10" s="1"/>
  <c r="B912" i="10"/>
  <c r="I912" i="10"/>
  <c r="J912" i="10" s="1"/>
  <c r="B906" i="10"/>
  <c r="I906" i="10"/>
  <c r="J906" i="10" s="1"/>
  <c r="B900" i="10"/>
  <c r="I900" i="10"/>
  <c r="J900" i="10" s="1"/>
  <c r="B876" i="10"/>
  <c r="I876" i="10"/>
  <c r="J876" i="10" s="1"/>
  <c r="B846" i="10"/>
  <c r="I846" i="10"/>
  <c r="J846" i="10" s="1"/>
  <c r="B810" i="10"/>
  <c r="I810" i="10"/>
  <c r="J810" i="10" s="1"/>
  <c r="B726" i="10"/>
  <c r="I726" i="10"/>
  <c r="J726" i="10" s="1"/>
  <c r="B708" i="10"/>
  <c r="I708" i="10"/>
  <c r="J708" i="10" s="1"/>
  <c r="B696" i="10"/>
  <c r="I696" i="10"/>
  <c r="J696" i="10" s="1"/>
  <c r="B690" i="10"/>
  <c r="I690" i="10"/>
  <c r="J690" i="10" s="1"/>
  <c r="B684" i="10"/>
  <c r="I684" i="10"/>
  <c r="J684" i="10" s="1"/>
  <c r="B672" i="10"/>
  <c r="I672" i="10"/>
  <c r="J672" i="10" s="1"/>
  <c r="B660" i="10"/>
  <c r="I660" i="10"/>
  <c r="J660" i="10" s="1"/>
  <c r="B654" i="10"/>
  <c r="I654" i="10"/>
  <c r="J654" i="10" s="1"/>
  <c r="B642" i="10"/>
  <c r="I642" i="10"/>
  <c r="J642" i="10" s="1"/>
  <c r="B624" i="10"/>
  <c r="I624" i="10"/>
  <c r="J624" i="10" s="1"/>
  <c r="B612" i="10"/>
  <c r="I612" i="10"/>
  <c r="J612" i="10" s="1"/>
  <c r="B606" i="10"/>
  <c r="I606" i="10"/>
  <c r="J606" i="10" s="1"/>
  <c r="B594" i="10"/>
  <c r="I594" i="10"/>
  <c r="J594" i="10" s="1"/>
  <c r="B582" i="10"/>
  <c r="I582" i="10"/>
  <c r="J582" i="10" s="1"/>
  <c r="B576" i="10"/>
  <c r="I576" i="10"/>
  <c r="J576" i="10" s="1"/>
  <c r="B564" i="10"/>
  <c r="I564" i="10"/>
  <c r="J564" i="10" s="1"/>
  <c r="B552" i="10"/>
  <c r="I552" i="10"/>
  <c r="J552" i="10" s="1"/>
  <c r="B540" i="10"/>
  <c r="I540" i="10"/>
  <c r="J540" i="10" s="1"/>
  <c r="B528" i="10"/>
  <c r="I528" i="10"/>
  <c r="J528" i="10" s="1"/>
  <c r="B522" i="10"/>
  <c r="I522" i="10"/>
  <c r="J522" i="10" s="1"/>
  <c r="B504" i="10"/>
  <c r="I504" i="10"/>
  <c r="J504" i="10" s="1"/>
  <c r="B492" i="10"/>
  <c r="I492" i="10"/>
  <c r="J492" i="10" s="1"/>
  <c r="B480" i="10"/>
  <c r="I480" i="10"/>
  <c r="J480" i="10" s="1"/>
  <c r="B462" i="10"/>
  <c r="I462" i="10"/>
  <c r="J462" i="10" s="1"/>
  <c r="B456" i="10"/>
  <c r="I456" i="10"/>
  <c r="J456" i="10" s="1"/>
  <c r="B444" i="10"/>
  <c r="I444" i="10"/>
  <c r="J444" i="10" s="1"/>
  <c r="B426" i="10"/>
  <c r="I426" i="10"/>
  <c r="J426" i="10" s="1"/>
  <c r="B414" i="10"/>
  <c r="I414" i="10"/>
  <c r="L414" i="10" s="1"/>
  <c r="M414" i="10" s="1"/>
  <c r="B408" i="10"/>
  <c r="I408" i="10"/>
  <c r="J408" i="10" s="1"/>
  <c r="B402" i="10"/>
  <c r="I402" i="10"/>
  <c r="J402" i="10" s="1"/>
  <c r="B390" i="10"/>
  <c r="I390" i="10"/>
  <c r="L390" i="10" s="1"/>
  <c r="M390" i="10" s="1"/>
  <c r="B384" i="10"/>
  <c r="I384" i="10"/>
  <c r="J384" i="10" s="1"/>
  <c r="B366" i="10"/>
  <c r="I366" i="10"/>
  <c r="J366" i="10" s="1"/>
  <c r="B360" i="10"/>
  <c r="I360" i="10"/>
  <c r="J360" i="10" s="1"/>
  <c r="B342" i="10"/>
  <c r="I342" i="10"/>
  <c r="L342" i="10" s="1"/>
  <c r="M342" i="10" s="1"/>
  <c r="B330" i="10"/>
  <c r="I330" i="10"/>
  <c r="J330" i="10" s="1"/>
  <c r="B324" i="10"/>
  <c r="I324" i="10"/>
  <c r="L324" i="10" s="1"/>
  <c r="M324" i="10" s="1"/>
  <c r="B306" i="10"/>
  <c r="I306" i="10"/>
  <c r="J306" i="10" s="1"/>
  <c r="B288" i="10"/>
  <c r="I288" i="10"/>
  <c r="J288" i="10" s="1"/>
  <c r="B258" i="10"/>
  <c r="I258" i="10"/>
  <c r="L258" i="10" s="1"/>
  <c r="M258" i="10" s="1"/>
  <c r="B186" i="10"/>
  <c r="I186" i="10"/>
  <c r="J186" i="10" s="1"/>
  <c r="B150" i="10"/>
  <c r="I150" i="10"/>
  <c r="J150" i="10" s="1"/>
  <c r="B24" i="10"/>
  <c r="I24" i="10"/>
  <c r="J24" i="10" s="1"/>
  <c r="I1074" i="10"/>
  <c r="J1074" i="10" s="1"/>
  <c r="I948" i="10"/>
  <c r="L948" i="10" s="1"/>
  <c r="M948" i="10" s="1"/>
  <c r="I636" i="10"/>
  <c r="J636" i="10" s="1"/>
  <c r="I336" i="10"/>
  <c r="L336" i="10" s="1"/>
  <c r="M336" i="10" s="1"/>
  <c r="I78" i="10"/>
  <c r="L78" i="10" s="1"/>
  <c r="M78" i="10" s="1"/>
  <c r="B1320" i="10"/>
  <c r="I1320" i="10"/>
  <c r="L1320" i="10" s="1"/>
  <c r="M1320" i="10" s="1"/>
  <c r="B1296" i="10"/>
  <c r="I1296" i="10"/>
  <c r="B1122" i="10"/>
  <c r="I1122" i="10"/>
  <c r="J1122" i="10" s="1"/>
  <c r="B1086" i="10"/>
  <c r="I1086" i="10"/>
  <c r="J1086" i="10" s="1"/>
  <c r="B1062" i="10"/>
  <c r="I1062" i="10"/>
  <c r="B990" i="10"/>
  <c r="I990" i="10"/>
  <c r="J990" i="10" s="1"/>
  <c r="B924" i="10"/>
  <c r="I924" i="10"/>
  <c r="J924" i="10" s="1"/>
  <c r="B888" i="10"/>
  <c r="I888" i="10"/>
  <c r="J888" i="10" s="1"/>
  <c r="B816" i="10"/>
  <c r="I816" i="10"/>
  <c r="J816" i="10" s="1"/>
  <c r="B792" i="10"/>
  <c r="I792" i="10"/>
  <c r="J792" i="10" s="1"/>
  <c r="B762" i="10"/>
  <c r="I762" i="10"/>
  <c r="J762" i="10" s="1"/>
  <c r="B744" i="10"/>
  <c r="I744" i="10"/>
  <c r="J744" i="10" s="1"/>
  <c r="B720" i="10"/>
  <c r="I720" i="10"/>
  <c r="J720" i="10" s="1"/>
  <c r="B648" i="10"/>
  <c r="I648" i="10"/>
  <c r="B618" i="10"/>
  <c r="I618" i="10"/>
  <c r="J618" i="10" s="1"/>
  <c r="B588" i="10"/>
  <c r="I588" i="10"/>
  <c r="J588" i="10" s="1"/>
  <c r="B558" i="10"/>
  <c r="I558" i="10"/>
  <c r="B474" i="10"/>
  <c r="I474" i="10"/>
  <c r="J474" i="10" s="1"/>
  <c r="B450" i="10"/>
  <c r="I450" i="10"/>
  <c r="L450" i="10" s="1"/>
  <c r="M450" i="10" s="1"/>
  <c r="B420" i="10"/>
  <c r="I420" i="10"/>
  <c r="J420" i="10" s="1"/>
  <c r="B378" i="10"/>
  <c r="I378" i="10"/>
  <c r="J378" i="10" s="1"/>
  <c r="B294" i="10"/>
  <c r="I294" i="10"/>
  <c r="L294" i="10" s="1"/>
  <c r="M294" i="10" s="1"/>
  <c r="B276" i="10"/>
  <c r="I276" i="10"/>
  <c r="J276" i="10" s="1"/>
  <c r="B270" i="10"/>
  <c r="I270" i="10"/>
  <c r="L270" i="10" s="1"/>
  <c r="M270" i="10" s="1"/>
  <c r="B252" i="10"/>
  <c r="I252" i="10"/>
  <c r="L252" i="10" s="1"/>
  <c r="M252" i="10" s="1"/>
  <c r="B240" i="10"/>
  <c r="I240" i="10"/>
  <c r="B216" i="10"/>
  <c r="I216" i="10"/>
  <c r="L216" i="10" s="1"/>
  <c r="M216" i="10" s="1"/>
  <c r="B180" i="10"/>
  <c r="I180" i="10"/>
  <c r="L180" i="10" s="1"/>
  <c r="M180" i="10" s="1"/>
  <c r="B90" i="10"/>
  <c r="I90" i="10"/>
  <c r="B72" i="10"/>
  <c r="I72" i="10"/>
  <c r="L72" i="10" s="1"/>
  <c r="M72" i="10" s="1"/>
  <c r="B54" i="10"/>
  <c r="I54" i="10"/>
  <c r="J54" i="10" s="1"/>
  <c r="B30" i="10"/>
  <c r="I30" i="10"/>
  <c r="L30" i="10" s="1"/>
  <c r="M30" i="10" s="1"/>
  <c r="B1429" i="10"/>
  <c r="I1429" i="10"/>
  <c r="J1429" i="10" s="1"/>
  <c r="I1386" i="10"/>
  <c r="J1386" i="10" s="1"/>
  <c r="I1068" i="10"/>
  <c r="J1068" i="10" s="1"/>
  <c r="I1008" i="10"/>
  <c r="L1008" i="10" s="1"/>
  <c r="M1008" i="10" s="1"/>
  <c r="I942" i="10"/>
  <c r="J942" i="10" s="1"/>
  <c r="I864" i="10"/>
  <c r="J864" i="10" s="1"/>
  <c r="I600" i="10"/>
  <c r="J600" i="10" s="1"/>
  <c r="I468" i="10"/>
  <c r="J468" i="10" s="1"/>
  <c r="I300" i="10"/>
  <c r="J300" i="10" s="1"/>
  <c r="I168" i="10"/>
  <c r="J168" i="10" s="1"/>
  <c r="G135" i="10"/>
  <c r="G314" i="10"/>
  <c r="G308" i="10"/>
  <c r="G206" i="10"/>
  <c r="I1302" i="10"/>
  <c r="I1248" i="10"/>
  <c r="J1248" i="10" s="1"/>
  <c r="I1184" i="10"/>
  <c r="J1184" i="10" s="1"/>
  <c r="I1092" i="10"/>
  <c r="J1092" i="10" s="1"/>
  <c r="I1070" i="10"/>
  <c r="J1070" i="10" s="1"/>
  <c r="I1038" i="10"/>
  <c r="J1038" i="10" s="1"/>
  <c r="I1218" i="10"/>
  <c r="J1218" i="10" s="1"/>
  <c r="I1178" i="10"/>
  <c r="I393" i="10"/>
  <c r="J393" i="10" s="1"/>
  <c r="G1268" i="10"/>
  <c r="G1262" i="10"/>
  <c r="G1256" i="10"/>
  <c r="G1250" i="10"/>
  <c r="G1244" i="10"/>
  <c r="G1238" i="10"/>
  <c r="G1232" i="10"/>
  <c r="G1226" i="10"/>
  <c r="G1220" i="10"/>
  <c r="G1214" i="10"/>
  <c r="G1208" i="10"/>
  <c r="G1202" i="10"/>
  <c r="G1196" i="10"/>
  <c r="G1190" i="10"/>
  <c r="G1184" i="10"/>
  <c r="G1178" i="10"/>
  <c r="G1172" i="10"/>
  <c r="G1166" i="10"/>
  <c r="G1160" i="10"/>
  <c r="G1154" i="10"/>
  <c r="G1148" i="10"/>
  <c r="G1142" i="10"/>
  <c r="G1136" i="10"/>
  <c r="G1130" i="10"/>
  <c r="G1124" i="10"/>
  <c r="G1118" i="10"/>
  <c r="G1112" i="10"/>
  <c r="G1106" i="10"/>
  <c r="G1100" i="10"/>
  <c r="G1094" i="10"/>
  <c r="G1088" i="10"/>
  <c r="G1082" i="10"/>
  <c r="G1076" i="10"/>
  <c r="G1070" i="10"/>
  <c r="G1064" i="10"/>
  <c r="G1058" i="10"/>
  <c r="G1052" i="10"/>
  <c r="G1046" i="10"/>
  <c r="G1040" i="10"/>
  <c r="G1034" i="10"/>
  <c r="G1028" i="10"/>
  <c r="G1022" i="10"/>
  <c r="G1016" i="10"/>
  <c r="G1010" i="10"/>
  <c r="G1004" i="10"/>
  <c r="G998" i="10"/>
  <c r="G992" i="10"/>
  <c r="G986" i="10"/>
  <c r="G980" i="10"/>
  <c r="G974" i="10"/>
  <c r="G968" i="10"/>
  <c r="G962" i="10"/>
  <c r="G956" i="10"/>
  <c r="G950" i="10"/>
  <c r="G944" i="10"/>
  <c r="G938" i="10"/>
  <c r="G932" i="10"/>
  <c r="G926" i="10"/>
  <c r="G920" i="10"/>
  <c r="G914" i="10"/>
  <c r="G908" i="10"/>
  <c r="G902" i="10"/>
  <c r="G896" i="10"/>
  <c r="G890" i="10"/>
  <c r="G884" i="10"/>
  <c r="G878" i="10"/>
  <c r="G872" i="10"/>
  <c r="G866" i="10"/>
  <c r="G860" i="10"/>
  <c r="G854" i="10"/>
  <c r="G848" i="10"/>
  <c r="G842" i="10"/>
  <c r="G836" i="10"/>
  <c r="G830" i="10"/>
  <c r="G824" i="10"/>
  <c r="G770" i="10"/>
  <c r="G764" i="10"/>
  <c r="G805" i="10"/>
  <c r="G799" i="10"/>
  <c r="G793" i="10"/>
  <c r="G787" i="10"/>
  <c r="G781" i="10"/>
  <c r="G775" i="10"/>
  <c r="G769" i="10"/>
  <c r="G763" i="10"/>
  <c r="G757" i="10"/>
  <c r="G1275" i="10"/>
  <c r="G2000" i="10"/>
  <c r="G1999" i="10"/>
  <c r="G1750" i="10"/>
  <c r="G1749" i="10"/>
  <c r="G1271" i="10"/>
  <c r="G1265" i="10"/>
  <c r="G1259" i="10"/>
  <c r="G1253" i="10"/>
  <c r="G1247" i="10"/>
  <c r="G1241" i="10"/>
  <c r="G1235" i="10"/>
  <c r="G1229" i="10"/>
  <c r="G1223" i="10"/>
  <c r="G1217" i="10"/>
  <c r="G1211" i="10"/>
  <c r="G1205" i="10"/>
  <c r="G1199" i="10"/>
  <c r="G1193" i="10"/>
  <c r="G1187" i="10"/>
  <c r="G1181" i="10"/>
  <c r="G1175" i="10"/>
  <c r="G1169" i="10"/>
  <c r="G1163" i="10"/>
  <c r="G1157" i="10"/>
  <c r="G1151" i="10"/>
  <c r="G1145" i="10"/>
  <c r="G1139" i="10"/>
  <c r="G1133" i="10"/>
  <c r="G1127" i="10"/>
  <c r="G1121" i="10"/>
  <c r="G1115" i="10"/>
  <c r="G1109" i="10"/>
  <c r="G1103" i="10"/>
  <c r="G1097" i="10"/>
  <c r="G1091" i="10"/>
  <c r="G1085" i="10"/>
  <c r="G1079" i="10"/>
  <c r="G1073" i="10"/>
  <c r="G1067" i="10"/>
  <c r="G1061" i="10"/>
  <c r="G1055" i="10"/>
  <c r="G1049" i="10"/>
  <c r="G1043" i="10"/>
  <c r="G1037" i="10"/>
  <c r="G1031" i="10"/>
  <c r="G1025" i="10"/>
  <c r="G1019" i="10"/>
  <c r="G1013" i="10"/>
  <c r="G1007" i="10"/>
  <c r="G1001" i="10"/>
  <c r="G995" i="10"/>
  <c r="G989" i="10"/>
  <c r="G983" i="10"/>
  <c r="G977" i="10"/>
  <c r="G971" i="10"/>
  <c r="G965" i="10"/>
  <c r="G959" i="10"/>
  <c r="G953" i="10"/>
  <c r="G947" i="10"/>
  <c r="G941" i="10"/>
  <c r="G935" i="10"/>
  <c r="G929" i="10"/>
  <c r="G923" i="10"/>
  <c r="G917" i="10"/>
  <c r="G911" i="10"/>
  <c r="G905" i="10"/>
  <c r="G899" i="10"/>
  <c r="G893" i="10"/>
  <c r="G887" i="10"/>
  <c r="G881" i="10"/>
  <c r="G875" i="10"/>
  <c r="G869" i="10"/>
  <c r="G863" i="10"/>
  <c r="G857" i="10"/>
  <c r="G851" i="10"/>
  <c r="G845" i="10"/>
  <c r="G839" i="10"/>
  <c r="G833" i="10"/>
  <c r="G827" i="10"/>
  <c r="G821" i="10"/>
  <c r="G815" i="10"/>
  <c r="G809" i="10"/>
  <c r="G803" i="10"/>
  <c r="G797" i="10"/>
  <c r="G791" i="10"/>
  <c r="G785" i="10"/>
  <c r="G779" i="10"/>
  <c r="G773" i="10"/>
  <c r="G767" i="10"/>
  <c r="G761" i="10"/>
  <c r="G755" i="10"/>
  <c r="G749" i="10"/>
  <c r="G743" i="10"/>
  <c r="G737" i="10"/>
  <c r="G731" i="10"/>
  <c r="G725" i="10"/>
  <c r="G719" i="10"/>
  <c r="G713" i="10"/>
  <c r="G707" i="10"/>
  <c r="G701" i="10"/>
  <c r="G695" i="10"/>
  <c r="G689" i="10"/>
  <c r="G683" i="10"/>
  <c r="G677" i="10"/>
  <c r="G671" i="10"/>
  <c r="G665" i="10"/>
  <c r="G659" i="10"/>
  <c r="G653" i="10"/>
  <c r="G647" i="10"/>
  <c r="G641" i="10"/>
  <c r="G635" i="10"/>
  <c r="G629" i="10"/>
  <c r="G623" i="10"/>
  <c r="G617" i="10"/>
  <c r="G611" i="10"/>
  <c r="G605" i="10"/>
  <c r="G599" i="10"/>
  <c r="G593" i="10"/>
  <c r="G587" i="10"/>
  <c r="G581" i="10"/>
  <c r="G575" i="10"/>
  <c r="G569" i="10"/>
  <c r="G563" i="10"/>
  <c r="G557" i="10"/>
  <c r="G551" i="10"/>
  <c r="G545" i="10"/>
  <c r="G539" i="10"/>
  <c r="G533" i="10"/>
  <c r="G527" i="10"/>
  <c r="G521" i="10"/>
  <c r="G515" i="10"/>
  <c r="G509" i="10"/>
  <c r="G503" i="10"/>
  <c r="G497" i="10"/>
  <c r="G491" i="10"/>
  <c r="G485" i="10"/>
  <c r="G479" i="10"/>
  <c r="G473" i="10"/>
  <c r="G467" i="10"/>
  <c r="G461" i="10"/>
  <c r="G455" i="10"/>
  <c r="G449" i="10"/>
  <c r="G443" i="10"/>
  <c r="G437" i="10"/>
  <c r="G431" i="10"/>
  <c r="G425" i="10"/>
  <c r="G419" i="10"/>
  <c r="G413" i="10"/>
  <c r="G407" i="10"/>
  <c r="G401" i="10"/>
  <c r="G395" i="10"/>
  <c r="G389" i="10"/>
  <c r="G383" i="10"/>
  <c r="G377" i="10"/>
  <c r="G371" i="10"/>
  <c r="G365" i="10"/>
  <c r="G359" i="10"/>
  <c r="G353" i="10"/>
  <c r="G347" i="10"/>
  <c r="G341" i="10"/>
  <c r="G335" i="10"/>
  <c r="G329" i="10"/>
  <c r="G323" i="10"/>
  <c r="G317" i="10"/>
  <c r="G311" i="10"/>
  <c r="G305" i="10"/>
  <c r="G299" i="10"/>
  <c r="G293" i="10"/>
  <c r="G287" i="10"/>
  <c r="G281" i="10"/>
  <c r="G171" i="10"/>
  <c r="G99" i="10"/>
  <c r="G63" i="10"/>
  <c r="G275" i="10"/>
  <c r="G269" i="10"/>
  <c r="G263" i="10"/>
  <c r="G257" i="10"/>
  <c r="G251" i="10"/>
  <c r="G245" i="10"/>
  <c r="G239" i="10"/>
  <c r="G233" i="10"/>
  <c r="G227" i="10"/>
  <c r="G221" i="10"/>
  <c r="G215" i="10"/>
  <c r="G209" i="10"/>
  <c r="G203" i="10"/>
  <c r="G197" i="10"/>
  <c r="G191" i="10"/>
  <c r="G185" i="10"/>
  <c r="G179" i="10"/>
  <c r="G173" i="10"/>
  <c r="G167" i="10"/>
  <c r="G161" i="10"/>
  <c r="G155" i="10"/>
  <c r="G149" i="10"/>
  <c r="G143" i="10"/>
  <c r="G137" i="10"/>
  <c r="G131" i="10"/>
  <c r="G125" i="10"/>
  <c r="G119" i="10"/>
  <c r="G113" i="10"/>
  <c r="G107" i="10"/>
  <c r="G101" i="10"/>
  <c r="G95" i="10"/>
  <c r="G89" i="10"/>
  <c r="G83" i="10"/>
  <c r="G77" i="10"/>
  <c r="G71" i="10"/>
  <c r="G65" i="10"/>
  <c r="G59" i="10"/>
  <c r="G53" i="10"/>
  <c r="G47" i="10"/>
  <c r="G41" i="10"/>
  <c r="G35" i="10"/>
  <c r="G29" i="10"/>
  <c r="G23" i="10"/>
  <c r="G17" i="10"/>
  <c r="G11" i="10"/>
  <c r="G5" i="10"/>
  <c r="G1497" i="10"/>
  <c r="G1491" i="10"/>
  <c r="G1485" i="10"/>
  <c r="G1479" i="10"/>
  <c r="G1473" i="10"/>
  <c r="G1467" i="10"/>
  <c r="G1461" i="10"/>
  <c r="G1455" i="10"/>
  <c r="G1449" i="10"/>
  <c r="G1443" i="10"/>
  <c r="G1437" i="10"/>
  <c r="G1431" i="10"/>
  <c r="G1425" i="10"/>
  <c r="G1419" i="10"/>
  <c r="G1413" i="10"/>
  <c r="G1407" i="10"/>
  <c r="G1401" i="10"/>
  <c r="G1395" i="10"/>
  <c r="G1389" i="10"/>
  <c r="G1383" i="10"/>
  <c r="G1377" i="10"/>
  <c r="G1371" i="10"/>
  <c r="G1365" i="10"/>
  <c r="G1359" i="10"/>
  <c r="G1353" i="10"/>
  <c r="G1347" i="10"/>
  <c r="G1341" i="10"/>
  <c r="G1335" i="10"/>
  <c r="G1329" i="10"/>
  <c r="G1323" i="10"/>
  <c r="G1317" i="10"/>
  <c r="G1311" i="10"/>
  <c r="G1305" i="10"/>
  <c r="G1299" i="10"/>
  <c r="G1293" i="10"/>
  <c r="G1287" i="10"/>
  <c r="G1281" i="10"/>
  <c r="G1466" i="10"/>
  <c r="G1460" i="10"/>
  <c r="G1454" i="10"/>
  <c r="G1448" i="10"/>
  <c r="G27" i="10"/>
  <c r="I1350" i="10"/>
  <c r="J1350" i="10" s="1"/>
  <c r="I1236" i="10"/>
  <c r="L1236" i="10" s="1"/>
  <c r="M1236" i="10" s="1"/>
  <c r="I1206" i="10"/>
  <c r="L1206" i="10" s="1"/>
  <c r="M1206" i="10" s="1"/>
  <c r="I1176" i="10"/>
  <c r="L1176" i="10" s="1"/>
  <c r="M1176" i="10" s="1"/>
  <c r="I1142" i="10"/>
  <c r="J1142" i="10" s="1"/>
  <c r="I1040" i="10"/>
  <c r="J1040" i="10" s="1"/>
  <c r="I1022" i="10"/>
  <c r="J1022" i="10" s="1"/>
  <c r="I705" i="10"/>
  <c r="J705" i="10" s="1"/>
  <c r="I195" i="10"/>
  <c r="L195" i="10" s="1"/>
  <c r="M195" i="10" s="1"/>
  <c r="I81" i="10"/>
  <c r="I1196" i="10"/>
  <c r="L1196" i="10" s="1"/>
  <c r="M1196" i="10" s="1"/>
  <c r="I1112" i="10"/>
  <c r="J1112" i="10" s="1"/>
  <c r="I1065" i="10"/>
  <c r="J1065" i="10" s="1"/>
  <c r="I753" i="10"/>
  <c r="J753" i="10" s="1"/>
  <c r="I729" i="10"/>
  <c r="J729" i="10" s="1"/>
  <c r="I219" i="10"/>
  <c r="J219" i="10" s="1"/>
  <c r="I1256" i="10"/>
  <c r="J1256" i="10" s="1"/>
  <c r="I1220" i="10"/>
  <c r="J1220" i="10" s="1"/>
  <c r="I1160" i="10"/>
  <c r="J1160" i="10" s="1"/>
  <c r="I1131" i="10"/>
  <c r="J1131" i="10" s="1"/>
  <c r="I1106" i="10"/>
  <c r="L1106" i="10" s="1"/>
  <c r="M1106" i="10" s="1"/>
  <c r="I1076" i="10"/>
  <c r="J1076" i="10" s="1"/>
  <c r="I1034" i="10"/>
  <c r="L1034" i="10" s="1"/>
  <c r="M1034" i="10" s="1"/>
  <c r="I243" i="10"/>
  <c r="J243" i="10" s="1"/>
  <c r="I369" i="10"/>
  <c r="L369" i="10" s="1"/>
  <c r="M369" i="10" s="1"/>
  <c r="G12" i="10"/>
  <c r="G1269" i="10"/>
  <c r="G1263" i="10"/>
  <c r="G1257" i="10"/>
  <c r="G1251" i="10"/>
  <c r="G1245" i="10"/>
  <c r="G1239" i="10"/>
  <c r="G1233" i="10"/>
  <c r="G1227" i="10"/>
  <c r="G1221" i="10"/>
  <c r="G1215" i="10"/>
  <c r="G1209" i="10"/>
  <c r="G1203" i="10"/>
  <c r="G1197" i="10"/>
  <c r="G1191" i="10"/>
  <c r="G1185" i="10"/>
  <c r="G1179" i="10"/>
  <c r="G1173" i="10"/>
  <c r="G1167" i="10"/>
  <c r="G1161" i="10"/>
  <c r="G1155" i="10"/>
  <c r="G1149" i="10"/>
  <c r="G1143" i="10"/>
  <c r="G1137" i="10"/>
  <c r="G1131" i="10"/>
  <c r="G1125" i="10"/>
  <c r="G1119" i="10"/>
  <c r="G1113" i="10"/>
  <c r="G1107" i="10"/>
  <c r="G1101" i="10"/>
  <c r="G1095" i="10"/>
  <c r="G1089" i="10"/>
  <c r="G1083" i="10"/>
  <c r="G1077" i="10"/>
  <c r="G1071" i="10"/>
  <c r="G1065" i="10"/>
  <c r="G1059" i="10"/>
  <c r="G1053" i="10"/>
  <c r="G1047" i="10"/>
  <c r="G1041" i="10"/>
  <c r="G1035" i="10"/>
  <c r="G1029" i="10"/>
  <c r="G1023" i="10"/>
  <c r="G1017" i="10"/>
  <c r="G1011" i="10"/>
  <c r="G1005" i="10"/>
  <c r="G999" i="10"/>
  <c r="G993" i="10"/>
  <c r="G987" i="10"/>
  <c r="G981" i="10"/>
  <c r="G975" i="10"/>
  <c r="G969" i="10"/>
  <c r="G963" i="10"/>
  <c r="G957" i="10"/>
  <c r="G951" i="10"/>
  <c r="G945" i="10"/>
  <c r="G939" i="10"/>
  <c r="G933" i="10"/>
  <c r="G927" i="10"/>
  <c r="G921" i="10"/>
  <c r="G915" i="10"/>
  <c r="G909" i="10"/>
  <c r="G903" i="10"/>
  <c r="G897" i="10"/>
  <c r="G891" i="10"/>
  <c r="G885" i="10"/>
  <c r="G879" i="10"/>
  <c r="G873" i="10"/>
  <c r="G867" i="10"/>
  <c r="G861" i="10"/>
  <c r="G855" i="10"/>
  <c r="G849" i="10"/>
  <c r="G843" i="10"/>
  <c r="G837" i="10"/>
  <c r="G831" i="10"/>
  <c r="G825" i="10"/>
  <c r="G819" i="10"/>
  <c r="G813" i="10"/>
  <c r="G807" i="10"/>
  <c r="G801" i="10"/>
  <c r="G795" i="10"/>
  <c r="G789" i="10"/>
  <c r="G783" i="10"/>
  <c r="G777" i="10"/>
  <c r="G771" i="10"/>
  <c r="G765" i="10"/>
  <c r="G759" i="10"/>
  <c r="G753" i="10"/>
  <c r="G747" i="10"/>
  <c r="G741" i="10"/>
  <c r="G735" i="10"/>
  <c r="G729" i="10"/>
  <c r="G723" i="10"/>
  <c r="G717" i="10"/>
  <c r="G711" i="10"/>
  <c r="G705" i="10"/>
  <c r="G699" i="10"/>
  <c r="G693" i="10"/>
  <c r="G687" i="10"/>
  <c r="G681" i="10"/>
  <c r="G675" i="10"/>
  <c r="G669" i="10"/>
  <c r="G663" i="10"/>
  <c r="G657" i="10"/>
  <c r="G651" i="10"/>
  <c r="G645" i="10"/>
  <c r="G615" i="10"/>
  <c r="G609" i="10"/>
  <c r="G603" i="10"/>
  <c r="G597" i="10"/>
  <c r="G591" i="10"/>
  <c r="G585" i="10"/>
  <c r="G579" i="10"/>
  <c r="G573" i="10"/>
  <c r="G567" i="10"/>
  <c r="G555" i="10"/>
  <c r="G549" i="10"/>
  <c r="G543" i="10"/>
  <c r="G537" i="10"/>
  <c r="G531" i="10"/>
  <c r="G525" i="10"/>
  <c r="G519" i="10"/>
  <c r="G513" i="10"/>
  <c r="G501" i="10"/>
  <c r="G495" i="10"/>
  <c r="G489" i="10"/>
  <c r="G483" i="10"/>
  <c r="G477" i="10"/>
  <c r="G357" i="10"/>
  <c r="G351" i="10"/>
  <c r="G345" i="10"/>
  <c r="G339" i="10"/>
  <c r="G333" i="10"/>
  <c r="G327" i="10"/>
  <c r="G321" i="10"/>
  <c r="G315" i="10"/>
  <c r="G309" i="10"/>
  <c r="G303" i="10"/>
  <c r="G297" i="10"/>
  <c r="G291" i="10"/>
  <c r="G285" i="10"/>
  <c r="G279" i="10"/>
  <c r="G1140" i="10"/>
  <c r="G882" i="10"/>
  <c r="G595" i="10"/>
  <c r="G273" i="10"/>
  <c r="G267" i="10"/>
  <c r="G261" i="10"/>
  <c r="G255" i="10"/>
  <c r="G249" i="10"/>
  <c r="G243" i="10"/>
  <c r="G237" i="10"/>
  <c r="G231" i="10"/>
  <c r="G225" i="10"/>
  <c r="G219" i="10"/>
  <c r="G213" i="10"/>
  <c r="G207" i="10"/>
  <c r="G201" i="10"/>
  <c r="G195" i="10"/>
  <c r="G189" i="10"/>
  <c r="G183" i="10"/>
  <c r="G177" i="10"/>
  <c r="G165" i="10"/>
  <c r="G159" i="10"/>
  <c r="G153" i="10"/>
  <c r="G147" i="10"/>
  <c r="G141" i="10"/>
  <c r="G129" i="10"/>
  <c r="G123" i="10"/>
  <c r="G117" i="10"/>
  <c r="G111" i="10"/>
  <c r="G105" i="10"/>
  <c r="G93" i="10"/>
  <c r="G87" i="10"/>
  <c r="G81" i="10"/>
  <c r="G75" i="10"/>
  <c r="G69" i="10"/>
  <c r="G57" i="10"/>
  <c r="G51" i="10"/>
  <c r="G45" i="10"/>
  <c r="G39" i="10"/>
  <c r="G33" i="10"/>
  <c r="G21" i="10"/>
  <c r="G15" i="10"/>
  <c r="G9" i="10"/>
  <c r="G3" i="10"/>
  <c r="G1495" i="10"/>
  <c r="G1489" i="10"/>
  <c r="G1483" i="10"/>
  <c r="G1477" i="10"/>
  <c r="G1471" i="10"/>
  <c r="G1465" i="10"/>
  <c r="G1459" i="10"/>
  <c r="G1453" i="10"/>
  <c r="G1447" i="10"/>
  <c r="G1441" i="10"/>
  <c r="G1435" i="10"/>
  <c r="G1429" i="10"/>
  <c r="G1423" i="10"/>
  <c r="G1417" i="10"/>
  <c r="G1411" i="10"/>
  <c r="G1405" i="10"/>
  <c r="G1399" i="10"/>
  <c r="G1393" i="10"/>
  <c r="G1387" i="10"/>
  <c r="G1381" i="10"/>
  <c r="G1369" i="10"/>
  <c r="G1363" i="10"/>
  <c r="G1357" i="10"/>
  <c r="G1351" i="10"/>
  <c r="G1345" i="10"/>
  <c r="G1339" i="10"/>
  <c r="G1333" i="10"/>
  <c r="G1327" i="10"/>
  <c r="G1321" i="10"/>
  <c r="G1315" i="10"/>
  <c r="G1309" i="10"/>
  <c r="G1303" i="10"/>
  <c r="G1297" i="10"/>
  <c r="G1291" i="10"/>
  <c r="G1285" i="10"/>
  <c r="G1279" i="10"/>
  <c r="G200" i="10"/>
  <c r="G194" i="10"/>
  <c r="G188" i="10"/>
  <c r="G182" i="10"/>
  <c r="G176" i="10"/>
  <c r="G170" i="10"/>
  <c r="G164" i="10"/>
  <c r="G158" i="10"/>
  <c r="G152" i="10"/>
  <c r="G146" i="10"/>
  <c r="G140" i="10"/>
  <c r="G134" i="10"/>
  <c r="G128" i="10"/>
  <c r="G122" i="10"/>
  <c r="G116" i="10"/>
  <c r="G110" i="10"/>
  <c r="G104" i="10"/>
  <c r="G98" i="10"/>
  <c r="G92" i="10"/>
  <c r="G86" i="10"/>
  <c r="G80" i="10"/>
  <c r="G74" i="10"/>
  <c r="G68" i="10"/>
  <c r="G62" i="10"/>
  <c r="G56" i="10"/>
  <c r="G50" i="10"/>
  <c r="G44" i="10"/>
  <c r="G187" i="10"/>
  <c r="G181" i="10"/>
  <c r="G175" i="10"/>
  <c r="G169" i="10"/>
  <c r="G157" i="10"/>
  <c r="G151" i="10"/>
  <c r="G145" i="10"/>
  <c r="G139" i="10"/>
  <c r="G133" i="10"/>
  <c r="G121" i="10"/>
  <c r="G115" i="10"/>
  <c r="G109" i="10"/>
  <c r="G103" i="10"/>
  <c r="G97" i="10"/>
  <c r="G85" i="10"/>
  <c r="G79" i="10"/>
  <c r="G73" i="10"/>
  <c r="G67" i="10"/>
  <c r="G61" i="10"/>
  <c r="G49" i="10"/>
  <c r="G43" i="10"/>
  <c r="G37" i="10"/>
  <c r="G31" i="10"/>
  <c r="G25" i="10"/>
  <c r="G13" i="10"/>
  <c r="G7" i="10"/>
  <c r="G1499" i="10"/>
  <c r="G1493" i="10"/>
  <c r="G1487" i="10"/>
  <c r="G1481" i="10"/>
  <c r="G1475" i="10"/>
  <c r="G1469" i="10"/>
  <c r="G1463" i="10"/>
  <c r="G1457" i="10"/>
  <c r="G1451" i="10"/>
  <c r="G1445" i="10"/>
  <c r="G1439" i="10"/>
  <c r="G1433" i="10"/>
  <c r="G1427" i="10"/>
  <c r="G1421" i="10"/>
  <c r="G1415" i="10"/>
  <c r="G1409" i="10"/>
  <c r="G1403" i="10"/>
  <c r="I1268" i="10"/>
  <c r="J1268" i="10" s="1"/>
  <c r="I1232" i="10"/>
  <c r="L1232" i="10" s="1"/>
  <c r="M1232" i="10" s="1"/>
  <c r="G1105" i="10"/>
  <c r="G1099" i="10"/>
  <c r="G1093" i="10"/>
  <c r="G1087" i="10"/>
  <c r="G1081" i="10"/>
  <c r="G1075" i="10"/>
  <c r="G1069" i="10"/>
  <c r="G1063" i="10"/>
  <c r="G1057" i="10"/>
  <c r="G1051" i="10"/>
  <c r="G1045" i="10"/>
  <c r="G1039" i="10"/>
  <c r="G1033" i="10"/>
  <c r="G745" i="10"/>
  <c r="G715" i="10"/>
  <c r="G679" i="10"/>
  <c r="G156" i="10"/>
  <c r="G1272" i="10"/>
  <c r="G1266" i="10"/>
  <c r="G1260" i="10"/>
  <c r="G1254" i="10"/>
  <c r="G1248" i="10"/>
  <c r="G1242" i="10"/>
  <c r="G1236" i="10"/>
  <c r="G1230" i="10"/>
  <c r="G1224" i="10"/>
  <c r="G1218" i="10"/>
  <c r="G1212" i="10"/>
  <c r="G1206" i="10"/>
  <c r="G1200" i="10"/>
  <c r="G1194" i="10"/>
  <c r="G1188" i="10"/>
  <c r="G1182" i="10"/>
  <c r="G1176" i="10"/>
  <c r="G1170" i="10"/>
  <c r="G1164" i="10"/>
  <c r="G1158" i="10"/>
  <c r="G1152" i="10"/>
  <c r="G1146" i="10"/>
  <c r="G1134" i="10"/>
  <c r="G1128" i="10"/>
  <c r="G1122" i="10"/>
  <c r="G1116" i="10"/>
  <c r="G1110" i="10"/>
  <c r="G1104" i="10"/>
  <c r="G1098" i="10"/>
  <c r="G1092" i="10"/>
  <c r="G1086" i="10"/>
  <c r="G1080" i="10"/>
  <c r="G1074" i="10"/>
  <c r="G1068" i="10"/>
  <c r="G1062" i="10"/>
  <c r="G1056" i="10"/>
  <c r="G1050" i="10"/>
  <c r="G1044" i="10"/>
  <c r="G1038" i="10"/>
  <c r="G1032" i="10"/>
  <c r="G1026" i="10"/>
  <c r="G1020" i="10"/>
  <c r="G1014" i="10"/>
  <c r="G1008" i="10"/>
  <c r="G1002" i="10"/>
  <c r="G996" i="10"/>
  <c r="G990" i="10"/>
  <c r="G984" i="10"/>
  <c r="G978" i="10"/>
  <c r="G972" i="10"/>
  <c r="G966" i="10"/>
  <c r="G960" i="10"/>
  <c r="G954" i="10"/>
  <c r="G948" i="10"/>
  <c r="G942" i="10"/>
  <c r="G936" i="10"/>
  <c r="G930" i="10"/>
  <c r="G924" i="10"/>
  <c r="G918" i="10"/>
  <c r="G912" i="10"/>
  <c r="G906" i="10"/>
  <c r="G900" i="10"/>
  <c r="G894" i="10"/>
  <c r="G888" i="10"/>
  <c r="G876" i="10"/>
  <c r="G870" i="10"/>
  <c r="G864" i="10"/>
  <c r="G858" i="10"/>
  <c r="G852" i="10"/>
  <c r="G846" i="10"/>
  <c r="G840" i="10"/>
  <c r="G834" i="10"/>
  <c r="G828" i="10"/>
  <c r="G822" i="10"/>
  <c r="G816" i="10"/>
  <c r="G810" i="10"/>
  <c r="G804" i="10"/>
  <c r="G798" i="10"/>
  <c r="G792" i="10"/>
  <c r="G786" i="10"/>
  <c r="G780" i="10"/>
  <c r="G774" i="10"/>
  <c r="G768" i="10"/>
  <c r="G762" i="10"/>
  <c r="G756" i="10"/>
  <c r="G750" i="10"/>
  <c r="G744" i="10"/>
  <c r="G738" i="10"/>
  <c r="G732" i="10"/>
  <c r="G726" i="10"/>
  <c r="G720" i="10"/>
  <c r="G714" i="10"/>
  <c r="G708" i="10"/>
  <c r="G702" i="10"/>
  <c r="G696" i="10"/>
  <c r="G690" i="10"/>
  <c r="G684" i="10"/>
  <c r="G678" i="10"/>
  <c r="G672" i="10"/>
  <c r="G666" i="10"/>
  <c r="G660" i="10"/>
  <c r="G654" i="10"/>
  <c r="G648" i="10"/>
  <c r="G642" i="10"/>
  <c r="G636" i="10"/>
  <c r="G630" i="10"/>
  <c r="G624" i="10"/>
  <c r="G618" i="10"/>
  <c r="G612" i="10"/>
  <c r="G606" i="10"/>
  <c r="G600" i="10"/>
  <c r="G594" i="10"/>
  <c r="G186" i="10"/>
  <c r="G180" i="10"/>
  <c r="G174" i="10"/>
  <c r="G168" i="10"/>
  <c r="G162" i="10"/>
  <c r="G150" i="10"/>
  <c r="G144" i="10"/>
  <c r="G138" i="10"/>
  <c r="G132" i="10"/>
  <c r="G126" i="10"/>
  <c r="G114" i="10"/>
  <c r="G108" i="10"/>
  <c r="G102" i="10"/>
  <c r="G96" i="10"/>
  <c r="G90" i="10"/>
  <c r="G78" i="10"/>
  <c r="G72" i="10"/>
  <c r="G66" i="10"/>
  <c r="G60" i="10"/>
  <c r="G54" i="10"/>
  <c r="G42" i="10"/>
  <c r="G36" i="10"/>
  <c r="G30" i="10"/>
  <c r="G24" i="10"/>
  <c r="G18" i="10"/>
  <c r="G6" i="10"/>
  <c r="G120" i="10"/>
  <c r="G631" i="10"/>
  <c r="G84" i="10"/>
  <c r="G667" i="10"/>
  <c r="G1270" i="10"/>
  <c r="G1264" i="10"/>
  <c r="G1258" i="10"/>
  <c r="G1252" i="10"/>
  <c r="G1246" i="10"/>
  <c r="G1240" i="10"/>
  <c r="G1234" i="10"/>
  <c r="G1228" i="10"/>
  <c r="G1222" i="10"/>
  <c r="G1216" i="10"/>
  <c r="G1210" i="10"/>
  <c r="G1204" i="10"/>
  <c r="G1198" i="10"/>
  <c r="G1192" i="10"/>
  <c r="G1186" i="10"/>
  <c r="G1180" i="10"/>
  <c r="G1174" i="10"/>
  <c r="G1168" i="10"/>
  <c r="G1162" i="10"/>
  <c r="G1156" i="10"/>
  <c r="G1150" i="10"/>
  <c r="G1144" i="10"/>
  <c r="G1138" i="10"/>
  <c r="G1132" i="10"/>
  <c r="G1126" i="10"/>
  <c r="G1120" i="10"/>
  <c r="G1114" i="10"/>
  <c r="G1108" i="10"/>
  <c r="G1102" i="10"/>
  <c r="G1096" i="10"/>
  <c r="G1090" i="10"/>
  <c r="G1084" i="10"/>
  <c r="G1078" i="10"/>
  <c r="G1072" i="10"/>
  <c r="G1066" i="10"/>
  <c r="G1060" i="10"/>
  <c r="G1054" i="10"/>
  <c r="G1048" i="10"/>
  <c r="G1042" i="10"/>
  <c r="G1036" i="10"/>
  <c r="G1030" i="10"/>
  <c r="G1024" i="10"/>
  <c r="G1018" i="10"/>
  <c r="G1012" i="10"/>
  <c r="G1006" i="10"/>
  <c r="G1000" i="10"/>
  <c r="G994" i="10"/>
  <c r="G988" i="10"/>
  <c r="G982" i="10"/>
  <c r="G976" i="10"/>
  <c r="G970" i="10"/>
  <c r="G964" i="10"/>
  <c r="G958" i="10"/>
  <c r="G952" i="10"/>
  <c r="G946" i="10"/>
  <c r="G940" i="10"/>
  <c r="G934" i="10"/>
  <c r="G928" i="10"/>
  <c r="G922" i="10"/>
  <c r="G916" i="10"/>
  <c r="G910" i="10"/>
  <c r="G904" i="10"/>
  <c r="G898" i="10"/>
  <c r="G892" i="10"/>
  <c r="G886" i="10"/>
  <c r="G880" i="10"/>
  <c r="G874" i="10"/>
  <c r="G868" i="10"/>
  <c r="G862" i="10"/>
  <c r="G856" i="10"/>
  <c r="G850" i="10"/>
  <c r="G844" i="10"/>
  <c r="G838" i="10"/>
  <c r="G832" i="10"/>
  <c r="G826" i="10"/>
  <c r="G820" i="10"/>
  <c r="G814" i="10"/>
  <c r="G808" i="10"/>
  <c r="G802" i="10"/>
  <c r="G796" i="10"/>
  <c r="G790" i="10"/>
  <c r="G784" i="10"/>
  <c r="G778" i="10"/>
  <c r="G772" i="10"/>
  <c r="G766" i="10"/>
  <c r="G760" i="10"/>
  <c r="G754" i="10"/>
  <c r="G748" i="10"/>
  <c r="G742" i="10"/>
  <c r="G736" i="10"/>
  <c r="G730" i="10"/>
  <c r="G724" i="10"/>
  <c r="G718" i="10"/>
  <c r="G712" i="10"/>
  <c r="G706" i="10"/>
  <c r="G700" i="10"/>
  <c r="G694" i="10"/>
  <c r="G688" i="10"/>
  <c r="G682" i="10"/>
  <c r="G48" i="10"/>
  <c r="G676" i="10"/>
  <c r="G670" i="10"/>
  <c r="G664" i="10"/>
  <c r="G658" i="10"/>
  <c r="G652" i="10"/>
  <c r="G478" i="10"/>
  <c r="G472" i="10"/>
  <c r="G442" i="10"/>
  <c r="G424" i="10"/>
  <c r="G1430" i="10"/>
  <c r="G1406" i="10"/>
  <c r="G1514" i="10"/>
  <c r="G1511" i="10"/>
  <c r="G1508" i="10"/>
  <c r="G1505" i="10"/>
  <c r="G1502" i="10"/>
  <c r="G639" i="10"/>
  <c r="G633" i="10"/>
  <c r="G627" i="10"/>
  <c r="G621" i="10"/>
  <c r="G561" i="10"/>
  <c r="G507" i="10"/>
  <c r="G471" i="10"/>
  <c r="G465" i="10"/>
  <c r="G459" i="10"/>
  <c r="G453" i="10"/>
  <c r="G447" i="10"/>
  <c r="G441" i="10"/>
  <c r="G435" i="10"/>
  <c r="G429" i="10"/>
  <c r="G423" i="10"/>
  <c r="G417" i="10"/>
  <c r="G411" i="10"/>
  <c r="G405" i="10"/>
  <c r="G399" i="10"/>
  <c r="G393" i="10"/>
  <c r="G387" i="10"/>
  <c r="G381" i="10"/>
  <c r="G375" i="10"/>
  <c r="G369" i="10"/>
  <c r="G363" i="10"/>
  <c r="G1375" i="10"/>
  <c r="G1273" i="10"/>
  <c r="G1519" i="10"/>
  <c r="G1518" i="10"/>
  <c r="G608" i="10"/>
  <c r="G2" i="10"/>
  <c r="G1494" i="10"/>
  <c r="G1488" i="10"/>
  <c r="G1482" i="10"/>
  <c r="G1476" i="10"/>
  <c r="G1470" i="10"/>
  <c r="G1458" i="10"/>
  <c r="G1452" i="10"/>
  <c r="G1446" i="10"/>
  <c r="G1440" i="10"/>
  <c r="G1434" i="10"/>
  <c r="G1428" i="10"/>
  <c r="G1422" i="10"/>
  <c r="G1416" i="10"/>
  <c r="G1410" i="10"/>
  <c r="G1404" i="10"/>
  <c r="G1398" i="10"/>
  <c r="G1362" i="10"/>
  <c r="G1344" i="10"/>
  <c r="G1326" i="10"/>
  <c r="G1278" i="10"/>
  <c r="G1500" i="10"/>
  <c r="G1397" i="10"/>
  <c r="G1391" i="10"/>
  <c r="G1385" i="10"/>
  <c r="G1379" i="10"/>
  <c r="G1373" i="10"/>
  <c r="G1367" i="10"/>
  <c r="G1361" i="10"/>
  <c r="G1355" i="10"/>
  <c r="G1349" i="10"/>
  <c r="G1343" i="10"/>
  <c r="G1337" i="10"/>
  <c r="G1331" i="10"/>
  <c r="G1325" i="10"/>
  <c r="G1319" i="10"/>
  <c r="G1313" i="10"/>
  <c r="G1307" i="10"/>
  <c r="G1301" i="10"/>
  <c r="G1295" i="10"/>
  <c r="G1289" i="10"/>
  <c r="G1283" i="10"/>
  <c r="G1277" i="10"/>
  <c r="G588" i="10"/>
  <c r="G582" i="10"/>
  <c r="G576" i="10"/>
  <c r="G570" i="10"/>
  <c r="G564" i="10"/>
  <c r="G558" i="10"/>
  <c r="G552" i="10"/>
  <c r="G546" i="10"/>
  <c r="G540" i="10"/>
  <c r="G534" i="10"/>
  <c r="G528" i="10"/>
  <c r="G522" i="10"/>
  <c r="G516" i="10"/>
  <c r="G510" i="10"/>
  <c r="G504" i="10"/>
  <c r="G498" i="10"/>
  <c r="G492" i="10"/>
  <c r="G486" i="10"/>
  <c r="G480" i="10"/>
  <c r="G474" i="10"/>
  <c r="G468" i="10"/>
  <c r="G462" i="10"/>
  <c r="G456" i="10"/>
  <c r="G450" i="10"/>
  <c r="G444" i="10"/>
  <c r="G438" i="10"/>
  <c r="G432" i="10"/>
  <c r="G426" i="10"/>
  <c r="G420" i="10"/>
  <c r="G414" i="10"/>
  <c r="G408" i="10"/>
  <c r="G402" i="10"/>
  <c r="G396" i="10"/>
  <c r="G390" i="10"/>
  <c r="G384" i="10"/>
  <c r="G378" i="10"/>
  <c r="G372" i="10"/>
  <c r="G366" i="10"/>
  <c r="G360" i="10"/>
  <c r="G354" i="10"/>
  <c r="G348" i="10"/>
  <c r="G342" i="10"/>
  <c r="G336" i="10"/>
  <c r="G330" i="10"/>
  <c r="G324" i="10"/>
  <c r="G318" i="10"/>
  <c r="G312" i="10"/>
  <c r="G306" i="10"/>
  <c r="G300" i="10"/>
  <c r="G294" i="10"/>
  <c r="G288" i="10"/>
  <c r="G282" i="10"/>
  <c r="G276" i="10"/>
  <c r="G270" i="10"/>
  <c r="G264" i="10"/>
  <c r="G258" i="10"/>
  <c r="G252" i="10"/>
  <c r="G246" i="10"/>
  <c r="G240" i="10"/>
  <c r="G234" i="10"/>
  <c r="G228" i="10"/>
  <c r="G222" i="10"/>
  <c r="G216" i="10"/>
  <c r="G210" i="10"/>
  <c r="G204" i="10"/>
  <c r="G198" i="10"/>
  <c r="G192" i="10"/>
  <c r="G1498" i="10"/>
  <c r="G1492" i="10"/>
  <c r="G1486" i="10"/>
  <c r="G1480" i="10"/>
  <c r="G1474" i="10"/>
  <c r="G1468" i="10"/>
  <c r="G1462" i="10"/>
  <c r="G1456" i="10"/>
  <c r="G1450" i="10"/>
  <c r="G1444" i="10"/>
  <c r="G1438" i="10"/>
  <c r="G1432" i="10"/>
  <c r="G1426" i="10"/>
  <c r="G1420" i="10"/>
  <c r="G1414" i="10"/>
  <c r="G1408" i="10"/>
  <c r="G1402" i="10"/>
  <c r="G1396" i="10"/>
  <c r="G1390" i="10"/>
  <c r="G1384" i="10"/>
  <c r="G1378" i="10"/>
  <c r="G1372" i="10"/>
  <c r="G1366" i="10"/>
  <c r="G1360" i="10"/>
  <c r="G1354" i="10"/>
  <c r="G1348" i="10"/>
  <c r="G1342" i="10"/>
  <c r="G1336" i="10"/>
  <c r="G1330" i="10"/>
  <c r="G1324" i="10"/>
  <c r="G1318" i="10"/>
  <c r="G1312" i="10"/>
  <c r="G1306" i="10"/>
  <c r="G1300" i="10"/>
  <c r="G1294" i="10"/>
  <c r="G1288" i="10"/>
  <c r="G1282" i="10"/>
  <c r="G1276" i="10"/>
  <c r="G1516" i="10"/>
  <c r="G1513" i="10"/>
  <c r="G1510" i="10"/>
  <c r="G1507" i="10"/>
  <c r="G1504" i="10"/>
  <c r="G1501" i="10"/>
  <c r="I1450" i="10"/>
  <c r="J1450" i="10" s="1"/>
  <c r="I639" i="10"/>
  <c r="J639" i="10" s="1"/>
  <c r="I615" i="10"/>
  <c r="L615" i="10" s="1"/>
  <c r="M615" i="10" s="1"/>
  <c r="I591" i="10"/>
  <c r="J591" i="10" s="1"/>
  <c r="I57" i="10"/>
  <c r="J57" i="10" s="1"/>
  <c r="B1513" i="10"/>
  <c r="I1407" i="10"/>
  <c r="J1407" i="10" s="1"/>
  <c r="I1287" i="10"/>
  <c r="J1287" i="10" s="1"/>
  <c r="I963" i="10"/>
  <c r="J963" i="10" s="1"/>
  <c r="I939" i="10"/>
  <c r="L939" i="10" s="1"/>
  <c r="M939" i="10" s="1"/>
  <c r="I765" i="10"/>
  <c r="L765" i="10" s="1"/>
  <c r="M765" i="10" s="1"/>
  <c r="I567" i="10"/>
  <c r="J567" i="10" s="1"/>
  <c r="I405" i="10"/>
  <c r="L405" i="10" s="1"/>
  <c r="M405" i="10" s="1"/>
  <c r="I1089" i="10"/>
  <c r="J1089" i="10" s="1"/>
  <c r="I717" i="10"/>
  <c r="J717" i="10" s="1"/>
  <c r="I381" i="10"/>
  <c r="J381" i="10" s="1"/>
  <c r="I357" i="10"/>
  <c r="J357" i="10" s="1"/>
  <c r="I231" i="10"/>
  <c r="I207" i="10"/>
  <c r="J207" i="10" s="1"/>
  <c r="I975" i="10"/>
  <c r="J975" i="10" s="1"/>
  <c r="I627" i="10"/>
  <c r="J627" i="10" s="1"/>
  <c r="I603" i="10"/>
  <c r="J603" i="10" s="1"/>
  <c r="I69" i="10"/>
  <c r="J69" i="10" s="1"/>
  <c r="I1468" i="10"/>
  <c r="L1468" i="10" s="1"/>
  <c r="M1468" i="10" s="1"/>
  <c r="I951" i="10"/>
  <c r="J951" i="10" s="1"/>
  <c r="I777" i="10"/>
  <c r="L777" i="10" s="1"/>
  <c r="M777" i="10" s="1"/>
  <c r="I579" i="10"/>
  <c r="L579" i="10" s="1"/>
  <c r="M579" i="10" s="1"/>
  <c r="I1518" i="10"/>
  <c r="J1518" i="10" s="1"/>
  <c r="I556" i="10"/>
  <c r="J556" i="10" s="1"/>
  <c r="I268" i="10"/>
  <c r="J268" i="10" s="1"/>
  <c r="B1847" i="10"/>
  <c r="I1847" i="10"/>
  <c r="J1847" i="10" s="1"/>
  <c r="B1526" i="10"/>
  <c r="I1526" i="10"/>
  <c r="J1526" i="10" s="1"/>
  <c r="B1569" i="10"/>
  <c r="I1569" i="10"/>
  <c r="J1569" i="10" s="1"/>
  <c r="B1970" i="10"/>
  <c r="I1970" i="10"/>
  <c r="L1970" i="10" s="1"/>
  <c r="M1970" i="10" s="1"/>
  <c r="B1925" i="10"/>
  <c r="I1925" i="10"/>
  <c r="J1925" i="10" s="1"/>
  <c r="B1628" i="10"/>
  <c r="I1628" i="10"/>
  <c r="J1628" i="10" s="1"/>
  <c r="I1969" i="10"/>
  <c r="I1962" i="10"/>
  <c r="I1748" i="10"/>
  <c r="I1696" i="10"/>
  <c r="J1696" i="10" s="1"/>
  <c r="I1942" i="10"/>
  <c r="I1684" i="10"/>
  <c r="J1684" i="10" s="1"/>
  <c r="I1668" i="10"/>
  <c r="J1668" i="10" s="1"/>
  <c r="I1658" i="10"/>
  <c r="J1658" i="10" s="1"/>
  <c r="I1880" i="10"/>
  <c r="I1835" i="10"/>
  <c r="J1835" i="10" s="1"/>
  <c r="I1831" i="10"/>
  <c r="I1808" i="10"/>
  <c r="I1726" i="10"/>
  <c r="J1726" i="10" s="1"/>
  <c r="I1704" i="10"/>
  <c r="J1704" i="10" s="1"/>
  <c r="I1589" i="10"/>
  <c r="J1589" i="10" s="1"/>
  <c r="I1501" i="10"/>
  <c r="J1501" i="10" s="1"/>
  <c r="B1983" i="10"/>
  <c r="I1983" i="10"/>
  <c r="J1983" i="10" s="1"/>
  <c r="B1814" i="10"/>
  <c r="I1814" i="10"/>
  <c r="I928" i="10"/>
  <c r="J928" i="10" s="1"/>
  <c r="I844" i="10"/>
  <c r="J844" i="10" s="1"/>
  <c r="I784" i="10"/>
  <c r="J784" i="10" s="1"/>
  <c r="B1777" i="10"/>
  <c r="I1777" i="10"/>
  <c r="B1740" i="10"/>
  <c r="I1740" i="10"/>
  <c r="J1740" i="10" s="1"/>
  <c r="B1694" i="10"/>
  <c r="I1694" i="10"/>
  <c r="J1694" i="10" s="1"/>
  <c r="B1841" i="10"/>
  <c r="I1841" i="10"/>
  <c r="J1841" i="10" s="1"/>
  <c r="I700" i="10"/>
  <c r="J700" i="10" s="1"/>
  <c r="I640" i="10"/>
  <c r="L640" i="10" s="1"/>
  <c r="M640" i="10" s="1"/>
  <c r="I1384" i="10"/>
  <c r="J1384" i="10" s="1"/>
  <c r="I1304" i="10"/>
  <c r="J1304" i="10" s="1"/>
  <c r="I1286" i="10"/>
  <c r="J1286" i="10" s="1"/>
  <c r="I988" i="10"/>
  <c r="L988" i="10" s="1"/>
  <c r="M988" i="10" s="1"/>
  <c r="I352" i="10"/>
  <c r="L352" i="10" s="1"/>
  <c r="M352" i="10" s="1"/>
  <c r="I52" i="10"/>
  <c r="J52" i="10" s="1"/>
  <c r="B1894" i="10"/>
  <c r="I1894" i="10"/>
  <c r="B1679" i="10"/>
  <c r="I1679" i="10"/>
  <c r="J1679" i="10" s="1"/>
  <c r="B1577" i="10"/>
  <c r="I1577" i="10"/>
  <c r="J1577" i="10" s="1"/>
  <c r="I412" i="10"/>
  <c r="J412" i="10" s="1"/>
  <c r="B1934" i="10"/>
  <c r="I1934" i="10"/>
  <c r="I496" i="10"/>
  <c r="L496" i="10" s="1"/>
  <c r="M496" i="10" s="1"/>
  <c r="B1715" i="10"/>
  <c r="I1715" i="10"/>
  <c r="L1715" i="10" s="1"/>
  <c r="M1715" i="10" s="1"/>
  <c r="B1683" i="10"/>
  <c r="I1683" i="10"/>
  <c r="J1683" i="10" s="1"/>
  <c r="I1979" i="10"/>
  <c r="I1859" i="10"/>
  <c r="J1859" i="10" s="1"/>
  <c r="I1840" i="10"/>
  <c r="J1840" i="10" s="1"/>
  <c r="I1836" i="10"/>
  <c r="L1836" i="10" s="1"/>
  <c r="M1836" i="10" s="1"/>
  <c r="I1802" i="10"/>
  <c r="I1791" i="10"/>
  <c r="J1791" i="10" s="1"/>
  <c r="I1773" i="10"/>
  <c r="J1773" i="10" s="1"/>
  <c r="I1736" i="10"/>
  <c r="L1736" i="10" s="1"/>
  <c r="M1736" i="10" s="1"/>
  <c r="I1705" i="10"/>
  <c r="J1705" i="10" s="1"/>
  <c r="I1693" i="10"/>
  <c r="J1693" i="10" s="1"/>
  <c r="I1678" i="10"/>
  <c r="J1678" i="10" s="1"/>
  <c r="I1663" i="10"/>
  <c r="J1663" i="10" s="1"/>
  <c r="I1618" i="10"/>
  <c r="L1618" i="10" s="1"/>
  <c r="M1618" i="10" s="1"/>
  <c r="I1596" i="10"/>
  <c r="J1596" i="10" s="1"/>
  <c r="I1550" i="10"/>
  <c r="J1550" i="10" s="1"/>
  <c r="I1530" i="10"/>
  <c r="J1530" i="10" s="1"/>
  <c r="B1520" i="10"/>
  <c r="I1520" i="10"/>
  <c r="J1520" i="10" s="1"/>
  <c r="I1502" i="10"/>
  <c r="J1502" i="10" s="1"/>
  <c r="I1524" i="10"/>
  <c r="L1524" i="10" s="1"/>
  <c r="M1524" i="10" s="1"/>
  <c r="I1900" i="10"/>
  <c r="I1885" i="10"/>
  <c r="J1885" i="10" s="1"/>
  <c r="I1884" i="10"/>
  <c r="I1620" i="10"/>
  <c r="J1620" i="10" s="1"/>
  <c r="I1599" i="10"/>
  <c r="J1599" i="10" s="1"/>
  <c r="I1564" i="10"/>
  <c r="J1564" i="10" s="1"/>
  <c r="I1535" i="10"/>
  <c r="J1535" i="10" s="1"/>
  <c r="I1974" i="10"/>
  <c r="I1963" i="10"/>
  <c r="I1948" i="10"/>
  <c r="J1948" i="10" s="1"/>
  <c r="I1915" i="10"/>
  <c r="I1914" i="10"/>
  <c r="I1889" i="10"/>
  <c r="J1889" i="10" s="1"/>
  <c r="I1857" i="10"/>
  <c r="I1856" i="10"/>
  <c r="I1846" i="10"/>
  <c r="I1805" i="10"/>
  <c r="J1805" i="10" s="1"/>
  <c r="I1786" i="10"/>
  <c r="I1768" i="10"/>
  <c r="I1703" i="10"/>
  <c r="J1703" i="10" s="1"/>
  <c r="I1681" i="10"/>
  <c r="J1681" i="10" s="1"/>
  <c r="I1669" i="10"/>
  <c r="L1669" i="10" s="1"/>
  <c r="M1669" i="10" s="1"/>
  <c r="I1647" i="10"/>
  <c r="J1647" i="10" s="1"/>
  <c r="I1643" i="10"/>
  <c r="J1643" i="10" s="1"/>
  <c r="I1627" i="10"/>
  <c r="I1601" i="10"/>
  <c r="J1601" i="10" s="1"/>
  <c r="I1600" i="10"/>
  <c r="J1600" i="10" s="1"/>
  <c r="I1575" i="10"/>
  <c r="L1575" i="10" s="1"/>
  <c r="M1575" i="10" s="1"/>
  <c r="I1536" i="10"/>
  <c r="J1536" i="10" s="1"/>
  <c r="B1237" i="10"/>
  <c r="I1237" i="10"/>
  <c r="J1237" i="10" s="1"/>
  <c r="B1165" i="10"/>
  <c r="I1165" i="10"/>
  <c r="L1165" i="10" s="1"/>
  <c r="M1165" i="10" s="1"/>
  <c r="B1105" i="10"/>
  <c r="I1105" i="10"/>
  <c r="J1105" i="10" s="1"/>
  <c r="B1087" i="10"/>
  <c r="I1087" i="10"/>
  <c r="J1087" i="10" s="1"/>
  <c r="B955" i="10"/>
  <c r="I955" i="10"/>
  <c r="J955" i="10" s="1"/>
  <c r="B931" i="10"/>
  <c r="I931" i="10"/>
  <c r="J931" i="10" s="1"/>
  <c r="B841" i="10"/>
  <c r="I841" i="10"/>
  <c r="J841" i="10" s="1"/>
  <c r="B781" i="10"/>
  <c r="I781" i="10"/>
  <c r="J781" i="10" s="1"/>
  <c r="B757" i="10"/>
  <c r="I757" i="10"/>
  <c r="L757" i="10" s="1"/>
  <c r="M757" i="10" s="1"/>
  <c r="B727" i="10"/>
  <c r="I727" i="10"/>
  <c r="L727" i="10" s="1"/>
  <c r="M727" i="10" s="1"/>
  <c r="B709" i="10"/>
  <c r="I709" i="10"/>
  <c r="J709" i="10" s="1"/>
  <c r="B685" i="10"/>
  <c r="I685" i="10"/>
  <c r="J685" i="10" s="1"/>
  <c r="B661" i="10"/>
  <c r="I661" i="10"/>
  <c r="J661" i="10" s="1"/>
  <c r="B631" i="10"/>
  <c r="I631" i="10"/>
  <c r="J631" i="10" s="1"/>
  <c r="B595" i="10"/>
  <c r="I595" i="10"/>
  <c r="L595" i="10" s="1"/>
  <c r="M595" i="10" s="1"/>
  <c r="B559" i="10"/>
  <c r="I559" i="10"/>
  <c r="J559" i="10" s="1"/>
  <c r="B535" i="10"/>
  <c r="I535" i="10"/>
  <c r="J535" i="10" s="1"/>
  <c r="B505" i="10"/>
  <c r="I505" i="10"/>
  <c r="J505" i="10" s="1"/>
  <c r="B481" i="10"/>
  <c r="I481" i="10"/>
  <c r="J481" i="10" s="1"/>
  <c r="B457" i="10"/>
  <c r="I457" i="10"/>
  <c r="L457" i="10" s="1"/>
  <c r="M457" i="10" s="1"/>
  <c r="B439" i="10"/>
  <c r="I439" i="10"/>
  <c r="J439" i="10" s="1"/>
  <c r="B385" i="10"/>
  <c r="I385" i="10"/>
  <c r="J385" i="10" s="1"/>
  <c r="B361" i="10"/>
  <c r="I361" i="10"/>
  <c r="J361" i="10" s="1"/>
  <c r="B325" i="10"/>
  <c r="I325" i="10"/>
  <c r="J325" i="10" s="1"/>
  <c r="B295" i="10"/>
  <c r="I295" i="10"/>
  <c r="J295" i="10" s="1"/>
  <c r="B271" i="10"/>
  <c r="I271" i="10"/>
  <c r="L271" i="10" s="1"/>
  <c r="M271" i="10" s="1"/>
  <c r="B247" i="10"/>
  <c r="I247" i="10"/>
  <c r="L247" i="10" s="1"/>
  <c r="M247" i="10" s="1"/>
  <c r="B223" i="10"/>
  <c r="I223" i="10"/>
  <c r="L223" i="10" s="1"/>
  <c r="M223" i="10" s="1"/>
  <c r="B187" i="10"/>
  <c r="I187" i="10"/>
  <c r="L187" i="10" s="1"/>
  <c r="M187" i="10" s="1"/>
  <c r="B145" i="10"/>
  <c r="I145" i="10"/>
  <c r="L145" i="10" s="1"/>
  <c r="M145" i="10" s="1"/>
  <c r="B115" i="10"/>
  <c r="I115" i="10"/>
  <c r="J115" i="10" s="1"/>
  <c r="B91" i="10"/>
  <c r="I91" i="10"/>
  <c r="J91" i="10" s="1"/>
  <c r="B67" i="10"/>
  <c r="I67" i="10"/>
  <c r="L67" i="10" s="1"/>
  <c r="M67" i="10" s="1"/>
  <c r="B25" i="10"/>
  <c r="I25" i="10"/>
  <c r="J25" i="10" s="1"/>
  <c r="B1617" i="10"/>
  <c r="I1617" i="10"/>
  <c r="J1617" i="10" s="1"/>
  <c r="B1592" i="10"/>
  <c r="I1592" i="10"/>
  <c r="J1592" i="10" s="1"/>
  <c r="B1510" i="10"/>
  <c r="I1510" i="10"/>
  <c r="J1510" i="10" s="1"/>
  <c r="B1267" i="10"/>
  <c r="I1267" i="10"/>
  <c r="L1267" i="10" s="1"/>
  <c r="M1267" i="10" s="1"/>
  <c r="B1111" i="10"/>
  <c r="I1111" i="10"/>
  <c r="L1111" i="10" s="1"/>
  <c r="M1111" i="10" s="1"/>
  <c r="B1003" i="10"/>
  <c r="I1003" i="10"/>
  <c r="L1003" i="10" s="1"/>
  <c r="M1003" i="10" s="1"/>
  <c r="B985" i="10"/>
  <c r="I985" i="10"/>
  <c r="L985" i="10" s="1"/>
  <c r="M985" i="10" s="1"/>
  <c r="B907" i="10"/>
  <c r="I907" i="10"/>
  <c r="J907" i="10" s="1"/>
  <c r="B889" i="10"/>
  <c r="I889" i="10"/>
  <c r="J889" i="10" s="1"/>
  <c r="B793" i="10"/>
  <c r="I793" i="10"/>
  <c r="J793" i="10" s="1"/>
  <c r="B775" i="10"/>
  <c r="I775" i="10"/>
  <c r="J775" i="10" s="1"/>
  <c r="B751" i="10"/>
  <c r="I751" i="10"/>
  <c r="J751" i="10" s="1"/>
  <c r="B673" i="10"/>
  <c r="I673" i="10"/>
  <c r="J673" i="10" s="1"/>
  <c r="B643" i="10"/>
  <c r="I643" i="10"/>
  <c r="L643" i="10" s="1"/>
  <c r="M643" i="10" s="1"/>
  <c r="B625" i="10"/>
  <c r="I625" i="10"/>
  <c r="J625" i="10" s="1"/>
  <c r="B607" i="10"/>
  <c r="I607" i="10"/>
  <c r="J607" i="10" s="1"/>
  <c r="B577" i="10"/>
  <c r="I577" i="10"/>
  <c r="J577" i="10" s="1"/>
  <c r="B529" i="10"/>
  <c r="I529" i="10"/>
  <c r="L529" i="10" s="1"/>
  <c r="M529" i="10" s="1"/>
  <c r="B499" i="10"/>
  <c r="I499" i="10"/>
  <c r="J499" i="10" s="1"/>
  <c r="B445" i="10"/>
  <c r="I445" i="10"/>
  <c r="L445" i="10" s="1"/>
  <c r="M445" i="10" s="1"/>
  <c r="B421" i="10"/>
  <c r="I421" i="10"/>
  <c r="J421" i="10" s="1"/>
  <c r="B343" i="10"/>
  <c r="I343" i="10"/>
  <c r="L343" i="10" s="1"/>
  <c r="M343" i="10" s="1"/>
  <c r="B319" i="10"/>
  <c r="I319" i="10"/>
  <c r="L319" i="10" s="1"/>
  <c r="M319" i="10" s="1"/>
  <c r="B301" i="10"/>
  <c r="I301" i="10"/>
  <c r="J301" i="10" s="1"/>
  <c r="B277" i="10"/>
  <c r="I277" i="10"/>
  <c r="J277" i="10" s="1"/>
  <c r="B253" i="10"/>
  <c r="I253" i="10"/>
  <c r="J253" i="10" s="1"/>
  <c r="B229" i="10"/>
  <c r="I229" i="10"/>
  <c r="J229" i="10" s="1"/>
  <c r="B199" i="10"/>
  <c r="I199" i="10"/>
  <c r="L199" i="10" s="1"/>
  <c r="M199" i="10" s="1"/>
  <c r="B181" i="10"/>
  <c r="I181" i="10"/>
  <c r="L181" i="10" s="1"/>
  <c r="M181" i="10" s="1"/>
  <c r="B49" i="10"/>
  <c r="I49" i="10"/>
  <c r="J49" i="10" s="1"/>
  <c r="B19" i="10"/>
  <c r="I19" i="10"/>
  <c r="L19" i="10" s="1"/>
  <c r="M19" i="10" s="1"/>
  <c r="I1490" i="10"/>
  <c r="J1490" i="10" s="1"/>
  <c r="I1478" i="10"/>
  <c r="I1448" i="10"/>
  <c r="L1448" i="10" s="1"/>
  <c r="M1448" i="10" s="1"/>
  <c r="I1393" i="10"/>
  <c r="L1393" i="10" s="1"/>
  <c r="M1393" i="10" s="1"/>
  <c r="I1351" i="10"/>
  <c r="L1351" i="10" s="1"/>
  <c r="M1351" i="10" s="1"/>
  <c r="I1255" i="10"/>
  <c r="J1255" i="10" s="1"/>
  <c r="I1231" i="10"/>
  <c r="J1231" i="10" s="1"/>
  <c r="I1051" i="10"/>
  <c r="J1051" i="10" s="1"/>
  <c r="I949" i="10"/>
  <c r="J949" i="10" s="1"/>
  <c r="I913" i="10"/>
  <c r="J913" i="10" s="1"/>
  <c r="I847" i="10"/>
  <c r="J847" i="10" s="1"/>
  <c r="I799" i="10"/>
  <c r="J799" i="10" s="1"/>
  <c r="I373" i="10"/>
  <c r="J373" i="10" s="1"/>
  <c r="I259" i="10"/>
  <c r="J259" i="10" s="1"/>
  <c r="I217" i="10"/>
  <c r="J217" i="10" s="1"/>
  <c r="B1817" i="10"/>
  <c r="I1817" i="10"/>
  <c r="J1817" i="10" s="1"/>
  <c r="B1783" i="10"/>
  <c r="I1783" i="10"/>
  <c r="B1765" i="10"/>
  <c r="I1765" i="10"/>
  <c r="J1765" i="10" s="1"/>
  <c r="B1746" i="10"/>
  <c r="I1746" i="10"/>
  <c r="J1746" i="10" s="1"/>
  <c r="B1666" i="10"/>
  <c r="I1666" i="10"/>
  <c r="J1666" i="10" s="1"/>
  <c r="B1580" i="10"/>
  <c r="I1580" i="10"/>
  <c r="J1580" i="10" s="1"/>
  <c r="B1562" i="10"/>
  <c r="I1562" i="10"/>
  <c r="J1562" i="10" s="1"/>
  <c r="B1713" i="10"/>
  <c r="I1713" i="10"/>
  <c r="J1713" i="10" s="1"/>
  <c r="B1579" i="10"/>
  <c r="I1579" i="10"/>
  <c r="J1579" i="10" s="1"/>
  <c r="B1207" i="10"/>
  <c r="I1207" i="10"/>
  <c r="J1207" i="10" s="1"/>
  <c r="B1201" i="10"/>
  <c r="I1201" i="10"/>
  <c r="J1201" i="10" s="1"/>
  <c r="B1141" i="10"/>
  <c r="I1141" i="10"/>
  <c r="J1141" i="10" s="1"/>
  <c r="B1063" i="10"/>
  <c r="I1063" i="10"/>
  <c r="L1063" i="10" s="1"/>
  <c r="M1063" i="10" s="1"/>
  <c r="B925" i="10"/>
  <c r="I925" i="10"/>
  <c r="J925" i="10" s="1"/>
  <c r="B811" i="10"/>
  <c r="I811" i="10"/>
  <c r="L811" i="10" s="1"/>
  <c r="M811" i="10" s="1"/>
  <c r="B733" i="10"/>
  <c r="I733" i="10"/>
  <c r="J733" i="10" s="1"/>
  <c r="B553" i="10"/>
  <c r="I553" i="10"/>
  <c r="L553" i="10" s="1"/>
  <c r="M553" i="10" s="1"/>
  <c r="B517" i="10"/>
  <c r="I517" i="10"/>
  <c r="J517" i="10" s="1"/>
  <c r="B493" i="10"/>
  <c r="I493" i="10"/>
  <c r="J493" i="10" s="1"/>
  <c r="B391" i="10"/>
  <c r="I391" i="10"/>
  <c r="J391" i="10" s="1"/>
  <c r="B367" i="10"/>
  <c r="I367" i="10"/>
  <c r="J367" i="10" s="1"/>
  <c r="B349" i="10"/>
  <c r="I349" i="10"/>
  <c r="J349" i="10" s="1"/>
  <c r="B337" i="10"/>
  <c r="I337" i="10"/>
  <c r="J337" i="10" s="1"/>
  <c r="B313" i="10"/>
  <c r="I313" i="10"/>
  <c r="J313" i="10" s="1"/>
  <c r="B289" i="10"/>
  <c r="I289" i="10"/>
  <c r="J289" i="10" s="1"/>
  <c r="B265" i="10"/>
  <c r="I265" i="10"/>
  <c r="J265" i="10" s="1"/>
  <c r="B235" i="10"/>
  <c r="I235" i="10"/>
  <c r="L235" i="10" s="1"/>
  <c r="M235" i="10" s="1"/>
  <c r="B205" i="10"/>
  <c r="I205" i="10"/>
  <c r="L205" i="10" s="1"/>
  <c r="M205" i="10" s="1"/>
  <c r="B169" i="10"/>
  <c r="I169" i="10"/>
  <c r="J169" i="10" s="1"/>
  <c r="B163" i="10"/>
  <c r="I163" i="10"/>
  <c r="J163" i="10" s="1"/>
  <c r="B151" i="10"/>
  <c r="I151" i="10"/>
  <c r="J151" i="10" s="1"/>
  <c r="B127" i="10"/>
  <c r="I127" i="10"/>
  <c r="L127" i="10" s="1"/>
  <c r="M127" i="10" s="1"/>
  <c r="B61" i="10"/>
  <c r="I61" i="10"/>
  <c r="J61" i="10" s="1"/>
  <c r="B43" i="10"/>
  <c r="I43" i="10"/>
  <c r="J43" i="10" s="1"/>
  <c r="B13" i="10"/>
  <c r="I13" i="10"/>
  <c r="J13" i="10" s="1"/>
  <c r="I1436" i="10"/>
  <c r="J1436" i="10" s="1"/>
  <c r="I1424" i="10"/>
  <c r="J1424" i="10" s="1"/>
  <c r="I1225" i="10"/>
  <c r="L1225" i="10" s="1"/>
  <c r="M1225" i="10" s="1"/>
  <c r="I1153" i="10"/>
  <c r="J1153" i="10" s="1"/>
  <c r="I1081" i="10"/>
  <c r="J1081" i="10" s="1"/>
  <c r="I1027" i="10"/>
  <c r="J1027" i="10" s="1"/>
  <c r="I865" i="10"/>
  <c r="J865" i="10" s="1"/>
  <c r="I487" i="10"/>
  <c r="J487" i="10" s="1"/>
  <c r="I433" i="10"/>
  <c r="J433" i="10" s="1"/>
  <c r="I103" i="10"/>
  <c r="J103" i="10" s="1"/>
  <c r="B1701" i="10"/>
  <c r="I1701" i="10"/>
  <c r="J1701" i="10" s="1"/>
  <c r="B1613" i="10"/>
  <c r="I1613" i="10"/>
  <c r="J1613" i="10" s="1"/>
  <c r="B1177" i="10"/>
  <c r="I1177" i="10"/>
  <c r="J1177" i="10" s="1"/>
  <c r="B967" i="10"/>
  <c r="I967" i="10"/>
  <c r="L967" i="10" s="1"/>
  <c r="M967" i="10" s="1"/>
  <c r="B871" i="10"/>
  <c r="I871" i="10"/>
  <c r="J871" i="10" s="1"/>
  <c r="B853" i="10"/>
  <c r="I853" i="10"/>
  <c r="J853" i="10" s="1"/>
  <c r="B823" i="10"/>
  <c r="I823" i="10"/>
  <c r="L823" i="10" s="1"/>
  <c r="M823" i="10" s="1"/>
  <c r="B787" i="10"/>
  <c r="I787" i="10"/>
  <c r="L787" i="10" s="1"/>
  <c r="M787" i="10" s="1"/>
  <c r="B715" i="10"/>
  <c r="I715" i="10"/>
  <c r="J715" i="10" s="1"/>
  <c r="B697" i="10"/>
  <c r="I697" i="10"/>
  <c r="L697" i="10" s="1"/>
  <c r="M697" i="10" s="1"/>
  <c r="B679" i="10"/>
  <c r="I679" i="10"/>
  <c r="L679" i="10" s="1"/>
  <c r="M679" i="10" s="1"/>
  <c r="B667" i="10"/>
  <c r="I667" i="10"/>
  <c r="J667" i="10" s="1"/>
  <c r="B649" i="10"/>
  <c r="I649" i="10"/>
  <c r="J649" i="10" s="1"/>
  <c r="B637" i="10"/>
  <c r="I637" i="10"/>
  <c r="J637" i="10" s="1"/>
  <c r="B619" i="10"/>
  <c r="I619" i="10"/>
  <c r="J619" i="10" s="1"/>
  <c r="B601" i="10"/>
  <c r="I601" i="10"/>
  <c r="J601" i="10" s="1"/>
  <c r="B565" i="10"/>
  <c r="I565" i="10"/>
  <c r="J565" i="10" s="1"/>
  <c r="B547" i="10"/>
  <c r="I547" i="10"/>
  <c r="J547" i="10" s="1"/>
  <c r="B523" i="10"/>
  <c r="I523" i="10"/>
  <c r="J523" i="10" s="1"/>
  <c r="B463" i="10"/>
  <c r="I463" i="10"/>
  <c r="J463" i="10" s="1"/>
  <c r="B427" i="10"/>
  <c r="I427" i="10"/>
  <c r="J427" i="10" s="1"/>
  <c r="B409" i="10"/>
  <c r="I409" i="10"/>
  <c r="J409" i="10" s="1"/>
  <c r="B397" i="10"/>
  <c r="I397" i="10"/>
  <c r="J397" i="10" s="1"/>
  <c r="B379" i="10"/>
  <c r="I379" i="10"/>
  <c r="J379" i="10" s="1"/>
  <c r="B355" i="10"/>
  <c r="I355" i="10"/>
  <c r="J355" i="10" s="1"/>
  <c r="B331" i="10"/>
  <c r="I331" i="10"/>
  <c r="J331" i="10" s="1"/>
  <c r="B307" i="10"/>
  <c r="I307" i="10"/>
  <c r="J307" i="10" s="1"/>
  <c r="B283" i="10"/>
  <c r="I283" i="10"/>
  <c r="L283" i="10" s="1"/>
  <c r="M283" i="10" s="1"/>
  <c r="B193" i="10"/>
  <c r="I193" i="10"/>
  <c r="J193" i="10" s="1"/>
  <c r="B139" i="10"/>
  <c r="I139" i="10"/>
  <c r="J139" i="10" s="1"/>
  <c r="B79" i="10"/>
  <c r="I79" i="10"/>
  <c r="J79" i="10" s="1"/>
  <c r="B55" i="10"/>
  <c r="I55" i="10"/>
  <c r="J55" i="10" s="1"/>
  <c r="B31" i="10"/>
  <c r="I31" i="10"/>
  <c r="L31" i="10" s="1"/>
  <c r="M31" i="10" s="1"/>
  <c r="B7" i="10"/>
  <c r="I7" i="10"/>
  <c r="J7" i="10" s="1"/>
  <c r="B1995" i="10"/>
  <c r="I1995" i="10"/>
  <c r="B1985" i="10"/>
  <c r="I1985" i="10"/>
  <c r="J1985" i="10" s="1"/>
  <c r="B1816" i="10"/>
  <c r="I1816" i="10"/>
  <c r="I1466" i="10"/>
  <c r="J1466" i="10" s="1"/>
  <c r="I1454" i="10"/>
  <c r="L1454" i="10" s="1"/>
  <c r="M1454" i="10" s="1"/>
  <c r="I1339" i="10"/>
  <c r="J1339" i="10" s="1"/>
  <c r="I1297" i="10"/>
  <c r="J1297" i="10" s="1"/>
  <c r="I1285" i="10"/>
  <c r="J1285" i="10" s="1"/>
  <c r="I1093" i="10"/>
  <c r="L1093" i="10" s="1"/>
  <c r="M1093" i="10" s="1"/>
  <c r="I979" i="10"/>
  <c r="J979" i="10" s="1"/>
  <c r="I943" i="10"/>
  <c r="L943" i="10" s="1"/>
  <c r="M943" i="10" s="1"/>
  <c r="I883" i="10"/>
  <c r="J883" i="10" s="1"/>
  <c r="I817" i="10"/>
  <c r="J817" i="10" s="1"/>
  <c r="I769" i="10"/>
  <c r="J769" i="10" s="1"/>
  <c r="I655" i="10"/>
  <c r="J655" i="10" s="1"/>
  <c r="I613" i="10"/>
  <c r="J613" i="10" s="1"/>
  <c r="B1891" i="10"/>
  <c r="I1891" i="10"/>
  <c r="J1891" i="10" s="1"/>
  <c r="B1671" i="10"/>
  <c r="I1671" i="10"/>
  <c r="J1671" i="10" s="1"/>
  <c r="B1633" i="10"/>
  <c r="I1633" i="10"/>
  <c r="J1633" i="10" s="1"/>
  <c r="B1538" i="10"/>
  <c r="I1538" i="10"/>
  <c r="J1538" i="10" s="1"/>
  <c r="B1635" i="10"/>
  <c r="I1635" i="10"/>
  <c r="J1635" i="10" s="1"/>
  <c r="B1147" i="10"/>
  <c r="I1147" i="10"/>
  <c r="J1147" i="10" s="1"/>
  <c r="B1117" i="10"/>
  <c r="I1117" i="10"/>
  <c r="J1117" i="10" s="1"/>
  <c r="B1057" i="10"/>
  <c r="I1057" i="10"/>
  <c r="L1057" i="10" s="1"/>
  <c r="M1057" i="10" s="1"/>
  <c r="B1045" i="10"/>
  <c r="I1045" i="10"/>
  <c r="L1045" i="10" s="1"/>
  <c r="M1045" i="10" s="1"/>
  <c r="B961" i="10"/>
  <c r="I961" i="10"/>
  <c r="J961" i="10" s="1"/>
  <c r="B829" i="10"/>
  <c r="I829" i="10"/>
  <c r="L829" i="10" s="1"/>
  <c r="M829" i="10" s="1"/>
  <c r="B805" i="10"/>
  <c r="I805" i="10"/>
  <c r="L805" i="10" s="1"/>
  <c r="M805" i="10" s="1"/>
  <c r="B745" i="10"/>
  <c r="I745" i="10"/>
  <c r="J745" i="10" s="1"/>
  <c r="B721" i="10"/>
  <c r="I721" i="10"/>
  <c r="J721" i="10" s="1"/>
  <c r="B691" i="10"/>
  <c r="I691" i="10"/>
  <c r="J691" i="10" s="1"/>
  <c r="B589" i="10"/>
  <c r="I589" i="10"/>
  <c r="J589" i="10" s="1"/>
  <c r="B571" i="10"/>
  <c r="I571" i="10"/>
  <c r="J571" i="10" s="1"/>
  <c r="B541" i="10"/>
  <c r="I541" i="10"/>
  <c r="J541" i="10" s="1"/>
  <c r="B511" i="10"/>
  <c r="I511" i="10"/>
  <c r="J511" i="10" s="1"/>
  <c r="B475" i="10"/>
  <c r="I475" i="10"/>
  <c r="J475" i="10" s="1"/>
  <c r="B241" i="10"/>
  <c r="I241" i="10"/>
  <c r="L241" i="10" s="1"/>
  <c r="M241" i="10" s="1"/>
  <c r="B211" i="10"/>
  <c r="I211" i="10"/>
  <c r="J211" i="10" s="1"/>
  <c r="B175" i="10"/>
  <c r="I175" i="10"/>
  <c r="J175" i="10" s="1"/>
  <c r="B157" i="10"/>
  <c r="I157" i="10"/>
  <c r="L157" i="10" s="1"/>
  <c r="M157" i="10" s="1"/>
  <c r="B133" i="10"/>
  <c r="I133" i="10"/>
  <c r="J133" i="10" s="1"/>
  <c r="B109" i="10"/>
  <c r="I109" i="10"/>
  <c r="J109" i="10" s="1"/>
  <c r="B97" i="10"/>
  <c r="I97" i="10"/>
  <c r="L97" i="10" s="1"/>
  <c r="M97" i="10" s="1"/>
  <c r="B37" i="10"/>
  <c r="I37" i="10"/>
  <c r="J37" i="10" s="1"/>
  <c r="B1868" i="10"/>
  <c r="I1868" i="10"/>
  <c r="I1496" i="10"/>
  <c r="J1496" i="10" s="1"/>
  <c r="I1484" i="10"/>
  <c r="J1484" i="10" s="1"/>
  <c r="I1442" i="10"/>
  <c r="L1442" i="10" s="1"/>
  <c r="M1442" i="10" s="1"/>
  <c r="I1411" i="10"/>
  <c r="J1411" i="10" s="1"/>
  <c r="I1375" i="10"/>
  <c r="J1375" i="10" s="1"/>
  <c r="I1333" i="10"/>
  <c r="J1333" i="10" s="1"/>
  <c r="I1195" i="10"/>
  <c r="L1195" i="10" s="1"/>
  <c r="M1195" i="10" s="1"/>
  <c r="I1171" i="10"/>
  <c r="L1171" i="10" s="1"/>
  <c r="M1171" i="10" s="1"/>
  <c r="I901" i="10"/>
  <c r="J901" i="10" s="1"/>
  <c r="I859" i="10"/>
  <c r="J859" i="10" s="1"/>
  <c r="I703" i="10"/>
  <c r="J703" i="10" s="1"/>
  <c r="I451" i="10"/>
  <c r="J451" i="10" s="1"/>
  <c r="I121" i="10"/>
  <c r="J121" i="10" s="1"/>
  <c r="B1730" i="10"/>
  <c r="I1730" i="10"/>
  <c r="L1730" i="10" s="1"/>
  <c r="M1730" i="10" s="1"/>
  <c r="B1672" i="10"/>
  <c r="I1672" i="10"/>
  <c r="J1672" i="10" s="1"/>
  <c r="B1634" i="10"/>
  <c r="I1634" i="10"/>
  <c r="J1634" i="10" s="1"/>
  <c r="B1574" i="10"/>
  <c r="I1574" i="10"/>
  <c r="J1574" i="10" s="1"/>
  <c r="B1545" i="10"/>
  <c r="I1545" i="10"/>
  <c r="J1545" i="10" s="1"/>
  <c r="I1848" i="10"/>
  <c r="I1787" i="10"/>
  <c r="J1787" i="10" s="1"/>
  <c r="I1782" i="10"/>
  <c r="I1778" i="10"/>
  <c r="I1764" i="10"/>
  <c r="L1764" i="10" s="1"/>
  <c r="M1764" i="10" s="1"/>
  <c r="I1755" i="10"/>
  <c r="J1755" i="10" s="1"/>
  <c r="I1745" i="10"/>
  <c r="J1745" i="10" s="1"/>
  <c r="I1737" i="10"/>
  <c r="I1729" i="10"/>
  <c r="I1717" i="10"/>
  <c r="L1717" i="10" s="1"/>
  <c r="M1717" i="10" s="1"/>
  <c r="I1700" i="10"/>
  <c r="L1700" i="10" s="1"/>
  <c r="M1700" i="10" s="1"/>
  <c r="I1670" i="10"/>
  <c r="J1670" i="10" s="1"/>
  <c r="I1612" i="10"/>
  <c r="J1612" i="10" s="1"/>
  <c r="I1605" i="10"/>
  <c r="J1605" i="10" s="1"/>
  <c r="I1537" i="10"/>
  <c r="J1537" i="10" s="1"/>
  <c r="I1844" i="10"/>
  <c r="I1843" i="10"/>
  <c r="J1843" i="10" s="1"/>
  <c r="I1825" i="10"/>
  <c r="J1825" i="10" s="1"/>
  <c r="I1731" i="10"/>
  <c r="L1731" i="10" s="1"/>
  <c r="M1731" i="10" s="1"/>
  <c r="I1641" i="10"/>
  <c r="J1641" i="10" s="1"/>
  <c r="B1622" i="10"/>
  <c r="I1997" i="10"/>
  <c r="L1997" i="10" s="1"/>
  <c r="M1997" i="10" s="1"/>
  <c r="I1988" i="10"/>
  <c r="L1988" i="10" s="1"/>
  <c r="M1988" i="10" s="1"/>
  <c r="I1987" i="10"/>
  <c r="I1977" i="10"/>
  <c r="I1926" i="10"/>
  <c r="I1871" i="10"/>
  <c r="J1871" i="10" s="1"/>
  <c r="I1870" i="10"/>
  <c r="J1870" i="10" s="1"/>
  <c r="I1834" i="10"/>
  <c r="J1834" i="10" s="1"/>
  <c r="I1766" i="10"/>
  <c r="I1760" i="10"/>
  <c r="I1732" i="10"/>
  <c r="I1714" i="10"/>
  <c r="J1714" i="10" s="1"/>
  <c r="I1710" i="10"/>
  <c r="J1710" i="10" s="1"/>
  <c r="I1585" i="10"/>
  <c r="J1585" i="10" s="1"/>
  <c r="B1586" i="10"/>
  <c r="I1992" i="10"/>
  <c r="I1955" i="10"/>
  <c r="I1951" i="10"/>
  <c r="I1950" i="10"/>
  <c r="L1950" i="10" s="1"/>
  <c r="M1950" i="10" s="1"/>
  <c r="I1944" i="10"/>
  <c r="J1944" i="10" s="1"/>
  <c r="I1918" i="10"/>
  <c r="I1909" i="10"/>
  <c r="I1883" i="10"/>
  <c r="J1883" i="10" s="1"/>
  <c r="I1813" i="10"/>
  <c r="I1809" i="10"/>
  <c r="L1809" i="10" s="1"/>
  <c r="M1809" i="10" s="1"/>
  <c r="I1790" i="10"/>
  <c r="J1790" i="10" s="1"/>
  <c r="I1651" i="10"/>
  <c r="J1651" i="10" s="1"/>
  <c r="I1597" i="10"/>
  <c r="J1597" i="10" s="1"/>
  <c r="I1531" i="10"/>
  <c r="J1531" i="10" s="1"/>
  <c r="J1838" i="10"/>
  <c r="L1838" i="10"/>
  <c r="M1838" i="10" s="1"/>
  <c r="J1982" i="10"/>
  <c r="L1982" i="10"/>
  <c r="M1982" i="10" s="1"/>
  <c r="J1275" i="10"/>
  <c r="L1275" i="10"/>
  <c r="M1275" i="10" s="1"/>
  <c r="J771" i="10"/>
  <c r="L771" i="10"/>
  <c r="M771" i="10" s="1"/>
  <c r="J339" i="10"/>
  <c r="L339" i="10"/>
  <c r="M339" i="10" s="1"/>
  <c r="J1176" i="10"/>
  <c r="I741" i="10"/>
  <c r="J162" i="10"/>
  <c r="L162" i="10"/>
  <c r="M162" i="10" s="1"/>
  <c r="J12" i="10"/>
  <c r="I1990" i="10"/>
  <c r="B1990" i="10"/>
  <c r="J1914" i="10"/>
  <c r="L1914" i="10"/>
  <c r="M1914" i="10" s="1"/>
  <c r="J1884" i="10"/>
  <c r="L1884" i="10"/>
  <c r="M1884" i="10" s="1"/>
  <c r="J1862" i="10"/>
  <c r="L1862" i="10"/>
  <c r="M1862" i="10" s="1"/>
  <c r="I1824" i="10"/>
  <c r="B1824" i="10"/>
  <c r="L1835" i="10"/>
  <c r="M1835" i="10" s="1"/>
  <c r="B771" i="10"/>
  <c r="I1492" i="10"/>
  <c r="J1476" i="10"/>
  <c r="L1476" i="10"/>
  <c r="M1476" i="10" s="1"/>
  <c r="L1467" i="10"/>
  <c r="M1467" i="10" s="1"/>
  <c r="J1459" i="10"/>
  <c r="L1459" i="10"/>
  <c r="M1459" i="10" s="1"/>
  <c r="I1432" i="10"/>
  <c r="J1369" i="10"/>
  <c r="L1369" i="10"/>
  <c r="M1369" i="10" s="1"/>
  <c r="I1341" i="10"/>
  <c r="I1317" i="10"/>
  <c r="I1257" i="10"/>
  <c r="I1245" i="10"/>
  <c r="I1215" i="10"/>
  <c r="I1185" i="10"/>
  <c r="I1155" i="10"/>
  <c r="I1143" i="10"/>
  <c r="L1128" i="10"/>
  <c r="M1128" i="10" s="1"/>
  <c r="I1113" i="10"/>
  <c r="I1101" i="10"/>
  <c r="J1088" i="10"/>
  <c r="J1026" i="10"/>
  <c r="I999" i="10"/>
  <c r="I927" i="10"/>
  <c r="I915" i="10"/>
  <c r="I903" i="10"/>
  <c r="I891" i="10"/>
  <c r="I879" i="10"/>
  <c r="I867" i="10"/>
  <c r="I855" i="10"/>
  <c r="L786" i="10"/>
  <c r="I693" i="10"/>
  <c r="I681" i="10"/>
  <c r="I669" i="10"/>
  <c r="J659" i="10"/>
  <c r="L659" i="10"/>
  <c r="M659" i="10" s="1"/>
  <c r="J648" i="10"/>
  <c r="L648" i="10"/>
  <c r="M648" i="10" s="1"/>
  <c r="I555" i="10"/>
  <c r="I543" i="10"/>
  <c r="I531" i="10"/>
  <c r="I519" i="10"/>
  <c r="I507" i="10"/>
  <c r="J486" i="10"/>
  <c r="L486" i="10"/>
  <c r="M486" i="10" s="1"/>
  <c r="L403" i="10"/>
  <c r="M403" i="10" s="1"/>
  <c r="I345" i="10"/>
  <c r="I333" i="10"/>
  <c r="I321" i="10"/>
  <c r="I309" i="10"/>
  <c r="I297" i="10"/>
  <c r="I285" i="10"/>
  <c r="I273" i="10"/>
  <c r="J264" i="10"/>
  <c r="L264" i="10"/>
  <c r="M264" i="10" s="1"/>
  <c r="I183" i="10"/>
  <c r="I171" i="10"/>
  <c r="I159" i="10"/>
  <c r="I147" i="10"/>
  <c r="J137" i="10"/>
  <c r="L137" i="10"/>
  <c r="M137" i="10" s="1"/>
  <c r="J126" i="10"/>
  <c r="L126" i="10"/>
  <c r="M126" i="10" s="1"/>
  <c r="L114" i="10"/>
  <c r="M114" i="10" s="1"/>
  <c r="J90" i="10"/>
  <c r="L90" i="10"/>
  <c r="I45" i="10"/>
  <c r="I33" i="10"/>
  <c r="I21" i="10"/>
  <c r="I9" i="10"/>
  <c r="I920" i="10"/>
  <c r="B920" i="10"/>
  <c r="I788" i="10"/>
  <c r="B788" i="10"/>
  <c r="I578" i="10"/>
  <c r="B578" i="10"/>
  <c r="I2000" i="10"/>
  <c r="I1999" i="10"/>
  <c r="I1998" i="10"/>
  <c r="I1989" i="10"/>
  <c r="I1976" i="10"/>
  <c r="I1959" i="10"/>
  <c r="I1956" i="10"/>
  <c r="I1949" i="10"/>
  <c r="B1949" i="10"/>
  <c r="I1945" i="10"/>
  <c r="I1936" i="10"/>
  <c r="I1933" i="10"/>
  <c r="I1921" i="10"/>
  <c r="I1920" i="10"/>
  <c r="I1919" i="10"/>
  <c r="I1910" i="10"/>
  <c r="I1904" i="10"/>
  <c r="I1901" i="10"/>
  <c r="I1874" i="10"/>
  <c r="I1864" i="10"/>
  <c r="I1861" i="10"/>
  <c r="I1827" i="10"/>
  <c r="I1826" i="10"/>
  <c r="I1819" i="10"/>
  <c r="I1818" i="10"/>
  <c r="I1812" i="10"/>
  <c r="B1810" i="10"/>
  <c r="I1810" i="10"/>
  <c r="B1807" i="10"/>
  <c r="I1807" i="10"/>
  <c r="B1795" i="10"/>
  <c r="I1795" i="10"/>
  <c r="B1792" i="10"/>
  <c r="I1792" i="10"/>
  <c r="B1789" i="10"/>
  <c r="I1789" i="10"/>
  <c r="J1767" i="10"/>
  <c r="L1767" i="10"/>
  <c r="M1767" i="10" s="1"/>
  <c r="B1763" i="10"/>
  <c r="I1763" i="10"/>
  <c r="I1720" i="10"/>
  <c r="I1712" i="10"/>
  <c r="B1712" i="10"/>
  <c r="B1708" i="10"/>
  <c r="I1708" i="10"/>
  <c r="B1686" i="10"/>
  <c r="I1686" i="10"/>
  <c r="B1677" i="10"/>
  <c r="I1677" i="10"/>
  <c r="B1662" i="10"/>
  <c r="I1662" i="10"/>
  <c r="J1616" i="10"/>
  <c r="L1616" i="10"/>
  <c r="M1616" i="10" s="1"/>
  <c r="B1598" i="10"/>
  <c r="I1598" i="10"/>
  <c r="L243" i="10"/>
  <c r="M243" i="10" s="1"/>
  <c r="J1955" i="10"/>
  <c r="J1839" i="10"/>
  <c r="L1839" i="10"/>
  <c r="M1839" i="10" s="1"/>
  <c r="J1816" i="10"/>
  <c r="L1816" i="10"/>
  <c r="M1816" i="10" s="1"/>
  <c r="J1813" i="10"/>
  <c r="L1813" i="10"/>
  <c r="M1813" i="10" s="1"/>
  <c r="J1804" i="10"/>
  <c r="L1804" i="10"/>
  <c r="M1804" i="10" s="1"/>
  <c r="B1799" i="10"/>
  <c r="I1799" i="10"/>
  <c r="J1783" i="10"/>
  <c r="L1783" i="10"/>
  <c r="M1783" i="10" s="1"/>
  <c r="J1782" i="10"/>
  <c r="L1782" i="10"/>
  <c r="M1782" i="10" s="1"/>
  <c r="B1762" i="10"/>
  <c r="I1762" i="10"/>
  <c r="B1660" i="10"/>
  <c r="I1660" i="10"/>
  <c r="L1979" i="10"/>
  <c r="M1979" i="10" s="1"/>
  <c r="L636" i="10"/>
  <c r="M636" i="10" s="1"/>
  <c r="J1483" i="10"/>
  <c r="I1474" i="10"/>
  <c r="I1456" i="10"/>
  <c r="J1440" i="10"/>
  <c r="L1440" i="10"/>
  <c r="M1440" i="10" s="1"/>
  <c r="I1401" i="10"/>
  <c r="I1365" i="10"/>
  <c r="J1296" i="10"/>
  <c r="L1296" i="10"/>
  <c r="M1296" i="10" s="1"/>
  <c r="I1227" i="10"/>
  <c r="J1214" i="10"/>
  <c r="L1214" i="10"/>
  <c r="M1214" i="10" s="1"/>
  <c r="I1197" i="10"/>
  <c r="I1167" i="10"/>
  <c r="I1125" i="10"/>
  <c r="L1098" i="10"/>
  <c r="M1098" i="10" s="1"/>
  <c r="J1062" i="10"/>
  <c r="L1062" i="10"/>
  <c r="M1062" i="10" s="1"/>
  <c r="I1047" i="10"/>
  <c r="I1035" i="10"/>
  <c r="I1023" i="10"/>
  <c r="I1011" i="10"/>
  <c r="J984" i="10"/>
  <c r="L984" i="10"/>
  <c r="M984" i="10" s="1"/>
  <c r="J936" i="10"/>
  <c r="L889" i="10"/>
  <c r="M889" i="10" s="1"/>
  <c r="I843" i="10"/>
  <c r="I831" i="10"/>
  <c r="I819" i="10"/>
  <c r="I807" i="10"/>
  <c r="I795" i="10"/>
  <c r="J774" i="10"/>
  <c r="I657" i="10"/>
  <c r="I645" i="10"/>
  <c r="I495" i="10"/>
  <c r="I483" i="10"/>
  <c r="I471" i="10"/>
  <c r="I459" i="10"/>
  <c r="I447" i="10"/>
  <c r="I435" i="10"/>
  <c r="I423" i="10"/>
  <c r="L378" i="10"/>
  <c r="M378" i="10" s="1"/>
  <c r="I261" i="10"/>
  <c r="I249" i="10"/>
  <c r="J240" i="10"/>
  <c r="L240" i="10"/>
  <c r="M240" i="10" s="1"/>
  <c r="J145" i="10"/>
  <c r="I135" i="10"/>
  <c r="I123" i="10"/>
  <c r="I111" i="10"/>
  <c r="I99" i="10"/>
  <c r="I87" i="10"/>
  <c r="L66" i="10"/>
  <c r="M66" i="10" s="1"/>
  <c r="J1988" i="10"/>
  <c r="J1987" i="10"/>
  <c r="L1987" i="10"/>
  <c r="M1987" i="10" s="1"/>
  <c r="J1979" i="10"/>
  <c r="I1972" i="10"/>
  <c r="B1972" i="10"/>
  <c r="J1958" i="10"/>
  <c r="L1958" i="10"/>
  <c r="M1958" i="10" s="1"/>
  <c r="I1953" i="10"/>
  <c r="B1953" i="10"/>
  <c r="J1940" i="10"/>
  <c r="L1940" i="10"/>
  <c r="M1940" i="10" s="1"/>
  <c r="I1937" i="10"/>
  <c r="J1909" i="10"/>
  <c r="L1909" i="10"/>
  <c r="M1909" i="10" s="1"/>
  <c r="I1903" i="10"/>
  <c r="I1902" i="10"/>
  <c r="I1877" i="10"/>
  <c r="B1877" i="10"/>
  <c r="J1873" i="10"/>
  <c r="L1873" i="10"/>
  <c r="M1873" i="10" s="1"/>
  <c r="J1868" i="10"/>
  <c r="L1868" i="10"/>
  <c r="M1868" i="10" s="1"/>
  <c r="I1865" i="10"/>
  <c r="I1852" i="10"/>
  <c r="J1844" i="10"/>
  <c r="L1844" i="10"/>
  <c r="M1844" i="10" s="1"/>
  <c r="I1828" i="10"/>
  <c r="J1809" i="10"/>
  <c r="J1808" i="10"/>
  <c r="L1808" i="10"/>
  <c r="M1808" i="10" s="1"/>
  <c r="J1768" i="10"/>
  <c r="L1768" i="10"/>
  <c r="M1768" i="10" s="1"/>
  <c r="B1741" i="10"/>
  <c r="I1741" i="10"/>
  <c r="I1739" i="10"/>
  <c r="J1732" i="10"/>
  <c r="L1732" i="10"/>
  <c r="M1732" i="10" s="1"/>
  <c r="I1721" i="10"/>
  <c r="B1699" i="10"/>
  <c r="I1699" i="10"/>
  <c r="J1682" i="10"/>
  <c r="L1682" i="10"/>
  <c r="M1682" i="10" s="1"/>
  <c r="B1653" i="10"/>
  <c r="I1653" i="10"/>
  <c r="B1637" i="10"/>
  <c r="I1637" i="10"/>
  <c r="B1556" i="10"/>
  <c r="I1556" i="10"/>
  <c r="B1553" i="10"/>
  <c r="I1553" i="10"/>
  <c r="L1931" i="10"/>
  <c r="M1931" i="10" s="1"/>
  <c r="L1895" i="10"/>
  <c r="M1895" i="10" s="1"/>
  <c r="L1859" i="10"/>
  <c r="M1859" i="10" s="1"/>
  <c r="L1787" i="10"/>
  <c r="M1787" i="10" s="1"/>
  <c r="L942" i="10"/>
  <c r="M942" i="10" s="1"/>
  <c r="L888" i="10"/>
  <c r="M888" i="10" s="1"/>
  <c r="L780" i="10"/>
  <c r="M780" i="10" s="1"/>
  <c r="L396" i="10"/>
  <c r="M396" i="10" s="1"/>
  <c r="B1982" i="10"/>
  <c r="B1838" i="10"/>
  <c r="B1275" i="10"/>
  <c r="B339" i="10"/>
  <c r="L918" i="10"/>
  <c r="M918" i="10" s="1"/>
  <c r="J882" i="10"/>
  <c r="L882" i="10"/>
  <c r="M882" i="10" s="1"/>
  <c r="J1918" i="10"/>
  <c r="L1918" i="10"/>
  <c r="M1918" i="10" s="1"/>
  <c r="J1900" i="10"/>
  <c r="L1900" i="10"/>
  <c r="M1900" i="10" s="1"/>
  <c r="J1814" i="10"/>
  <c r="L1814" i="10"/>
  <c r="M1814" i="10" s="1"/>
  <c r="L1729" i="10"/>
  <c r="M1729" i="10" s="1"/>
  <c r="B1523" i="10"/>
  <c r="I1523" i="10"/>
  <c r="L420" i="10"/>
  <c r="M420" i="10" s="1"/>
  <c r="I1480" i="10"/>
  <c r="J1465" i="10"/>
  <c r="L1465" i="10"/>
  <c r="M1465" i="10" s="1"/>
  <c r="J1455" i="10"/>
  <c r="L1455" i="10"/>
  <c r="M1455" i="10" s="1"/>
  <c r="I1438" i="10"/>
  <c r="L1430" i="10"/>
  <c r="M1430" i="10" s="1"/>
  <c r="I1420" i="10"/>
  <c r="J1357" i="10"/>
  <c r="I1311" i="10"/>
  <c r="I1293" i="10"/>
  <c r="I1149" i="10"/>
  <c r="J1124" i="10"/>
  <c r="L1124" i="10"/>
  <c r="M1124" i="10" s="1"/>
  <c r="I1095" i="10"/>
  <c r="J1045" i="10"/>
  <c r="I993" i="10"/>
  <c r="I981" i="10"/>
  <c r="I969" i="10"/>
  <c r="I957" i="10"/>
  <c r="I945" i="10"/>
  <c r="I933" i="10"/>
  <c r="I783" i="10"/>
  <c r="I759" i="10"/>
  <c r="I747" i="10"/>
  <c r="I735" i="10"/>
  <c r="I723" i="10"/>
  <c r="I711" i="10"/>
  <c r="I633" i="10"/>
  <c r="I621" i="10"/>
  <c r="I609" i="10"/>
  <c r="I597" i="10"/>
  <c r="I585" i="10"/>
  <c r="I573" i="10"/>
  <c r="I561" i="10"/>
  <c r="J469" i="10"/>
  <c r="I411" i="10"/>
  <c r="I399" i="10"/>
  <c r="I387" i="10"/>
  <c r="I375" i="10"/>
  <c r="I363" i="10"/>
  <c r="L318" i="10"/>
  <c r="M318" i="10" s="1"/>
  <c r="J294" i="10"/>
  <c r="J270" i="10"/>
  <c r="I237" i="10"/>
  <c r="I225" i="10"/>
  <c r="I213" i="10"/>
  <c r="I201" i="10"/>
  <c r="J191" i="10"/>
  <c r="J180" i="10"/>
  <c r="L144" i="10"/>
  <c r="M144" i="10" s="1"/>
  <c r="J85" i="10"/>
  <c r="L85" i="10"/>
  <c r="M85" i="10" s="1"/>
  <c r="I75" i="10"/>
  <c r="I63" i="10"/>
  <c r="J30" i="10"/>
  <c r="J18" i="10"/>
  <c r="I1996" i="10"/>
  <c r="B1996" i="10"/>
  <c r="I1991" i="10"/>
  <c r="I1986" i="10"/>
  <c r="I1981" i="10"/>
  <c r="I1980" i="10"/>
  <c r="I1971" i="10"/>
  <c r="I1965" i="10"/>
  <c r="I1961" i="10"/>
  <c r="I1954" i="10"/>
  <c r="B1954" i="10"/>
  <c r="I1952" i="10"/>
  <c r="I1943" i="10"/>
  <c r="I1939" i="10"/>
  <c r="I1938" i="10"/>
  <c r="I1927" i="10"/>
  <c r="I1913" i="10"/>
  <c r="B1913" i="10"/>
  <c r="I1908" i="10"/>
  <c r="I1907" i="10"/>
  <c r="I1906" i="10"/>
  <c r="I1890" i="10"/>
  <c r="I1888" i="10"/>
  <c r="I1881" i="10"/>
  <c r="B1881" i="10"/>
  <c r="I1876" i="10"/>
  <c r="I1872" i="10"/>
  <c r="I1867" i="10"/>
  <c r="I1866" i="10"/>
  <c r="I1855" i="10"/>
  <c r="I1854" i="10"/>
  <c r="I1853" i="10"/>
  <c r="I1832" i="10"/>
  <c r="I1754" i="10"/>
  <c r="B1754" i="10"/>
  <c r="J1744" i="10"/>
  <c r="L1744" i="10"/>
  <c r="M1744" i="10" s="1"/>
  <c r="B1735" i="10"/>
  <c r="I1735" i="10"/>
  <c r="I1722" i="10"/>
  <c r="B1718" i="10"/>
  <c r="I1718" i="10"/>
  <c r="B1709" i="10"/>
  <c r="I1709" i="10"/>
  <c r="B1687" i="10"/>
  <c r="I1687" i="10"/>
  <c r="B1674" i="10"/>
  <c r="I1674" i="10"/>
  <c r="B1638" i="10"/>
  <c r="I1638" i="10"/>
  <c r="B1566" i="10"/>
  <c r="I1566" i="10"/>
  <c r="B1517" i="10"/>
  <c r="I1517" i="10"/>
  <c r="J1513" i="10"/>
  <c r="L1513" i="10"/>
  <c r="M1513" i="10" s="1"/>
  <c r="J1506" i="10"/>
  <c r="L1506" i="10"/>
  <c r="M1506" i="10" s="1"/>
  <c r="L1925" i="10"/>
  <c r="M1925" i="10" s="1"/>
  <c r="L1889" i="10"/>
  <c r="M1889" i="10" s="1"/>
  <c r="L1781" i="10"/>
  <c r="M1781" i="10" s="1"/>
  <c r="L1745" i="10"/>
  <c r="M1745" i="10" s="1"/>
  <c r="L600" i="10"/>
  <c r="M600" i="10" s="1"/>
  <c r="J1485" i="10"/>
  <c r="L1485" i="10"/>
  <c r="M1485" i="10" s="1"/>
  <c r="J1468" i="10"/>
  <c r="J1435" i="10"/>
  <c r="L1435" i="10"/>
  <c r="M1435" i="10" s="1"/>
  <c r="L1218" i="10"/>
  <c r="M1218" i="10" s="1"/>
  <c r="J1052" i="10"/>
  <c r="L1052" i="10"/>
  <c r="M1052" i="10" s="1"/>
  <c r="J312" i="10"/>
  <c r="L312" i="10"/>
  <c r="M312" i="10" s="1"/>
  <c r="L276" i="10"/>
  <c r="M276" i="10" s="1"/>
  <c r="J231" i="10"/>
  <c r="L231" i="10"/>
  <c r="M231" i="10" s="1"/>
  <c r="J174" i="10"/>
  <c r="L174" i="10"/>
  <c r="M174" i="10" s="1"/>
  <c r="J81" i="10"/>
  <c r="L81" i="10"/>
  <c r="M81" i="10" s="1"/>
  <c r="I1179" i="10"/>
  <c r="B1179" i="10"/>
  <c r="J1897" i="10"/>
  <c r="L1897" i="10"/>
  <c r="M1897" i="10" s="1"/>
  <c r="I1829" i="10"/>
  <c r="B1829" i="10"/>
  <c r="B1800" i="10"/>
  <c r="I1800" i="10"/>
  <c r="J1766" i="10"/>
  <c r="L1766" i="10"/>
  <c r="M1766" i="10" s="1"/>
  <c r="J1760" i="10"/>
  <c r="L1760" i="10"/>
  <c r="M1760" i="10" s="1"/>
  <c r="J1627" i="10"/>
  <c r="L1627" i="10"/>
  <c r="M1627" i="10" s="1"/>
  <c r="J1586" i="10"/>
  <c r="L1586" i="10"/>
  <c r="M1586" i="10" s="1"/>
  <c r="B1555" i="10"/>
  <c r="I1555" i="10"/>
  <c r="L1871" i="10"/>
  <c r="M1871" i="10" s="1"/>
  <c r="L798" i="10"/>
  <c r="M798" i="10" s="1"/>
  <c r="I1498" i="10"/>
  <c r="J1497" i="10"/>
  <c r="L1497" i="10"/>
  <c r="M1497" i="10" s="1"/>
  <c r="I1462" i="10"/>
  <c r="I1444" i="10"/>
  <c r="I1419" i="10"/>
  <c r="I1353" i="10"/>
  <c r="I1329" i="10"/>
  <c r="I1305" i="10"/>
  <c r="I1251" i="10"/>
  <c r="L1224" i="10"/>
  <c r="M1224" i="10" s="1"/>
  <c r="I1209" i="10"/>
  <c r="J1178" i="10"/>
  <c r="L1178" i="10"/>
  <c r="M1178" i="10" s="1"/>
  <c r="I1137" i="10"/>
  <c r="I1107" i="10"/>
  <c r="I1083" i="10"/>
  <c r="J1056" i="10"/>
  <c r="J1044" i="10"/>
  <c r="L1044" i="10"/>
  <c r="M1044" i="10" s="1"/>
  <c r="J1033" i="10"/>
  <c r="L1033" i="10"/>
  <c r="M1033" i="10" s="1"/>
  <c r="I1005" i="10"/>
  <c r="J991" i="10"/>
  <c r="L979" i="10"/>
  <c r="M979" i="10" s="1"/>
  <c r="I921" i="10"/>
  <c r="I909" i="10"/>
  <c r="I897" i="10"/>
  <c r="I885" i="10"/>
  <c r="I873" i="10"/>
  <c r="I861" i="10"/>
  <c r="I849" i="10"/>
  <c r="J840" i="10"/>
  <c r="L840" i="10"/>
  <c r="M840" i="10" s="1"/>
  <c r="I699" i="10"/>
  <c r="I687" i="10"/>
  <c r="I675" i="10"/>
  <c r="I663" i="10"/>
  <c r="J595" i="10"/>
  <c r="J583" i="10"/>
  <c r="L583" i="10"/>
  <c r="M583" i="10" s="1"/>
  <c r="I549" i="10"/>
  <c r="I537" i="10"/>
  <c r="I525" i="10"/>
  <c r="I513" i="10"/>
  <c r="I501" i="10"/>
  <c r="I351" i="10"/>
  <c r="I327" i="10"/>
  <c r="I315" i="10"/>
  <c r="I303" i="10"/>
  <c r="I291" i="10"/>
  <c r="I279" i="10"/>
  <c r="L246" i="10"/>
  <c r="M246" i="10" s="1"/>
  <c r="I189" i="10"/>
  <c r="I177" i="10"/>
  <c r="I165" i="10"/>
  <c r="I153" i="10"/>
  <c r="I141" i="10"/>
  <c r="L132" i="10"/>
  <c r="M132" i="10" s="1"/>
  <c r="J108" i="10"/>
  <c r="L108" i="10"/>
  <c r="M108" i="10" s="1"/>
  <c r="J84" i="10"/>
  <c r="L84" i="10"/>
  <c r="M84" i="10" s="1"/>
  <c r="I51" i="10"/>
  <c r="I39" i="10"/>
  <c r="I27" i="10"/>
  <c r="I15" i="10"/>
  <c r="I3" i="10"/>
  <c r="I1373" i="10"/>
  <c r="B1373" i="10"/>
  <c r="I1500" i="10"/>
  <c r="B1500" i="10"/>
  <c r="I1494" i="10"/>
  <c r="B1494" i="10"/>
  <c r="I1488" i="10"/>
  <c r="B1488" i="10"/>
  <c r="I1482" i="10"/>
  <c r="B1482" i="10"/>
  <c r="I1470" i="10"/>
  <c r="B1470" i="10"/>
  <c r="I1464" i="10"/>
  <c r="B1464" i="10"/>
  <c r="I1458" i="10"/>
  <c r="B1458" i="10"/>
  <c r="I1452" i="10"/>
  <c r="B1452" i="10"/>
  <c r="I1446" i="10"/>
  <c r="B1446" i="10"/>
  <c r="I1434" i="10"/>
  <c r="B1434" i="10"/>
  <c r="I1428" i="10"/>
  <c r="B1428" i="10"/>
  <c r="I1422" i="10"/>
  <c r="B1422" i="10"/>
  <c r="J1995" i="10"/>
  <c r="L1995" i="10"/>
  <c r="M1995" i="10" s="1"/>
  <c r="J1992" i="10"/>
  <c r="L1992" i="10"/>
  <c r="M1992" i="10" s="1"/>
  <c r="J1970" i="10"/>
  <c r="J1969" i="10"/>
  <c r="L1969" i="10"/>
  <c r="M1969" i="10" s="1"/>
  <c r="J1964" i="10"/>
  <c r="L1964" i="10"/>
  <c r="M1964" i="10" s="1"/>
  <c r="J1963" i="10"/>
  <c r="L1963" i="10"/>
  <c r="M1963" i="10" s="1"/>
  <c r="L1962" i="10"/>
  <c r="M1962" i="10" s="1"/>
  <c r="J1962" i="10"/>
  <c r="J1951" i="10"/>
  <c r="L1951" i="10"/>
  <c r="M1951" i="10" s="1"/>
  <c r="J1950" i="10"/>
  <c r="J1942" i="10"/>
  <c r="L1942" i="10"/>
  <c r="M1942" i="10" s="1"/>
  <c r="J1926" i="10"/>
  <c r="L1926" i="10"/>
  <c r="M1926" i="10" s="1"/>
  <c r="J1924" i="10"/>
  <c r="L1924" i="10"/>
  <c r="M1924" i="10" s="1"/>
  <c r="I1917" i="10"/>
  <c r="B1917" i="10"/>
  <c r="I1899" i="10"/>
  <c r="B1899" i="10"/>
  <c r="J1894" i="10"/>
  <c r="L1894" i="10"/>
  <c r="M1894" i="10" s="1"/>
  <c r="J1880" i="10"/>
  <c r="L1880" i="10"/>
  <c r="M1880" i="10" s="1"/>
  <c r="J1857" i="10"/>
  <c r="L1857" i="10"/>
  <c r="M1857" i="10" s="1"/>
  <c r="J1856" i="10"/>
  <c r="L1856" i="10"/>
  <c r="M1856" i="10" s="1"/>
  <c r="J1846" i="10"/>
  <c r="L1846" i="10"/>
  <c r="M1846" i="10" s="1"/>
  <c r="J1831" i="10"/>
  <c r="L1831" i="10"/>
  <c r="M1831" i="10" s="1"/>
  <c r="J1830" i="10"/>
  <c r="L1830" i="10"/>
  <c r="M1830" i="10" s="1"/>
  <c r="I1823" i="10"/>
  <c r="B1823" i="10"/>
  <c r="B1803" i="10"/>
  <c r="I1803" i="10"/>
  <c r="J1778" i="10"/>
  <c r="L1778" i="10"/>
  <c r="M1778" i="10" s="1"/>
  <c r="J1777" i="10"/>
  <c r="L1777" i="10"/>
  <c r="M1777" i="10" s="1"/>
  <c r="B1774" i="10"/>
  <c r="I1774" i="10"/>
  <c r="B1771" i="10"/>
  <c r="I1771" i="10"/>
  <c r="J1764" i="10"/>
  <c r="B1756" i="10"/>
  <c r="I1756" i="10"/>
  <c r="I1724" i="10"/>
  <c r="B1724" i="10"/>
  <c r="J1717" i="10"/>
  <c r="L1705" i="10"/>
  <c r="M1705" i="10" s="1"/>
  <c r="B1654" i="10"/>
  <c r="I1654" i="10"/>
  <c r="J1646" i="10"/>
  <c r="L1646" i="10"/>
  <c r="M1646" i="10" s="1"/>
  <c r="B1640" i="10"/>
  <c r="I1640" i="10"/>
  <c r="B1631" i="10"/>
  <c r="I1631" i="10"/>
  <c r="B1625" i="10"/>
  <c r="I1625" i="10"/>
  <c r="J1622" i="10"/>
  <c r="L1622" i="10"/>
  <c r="M1622" i="10" s="1"/>
  <c r="J1610" i="10"/>
  <c r="L1610" i="10"/>
  <c r="M1610" i="10" s="1"/>
  <c r="B1578" i="10"/>
  <c r="I1578" i="10"/>
  <c r="B1554" i="10"/>
  <c r="I1554" i="10"/>
  <c r="J1544" i="10"/>
  <c r="L1544" i="10"/>
  <c r="M1544" i="10" s="1"/>
  <c r="L1955" i="10"/>
  <c r="M1955" i="10" s="1"/>
  <c r="L1883" i="10"/>
  <c r="M1883" i="10" s="1"/>
  <c r="L1847" i="10"/>
  <c r="M1847" i="10" s="1"/>
  <c r="L1703" i="10"/>
  <c r="M1703" i="10" s="1"/>
  <c r="L978" i="10"/>
  <c r="M978" i="10" s="1"/>
  <c r="L924" i="10"/>
  <c r="M924" i="10" s="1"/>
  <c r="L762" i="10"/>
  <c r="M762" i="10" s="1"/>
  <c r="L516" i="10"/>
  <c r="M516" i="10" s="1"/>
  <c r="L372" i="10"/>
  <c r="M372" i="10" s="1"/>
  <c r="L1495" i="10"/>
  <c r="M1495" i="10" s="1"/>
  <c r="J1425" i="10"/>
  <c r="L1425" i="10"/>
  <c r="M1425" i="10" s="1"/>
  <c r="J1302" i="10"/>
  <c r="L1302" i="10"/>
  <c r="M1302" i="10" s="1"/>
  <c r="L1158" i="10"/>
  <c r="M1158" i="10" s="1"/>
  <c r="J546" i="10"/>
  <c r="L546" i="10"/>
  <c r="M546" i="10" s="1"/>
  <c r="J1977" i="10"/>
  <c r="L1977" i="10"/>
  <c r="M1977" i="10" s="1"/>
  <c r="J1974" i="10"/>
  <c r="L1974" i="10"/>
  <c r="M1974" i="10" s="1"/>
  <c r="I1960" i="10"/>
  <c r="B1960" i="10"/>
  <c r="J1946" i="10"/>
  <c r="L1946" i="10"/>
  <c r="M1946" i="10" s="1"/>
  <c r="J1934" i="10"/>
  <c r="L1934" i="10"/>
  <c r="M1934" i="10" s="1"/>
  <c r="J1915" i="10"/>
  <c r="L1915" i="10"/>
  <c r="M1915" i="10" s="1"/>
  <c r="J1848" i="10"/>
  <c r="L1848" i="10"/>
  <c r="M1848" i="10" s="1"/>
  <c r="I1486" i="10"/>
  <c r="J1478" i="10"/>
  <c r="L1478" i="10"/>
  <c r="M1478" i="10" s="1"/>
  <c r="J1461" i="10"/>
  <c r="L1461" i="10"/>
  <c r="M1461" i="10" s="1"/>
  <c r="J1453" i="10"/>
  <c r="L1453" i="10"/>
  <c r="M1453" i="10" s="1"/>
  <c r="J1443" i="10"/>
  <c r="L1443" i="10"/>
  <c r="M1443" i="10" s="1"/>
  <c r="I1426" i="10"/>
  <c r="I1323" i="10"/>
  <c r="J1250" i="10"/>
  <c r="L1250" i="10"/>
  <c r="M1250" i="10" s="1"/>
  <c r="I1233" i="10"/>
  <c r="I1191" i="10"/>
  <c r="J1135" i="10"/>
  <c r="L1135" i="10"/>
  <c r="M1135" i="10" s="1"/>
  <c r="I1053" i="10"/>
  <c r="I1041" i="10"/>
  <c r="I1017" i="10"/>
  <c r="J966" i="10"/>
  <c r="L954" i="10"/>
  <c r="M954" i="10" s="1"/>
  <c r="J919" i="10"/>
  <c r="I837" i="10"/>
  <c r="I825" i="10"/>
  <c r="I813" i="10"/>
  <c r="I801" i="10"/>
  <c r="I789" i="10"/>
  <c r="J756" i="10"/>
  <c r="L756" i="10"/>
  <c r="M756" i="10" s="1"/>
  <c r="J732" i="10"/>
  <c r="L732" i="10"/>
  <c r="M732" i="10" s="1"/>
  <c r="L720" i="10"/>
  <c r="M720" i="10" s="1"/>
  <c r="I651" i="10"/>
  <c r="J630" i="10"/>
  <c r="L630" i="10"/>
  <c r="M630" i="10" s="1"/>
  <c r="J570" i="10"/>
  <c r="L570" i="10"/>
  <c r="M570" i="10" s="1"/>
  <c r="J558" i="10"/>
  <c r="L558" i="10"/>
  <c r="M558" i="10" s="1"/>
  <c r="I489" i="10"/>
  <c r="I477" i="10"/>
  <c r="I465" i="10"/>
  <c r="I453" i="10"/>
  <c r="I441" i="10"/>
  <c r="I429" i="10"/>
  <c r="I417" i="10"/>
  <c r="I267" i="10"/>
  <c r="I255" i="10"/>
  <c r="J234" i="10"/>
  <c r="L234" i="10"/>
  <c r="M234" i="10" s="1"/>
  <c r="J222" i="10"/>
  <c r="J210" i="10"/>
  <c r="L210" i="10"/>
  <c r="M210" i="10" s="1"/>
  <c r="I129" i="10"/>
  <c r="I117" i="10"/>
  <c r="I105" i="10"/>
  <c r="I93" i="10"/>
  <c r="L83" i="10"/>
  <c r="M83" i="10" s="1"/>
  <c r="J60" i="10"/>
  <c r="L60" i="10"/>
  <c r="M60" i="10" s="1"/>
  <c r="I1108" i="10"/>
  <c r="B1108" i="10"/>
  <c r="I1499" i="10"/>
  <c r="B1499" i="10"/>
  <c r="I1493" i="10"/>
  <c r="B1493" i="10"/>
  <c r="I1487" i="10"/>
  <c r="B1487" i="10"/>
  <c r="I1481" i="10"/>
  <c r="B1481" i="10"/>
  <c r="I1475" i="10"/>
  <c r="B1475" i="10"/>
  <c r="I1469" i="10"/>
  <c r="B1469" i="10"/>
  <c r="I1463" i="10"/>
  <c r="B1463" i="10"/>
  <c r="I1457" i="10"/>
  <c r="B1457" i="10"/>
  <c r="I1451" i="10"/>
  <c r="B1451" i="10"/>
  <c r="I1445" i="10"/>
  <c r="B1445" i="10"/>
  <c r="I1439" i="10"/>
  <c r="B1439" i="10"/>
  <c r="I1433" i="10"/>
  <c r="B1433" i="10"/>
  <c r="I1427" i="10"/>
  <c r="B1427" i="10"/>
  <c r="I1421" i="10"/>
  <c r="B1421" i="10"/>
  <c r="I1994" i="10"/>
  <c r="I1978" i="10"/>
  <c r="B1978" i="10"/>
  <c r="I1973" i="10"/>
  <c r="I1968" i="10"/>
  <c r="I1967" i="10"/>
  <c r="I1935" i="10"/>
  <c r="B1935" i="10"/>
  <c r="I1930" i="10"/>
  <c r="I1916" i="10"/>
  <c r="I1898" i="10"/>
  <c r="I1882" i="10"/>
  <c r="I1879" i="10"/>
  <c r="I1878" i="10"/>
  <c r="I1863" i="10"/>
  <c r="B1863" i="10"/>
  <c r="J1858" i="10"/>
  <c r="L1858" i="10"/>
  <c r="M1858" i="10" s="1"/>
  <c r="I1850" i="10"/>
  <c r="I1849" i="10"/>
  <c r="I1837" i="10"/>
  <c r="J1822" i="10"/>
  <c r="L1822" i="10"/>
  <c r="M1822" i="10" s="1"/>
  <c r="I1806" i="10"/>
  <c r="B1806" i="10"/>
  <c r="J1802" i="10"/>
  <c r="L1802" i="10"/>
  <c r="M1802" i="10" s="1"/>
  <c r="B1798" i="10"/>
  <c r="I1798" i="10"/>
  <c r="B1794" i="10"/>
  <c r="I1794" i="10"/>
  <c r="I1788" i="10"/>
  <c r="B1788" i="10"/>
  <c r="J1786" i="10"/>
  <c r="L1786" i="10"/>
  <c r="M1786" i="10" s="1"/>
  <c r="I1780" i="10"/>
  <c r="B1775" i="10"/>
  <c r="I1775" i="10"/>
  <c r="L1773" i="10"/>
  <c r="M1773" i="10" s="1"/>
  <c r="I1772" i="10"/>
  <c r="L1765" i="10"/>
  <c r="M1765" i="10" s="1"/>
  <c r="J1750" i="10"/>
  <c r="I1749" i="10"/>
  <c r="J1748" i="10"/>
  <c r="L1748" i="10"/>
  <c r="M1748" i="10" s="1"/>
  <c r="I1747" i="10"/>
  <c r="J1737" i="10"/>
  <c r="L1737" i="10"/>
  <c r="M1737" i="10" s="1"/>
  <c r="B1711" i="10"/>
  <c r="I1711" i="10"/>
  <c r="B1702" i="10"/>
  <c r="I1702" i="10"/>
  <c r="J1695" i="10"/>
  <c r="L1695" i="10"/>
  <c r="M1695" i="10" s="1"/>
  <c r="B1675" i="10"/>
  <c r="I1675" i="10"/>
  <c r="B1659" i="10"/>
  <c r="I1659" i="10"/>
  <c r="L1841" i="10"/>
  <c r="M1841" i="10" s="1"/>
  <c r="L1805" i="10"/>
  <c r="M1805" i="10" s="1"/>
  <c r="L1733" i="10"/>
  <c r="M1733" i="10" s="1"/>
  <c r="L432" i="10"/>
  <c r="M432" i="10" s="1"/>
  <c r="I1738" i="10"/>
  <c r="I1719" i="10"/>
  <c r="I1697" i="10"/>
  <c r="I1688" i="10"/>
  <c r="I1676" i="10"/>
  <c r="I1673" i="10"/>
  <c r="I1655" i="10"/>
  <c r="I1652" i="10"/>
  <c r="I1644" i="10"/>
  <c r="B1644" i="10"/>
  <c r="I1632" i="10"/>
  <c r="I1626" i="10"/>
  <c r="I1606" i="10"/>
  <c r="B1606" i="10"/>
  <c r="I1570" i="10"/>
  <c r="B1570" i="10"/>
  <c r="I1539" i="10"/>
  <c r="I1525" i="10"/>
  <c r="I1519" i="10"/>
  <c r="B1616" i="10"/>
  <c r="B1544" i="10"/>
  <c r="B1506" i="10"/>
  <c r="I1588" i="10"/>
  <c r="B1588" i="10"/>
  <c r="L1713" i="10"/>
  <c r="M1713" i="10" s="1"/>
  <c r="L1683" i="10"/>
  <c r="M1683" i="10" s="1"/>
  <c r="L1647" i="10"/>
  <c r="M1647" i="10" s="1"/>
  <c r="L1569" i="10"/>
  <c r="M1569" i="10" s="1"/>
  <c r="B1682" i="10"/>
  <c r="B1646" i="10"/>
  <c r="B1610" i="10"/>
  <c r="I1691" i="10"/>
  <c r="I1690" i="10"/>
  <c r="I1657" i="10"/>
  <c r="I1650" i="10"/>
  <c r="B1650" i="10"/>
  <c r="I1619" i="10"/>
  <c r="J1618" i="10"/>
  <c r="I1609" i="10"/>
  <c r="I1604" i="10"/>
  <c r="I1595" i="10"/>
  <c r="I1587" i="10"/>
  <c r="I1568" i="10"/>
  <c r="I1560" i="10"/>
  <c r="I1533" i="10"/>
  <c r="I1532" i="10"/>
  <c r="I1529" i="10"/>
  <c r="I1515" i="10"/>
  <c r="B1515" i="10"/>
  <c r="I1508" i="10"/>
  <c r="L1694" i="10"/>
  <c r="M1694" i="10" s="1"/>
  <c r="L1664" i="10"/>
  <c r="M1664" i="10" s="1"/>
  <c r="L1658" i="10"/>
  <c r="M1658" i="10" s="1"/>
  <c r="L1628" i="10"/>
  <c r="M1628" i="10" s="1"/>
  <c r="L1550" i="10"/>
  <c r="M1550" i="10" s="1"/>
  <c r="L1502" i="10"/>
  <c r="M1502" i="10" s="1"/>
  <c r="I1753" i="10"/>
  <c r="I1727" i="10"/>
  <c r="I1649" i="10"/>
  <c r="I1645" i="10"/>
  <c r="I1630" i="10"/>
  <c r="B1630" i="10"/>
  <c r="I1624" i="10"/>
  <c r="B1624" i="10"/>
  <c r="I1608" i="10"/>
  <c r="I1607" i="10"/>
  <c r="I1583" i="10"/>
  <c r="I1582" i="10"/>
  <c r="I1581" i="10"/>
  <c r="I1572" i="10"/>
  <c r="I1571" i="10"/>
  <c r="I1559" i="10"/>
  <c r="I1548" i="10"/>
  <c r="I1547" i="10"/>
  <c r="I1543" i="10"/>
  <c r="I1542" i="10"/>
  <c r="I1541" i="10"/>
  <c r="I1521" i="10"/>
  <c r="B1521" i="10"/>
  <c r="I1514" i="10"/>
  <c r="I1512" i="10"/>
  <c r="I1511" i="10"/>
  <c r="I1507" i="10"/>
  <c r="I1505" i="10"/>
  <c r="I1504" i="10"/>
  <c r="I1734" i="10"/>
  <c r="B1734" i="10"/>
  <c r="J1729" i="10"/>
  <c r="J1728" i="10"/>
  <c r="I1716" i="10"/>
  <c r="B1716" i="10"/>
  <c r="J1669" i="10"/>
  <c r="I1667" i="10"/>
  <c r="I1629" i="10"/>
  <c r="I1623" i="10"/>
  <c r="I1614" i="10"/>
  <c r="B1614" i="10"/>
  <c r="I1591" i="10"/>
  <c r="I1590" i="10"/>
  <c r="I1584" i="10"/>
  <c r="I1573" i="10"/>
  <c r="I1551" i="10"/>
  <c r="L1728" i="10"/>
  <c r="M1728" i="10" s="1"/>
  <c r="B1664" i="10"/>
  <c r="E1714" i="10"/>
  <c r="I1593" i="10"/>
  <c r="I1984" i="10"/>
  <c r="I1966" i="10"/>
  <c r="I1929" i="10"/>
  <c r="I1893" i="10"/>
  <c r="I1842" i="10"/>
  <c r="I1833" i="10"/>
  <c r="I1821" i="10"/>
  <c r="I1801" i="10"/>
  <c r="I1784" i="10"/>
  <c r="I1685" i="10"/>
  <c r="I1912" i="10"/>
  <c r="I1815" i="10"/>
  <c r="I1770" i="10"/>
  <c r="I1941" i="10"/>
  <c r="I1905" i="10"/>
  <c r="I1869" i="10"/>
  <c r="I1797" i="10"/>
  <c r="I1769" i="10"/>
  <c r="I1757" i="10"/>
  <c r="I1707" i="10"/>
  <c r="I1896" i="10"/>
  <c r="I1892" i="10"/>
  <c r="I1886" i="10"/>
  <c r="I1860" i="10"/>
  <c r="I1811" i="10"/>
  <c r="I1751" i="10"/>
  <c r="I1742" i="10"/>
  <c r="I1993" i="10"/>
  <c r="I1975" i="10"/>
  <c r="I1957" i="10"/>
  <c r="I1947" i="10"/>
  <c r="I1911" i="10"/>
  <c r="I1875" i="10"/>
  <c r="I1845" i="10"/>
  <c r="I1820" i="10"/>
  <c r="I1793" i="10"/>
  <c r="I1932" i="10"/>
  <c r="I1928" i="10"/>
  <c r="I1922" i="10"/>
  <c r="I1923" i="10"/>
  <c r="I1887" i="10"/>
  <c r="I1796" i="10"/>
  <c r="I1785" i="10"/>
  <c r="I1759" i="10"/>
  <c r="I1779" i="10"/>
  <c r="I1776" i="10"/>
  <c r="I1758" i="10"/>
  <c r="I1706" i="10"/>
  <c r="I1752" i="10"/>
  <c r="E1655" i="10"/>
  <c r="I1689" i="10"/>
  <c r="I1851" i="10"/>
  <c r="I1761" i="10"/>
  <c r="I1743" i="10"/>
  <c r="I1725" i="10"/>
  <c r="I1723" i="10"/>
  <c r="I1665" i="10"/>
  <c r="I1656" i="10"/>
  <c r="I1692" i="10"/>
  <c r="I1642" i="10"/>
  <c r="E1611" i="10"/>
  <c r="I1639" i="10"/>
  <c r="I1661" i="10"/>
  <c r="I1698" i="10"/>
  <c r="I1680" i="10"/>
  <c r="I1648" i="10"/>
  <c r="I1615" i="10"/>
  <c r="I1594" i="10"/>
  <c r="I1561" i="10"/>
  <c r="I1621" i="10"/>
  <c r="I1611" i="10"/>
  <c r="I1602" i="10"/>
  <c r="I1558" i="10"/>
  <c r="I1636" i="10"/>
  <c r="I1603" i="10"/>
  <c r="E1566" i="10"/>
  <c r="I1576" i="10"/>
  <c r="I1567" i="10"/>
  <c r="I1563" i="10"/>
  <c r="E1507" i="10"/>
  <c r="I1565" i="10"/>
  <c r="I1549" i="10"/>
  <c r="I1540" i="10"/>
  <c r="I1534" i="10"/>
  <c r="I1516" i="10"/>
  <c r="I1552" i="10"/>
  <c r="I1557" i="10"/>
  <c r="I1527" i="10"/>
  <c r="I1509" i="10"/>
  <c r="I1503" i="10"/>
  <c r="E1505" i="10"/>
  <c r="I1528" i="10"/>
  <c r="E1503" i="10"/>
  <c r="I1546" i="10"/>
  <c r="I1522" i="10"/>
  <c r="I1387" i="10"/>
  <c r="I1374" i="10"/>
  <c r="I1338" i="10"/>
  <c r="I1417" i="10"/>
  <c r="I1398" i="10"/>
  <c r="I1381" i="10"/>
  <c r="I1363" i="10"/>
  <c r="I1345" i="10"/>
  <c r="I1327" i="10"/>
  <c r="I1308" i="10"/>
  <c r="I1279" i="10"/>
  <c r="I1266" i="10"/>
  <c r="I1416" i="10"/>
  <c r="I1395" i="10"/>
  <c r="I1377" i="10"/>
  <c r="I1362" i="10"/>
  <c r="I1278" i="10"/>
  <c r="I1261" i="10"/>
  <c r="I1249" i="10"/>
  <c r="I1403" i="10"/>
  <c r="I1367" i="10"/>
  <c r="I1301" i="10"/>
  <c r="I1187" i="10"/>
  <c r="I1157" i="10"/>
  <c r="I1121" i="10"/>
  <c r="I1091" i="10"/>
  <c r="I1049" i="10"/>
  <c r="I989" i="10"/>
  <c r="I857" i="10"/>
  <c r="I581" i="10"/>
  <c r="I1067" i="10"/>
  <c r="I941" i="10"/>
  <c r="I827" i="10"/>
  <c r="I527" i="10"/>
  <c r="I359" i="10"/>
  <c r="I1397" i="10"/>
  <c r="I1379" i="10"/>
  <c r="I1361" i="10"/>
  <c r="I1337" i="10"/>
  <c r="I1307" i="10"/>
  <c r="I1271" i="10"/>
  <c r="I1223" i="10"/>
  <c r="I1103" i="10"/>
  <c r="I1073" i="10"/>
  <c r="I1007" i="10"/>
  <c r="I995" i="10"/>
  <c r="I983" i="10"/>
  <c r="I965" i="10"/>
  <c r="I935" i="10"/>
  <c r="I887" i="10"/>
  <c r="I761" i="10"/>
  <c r="I647" i="10"/>
  <c r="I629" i="10"/>
  <c r="I599" i="10"/>
  <c r="I569" i="10"/>
  <c r="I515" i="10"/>
  <c r="I497" i="10"/>
  <c r="I485" i="10"/>
  <c r="I467" i="10"/>
  <c r="I461" i="10"/>
  <c r="I437" i="10"/>
  <c r="I425" i="10"/>
  <c r="I413" i="10"/>
  <c r="I407" i="10"/>
  <c r="I389" i="10"/>
  <c r="I341" i="10"/>
  <c r="I323" i="10"/>
  <c r="I305" i="10"/>
  <c r="I287" i="10"/>
  <c r="I269" i="10"/>
  <c r="I179" i="10"/>
  <c r="I167" i="10"/>
  <c r="I107" i="10"/>
  <c r="I95" i="10"/>
  <c r="I89" i="10"/>
  <c r="I77" i="10"/>
  <c r="I53" i="10"/>
  <c r="I17" i="10"/>
  <c r="I1413" i="10"/>
  <c r="I1404" i="10"/>
  <c r="I1392" i="10"/>
  <c r="I1383" i="10"/>
  <c r="I1371" i="10"/>
  <c r="I1359" i="10"/>
  <c r="I1347" i="10"/>
  <c r="I1335" i="10"/>
  <c r="I1326" i="10"/>
  <c r="I1314" i="10"/>
  <c r="I1303" i="10"/>
  <c r="I1284" i="10"/>
  <c r="I1273" i="10"/>
  <c r="I1263" i="10"/>
  <c r="I1254" i="10"/>
  <c r="I1243" i="10"/>
  <c r="I1221" i="10"/>
  <c r="I1213" i="10"/>
  <c r="I1203" i="10"/>
  <c r="I1194" i="10"/>
  <c r="I1183" i="10"/>
  <c r="I1173" i="10"/>
  <c r="I1161" i="10"/>
  <c r="I1152" i="10"/>
  <c r="I1134" i="10"/>
  <c r="I1123" i="10"/>
  <c r="I1104" i="10"/>
  <c r="I1071" i="10"/>
  <c r="I959" i="10"/>
  <c r="I791" i="10"/>
  <c r="I545" i="10"/>
  <c r="I377" i="10"/>
  <c r="I2" i="10"/>
  <c r="B2" i="10"/>
  <c r="I1414" i="10"/>
  <c r="I1408" i="10"/>
  <c r="I1402" i="10"/>
  <c r="I1396" i="10"/>
  <c r="I1390" i="10"/>
  <c r="I1378" i="10"/>
  <c r="I1372" i="10"/>
  <c r="I1366" i="10"/>
  <c r="I1360" i="10"/>
  <c r="I1354" i="10"/>
  <c r="I1348" i="10"/>
  <c r="I1342" i="10"/>
  <c r="I1336" i="10"/>
  <c r="I1330" i="10"/>
  <c r="I1324" i="10"/>
  <c r="I1318" i="10"/>
  <c r="I1312" i="10"/>
  <c r="I1306" i="10"/>
  <c r="I1300" i="10"/>
  <c r="I1294" i="10"/>
  <c r="I1288" i="10"/>
  <c r="I1282" i="10"/>
  <c r="I1276" i="10"/>
  <c r="I1270" i="10"/>
  <c r="I1264" i="10"/>
  <c r="I1258" i="10"/>
  <c r="I1252" i="10"/>
  <c r="I1246" i="10"/>
  <c r="I1240" i="10"/>
  <c r="I1234" i="10"/>
  <c r="I1228" i="10"/>
  <c r="I1222" i="10"/>
  <c r="I1216" i="10"/>
  <c r="I1210" i="10"/>
  <c r="I1204" i="10"/>
  <c r="I1198" i="10"/>
  <c r="I1192" i="10"/>
  <c r="I1186" i="10"/>
  <c r="I1180" i="10"/>
  <c r="I1174" i="10"/>
  <c r="I1168" i="10"/>
  <c r="I1162" i="10"/>
  <c r="I1156" i="10"/>
  <c r="I1150" i="10"/>
  <c r="I1144" i="10"/>
  <c r="I1138" i="10"/>
  <c r="I1132" i="10"/>
  <c r="I1126" i="10"/>
  <c r="I1120" i="10"/>
  <c r="I1114" i="10"/>
  <c r="I1102" i="10"/>
  <c r="I1096" i="10"/>
  <c r="I1090" i="10"/>
  <c r="I1084" i="10"/>
  <c r="I1078" i="10"/>
  <c r="I1072" i="10"/>
  <c r="I1066" i="10"/>
  <c r="I1060" i="10"/>
  <c r="I1054" i="10"/>
  <c r="I1048" i="10"/>
  <c r="I1042" i="10"/>
  <c r="I1036" i="10"/>
  <c r="I1030" i="10"/>
  <c r="I1024" i="10"/>
  <c r="I1018" i="10"/>
  <c r="I1012" i="10"/>
  <c r="I1006" i="10"/>
  <c r="I1000" i="10"/>
  <c r="I994" i="10"/>
  <c r="I982" i="10"/>
  <c r="I976" i="10"/>
  <c r="I970" i="10"/>
  <c r="I964" i="10"/>
  <c r="I958" i="10"/>
  <c r="I952" i="10"/>
  <c r="I946" i="10"/>
  <c r="I940" i="10"/>
  <c r="I934" i="10"/>
  <c r="I922" i="10"/>
  <c r="I916" i="10"/>
  <c r="I910" i="10"/>
  <c r="I904" i="10"/>
  <c r="I898" i="10"/>
  <c r="I892" i="10"/>
  <c r="I886" i="10"/>
  <c r="I880" i="10"/>
  <c r="I874" i="10"/>
  <c r="I868" i="10"/>
  <c r="I862" i="10"/>
  <c r="I856" i="10"/>
  <c r="I850" i="10"/>
  <c r="I838" i="10"/>
  <c r="I832" i="10"/>
  <c r="I826" i="10"/>
  <c r="I820" i="10"/>
  <c r="I814" i="10"/>
  <c r="I808" i="10"/>
  <c r="I802" i="10"/>
  <c r="I796" i="10"/>
  <c r="I790" i="10"/>
  <c r="I778" i="10"/>
  <c r="I772" i="10"/>
  <c r="I766" i="10"/>
  <c r="I760" i="10"/>
  <c r="I754" i="10"/>
  <c r="I748" i="10"/>
  <c r="I742" i="10"/>
  <c r="I736" i="10"/>
  <c r="I730" i="10"/>
  <c r="I724" i="10"/>
  <c r="I718" i="10"/>
  <c r="I712" i="10"/>
  <c r="I706" i="10"/>
  <c r="I694" i="10"/>
  <c r="I688" i="10"/>
  <c r="I682" i="10"/>
  <c r="I676" i="10"/>
  <c r="I670" i="10"/>
  <c r="I664" i="10"/>
  <c r="I658" i="10"/>
  <c r="I652" i="10"/>
  <c r="I646" i="10"/>
  <c r="I634" i="10"/>
  <c r="I628" i="10"/>
  <c r="I622" i="10"/>
  <c r="I616" i="10"/>
  <c r="I610" i="10"/>
  <c r="I604" i="10"/>
  <c r="I598" i="10"/>
  <c r="I592" i="10"/>
  <c r="I586" i="10"/>
  <c r="I580" i="10"/>
  <c r="I574" i="10"/>
  <c r="I568" i="10"/>
  <c r="I562" i="10"/>
  <c r="I550" i="10"/>
  <c r="I544" i="10"/>
  <c r="I538" i="10"/>
  <c r="I532" i="10"/>
  <c r="I526" i="10"/>
  <c r="I520" i="10"/>
  <c r="I514" i="10"/>
  <c r="I508" i="10"/>
  <c r="I502" i="10"/>
  <c r="I490" i="10"/>
  <c r="I484" i="10"/>
  <c r="I478" i="10"/>
  <c r="I472" i="10"/>
  <c r="I466" i="10"/>
  <c r="I460" i="10"/>
  <c r="I454" i="10"/>
  <c r="I448" i="10"/>
  <c r="I442" i="10"/>
  <c r="I436" i="10"/>
  <c r="I430" i="10"/>
  <c r="I424" i="10"/>
  <c r="I418" i="10"/>
  <c r="I406" i="10"/>
  <c r="I400" i="10"/>
  <c r="I394" i="10"/>
  <c r="I388" i="10"/>
  <c r="I382" i="10"/>
  <c r="I376" i="10"/>
  <c r="I370" i="10"/>
  <c r="I364" i="10"/>
  <c r="I358" i="10"/>
  <c r="I346" i="10"/>
  <c r="I340" i="10"/>
  <c r="I334" i="10"/>
  <c r="I328" i="10"/>
  <c r="I322" i="10"/>
  <c r="I316" i="10"/>
  <c r="I310" i="10"/>
  <c r="I304" i="10"/>
  <c r="I298" i="10"/>
  <c r="I292" i="10"/>
  <c r="I286" i="10"/>
  <c r="I280" i="10"/>
  <c r="I274" i="10"/>
  <c r="I262" i="10"/>
  <c r="I256" i="10"/>
  <c r="I250" i="10"/>
  <c r="I244" i="10"/>
  <c r="I238" i="10"/>
  <c r="I232" i="10"/>
  <c r="I226" i="10"/>
  <c r="I220" i="10"/>
  <c r="I214" i="10"/>
  <c r="I208" i="10"/>
  <c r="I202" i="10"/>
  <c r="I196" i="10"/>
  <c r="I190" i="10"/>
  <c r="I184" i="10"/>
  <c r="I178" i="10"/>
  <c r="I172" i="10"/>
  <c r="I166" i="10"/>
  <c r="I160" i="10"/>
  <c r="I154" i="10"/>
  <c r="I148" i="10"/>
  <c r="I142" i="10"/>
  <c r="I136" i="10"/>
  <c r="I130" i="10"/>
  <c r="I124" i="10"/>
  <c r="I118" i="10"/>
  <c r="I112" i="10"/>
  <c r="I106" i="10"/>
  <c r="I100" i="10"/>
  <c r="I94" i="10"/>
  <c r="I88" i="10"/>
  <c r="I82" i="10"/>
  <c r="I76" i="10"/>
  <c r="I70" i="10"/>
  <c r="I64" i="10"/>
  <c r="I58" i="10"/>
  <c r="I46" i="10"/>
  <c r="I40" i="10"/>
  <c r="I34" i="10"/>
  <c r="I28" i="10"/>
  <c r="I22" i="10"/>
  <c r="I16" i="10"/>
  <c r="I10" i="10"/>
  <c r="I4" i="10"/>
  <c r="I1355" i="10"/>
  <c r="I1343" i="10"/>
  <c r="I1325" i="10"/>
  <c r="I1313" i="10"/>
  <c r="I1289" i="10"/>
  <c r="I1265" i="10"/>
  <c r="I1241" i="10"/>
  <c r="I1205" i="10"/>
  <c r="I1175" i="10"/>
  <c r="I1133" i="10"/>
  <c r="I1043" i="10"/>
  <c r="I1025" i="10"/>
  <c r="I971" i="10"/>
  <c r="I953" i="10"/>
  <c r="I923" i="10"/>
  <c r="I905" i="10"/>
  <c r="I875" i="10"/>
  <c r="I845" i="10"/>
  <c r="I773" i="10"/>
  <c r="I743" i="10"/>
  <c r="I725" i="10"/>
  <c r="I665" i="10"/>
  <c r="I653" i="10"/>
  <c r="I623" i="10"/>
  <c r="I491" i="10"/>
  <c r="I473" i="10"/>
  <c r="I455" i="10"/>
  <c r="I431" i="10"/>
  <c r="I419" i="10"/>
  <c r="I401" i="10"/>
  <c r="I371" i="10"/>
  <c r="I365" i="10"/>
  <c r="I353" i="10"/>
  <c r="I335" i="10"/>
  <c r="I329" i="10"/>
  <c r="I317" i="10"/>
  <c r="I299" i="10"/>
  <c r="I293" i="10"/>
  <c r="I281" i="10"/>
  <c r="I275" i="10"/>
  <c r="I233" i="10"/>
  <c r="I221" i="10"/>
  <c r="I215" i="10"/>
  <c r="I203" i="10"/>
  <c r="I161" i="10"/>
  <c r="I125" i="10"/>
  <c r="I113" i="10"/>
  <c r="I47" i="10"/>
  <c r="I35" i="10"/>
  <c r="I23" i="10"/>
  <c r="I5" i="10"/>
  <c r="I1391" i="10"/>
  <c r="I1283" i="10"/>
  <c r="I1349" i="10"/>
  <c r="I1253" i="10"/>
  <c r="I1235" i="10"/>
  <c r="I1217" i="10"/>
  <c r="I1193" i="10"/>
  <c r="I1169" i="10"/>
  <c r="I1151" i="10"/>
  <c r="I1127" i="10"/>
  <c r="I1109" i="10"/>
  <c r="I1085" i="10"/>
  <c r="I1061" i="10"/>
  <c r="I1037" i="10"/>
  <c r="I1013" i="10"/>
  <c r="I947" i="10"/>
  <c r="I929" i="10"/>
  <c r="I917" i="10"/>
  <c r="I911" i="10"/>
  <c r="I893" i="10"/>
  <c r="I881" i="10"/>
  <c r="I869" i="10"/>
  <c r="I863" i="10"/>
  <c r="I851" i="10"/>
  <c r="I839" i="10"/>
  <c r="I833" i="10"/>
  <c r="I821" i="10"/>
  <c r="I803" i="10"/>
  <c r="I785" i="10"/>
  <c r="I767" i="10"/>
  <c r="I755" i="10"/>
  <c r="I731" i="10"/>
  <c r="I713" i="10"/>
  <c r="I707" i="10"/>
  <c r="I689" i="10"/>
  <c r="I683" i="10"/>
  <c r="I635" i="10"/>
  <c r="I617" i="10"/>
  <c r="I605" i="10"/>
  <c r="I593" i="10"/>
  <c r="I587" i="10"/>
  <c r="I575" i="10"/>
  <c r="I563" i="10"/>
  <c r="I557" i="10"/>
  <c r="I551" i="10"/>
  <c r="I539" i="10"/>
  <c r="I533" i="10"/>
  <c r="I521" i="10"/>
  <c r="I503" i="10"/>
  <c r="I479" i="10"/>
  <c r="I443" i="10"/>
  <c r="I383" i="10"/>
  <c r="I347" i="10"/>
  <c r="I311" i="10"/>
  <c r="I257" i="10"/>
  <c r="I251" i="10"/>
  <c r="I239" i="10"/>
  <c r="I197" i="10"/>
  <c r="I185" i="10"/>
  <c r="I149" i="10"/>
  <c r="I143" i="10"/>
  <c r="I131" i="10"/>
  <c r="I71" i="10"/>
  <c r="I59" i="10"/>
  <c r="I41" i="10"/>
  <c r="I29" i="10"/>
  <c r="I11" i="10"/>
  <c r="I677" i="10"/>
  <c r="I263" i="10"/>
  <c r="I209" i="10"/>
  <c r="I155" i="10"/>
  <c r="I101" i="10"/>
  <c r="I1410" i="10"/>
  <c r="I1399" i="10"/>
  <c r="I1389" i="10"/>
  <c r="I1380" i="10"/>
  <c r="I1368" i="10"/>
  <c r="I1356" i="10"/>
  <c r="I1344" i="10"/>
  <c r="I1332" i="10"/>
  <c r="I1321" i="10"/>
  <c r="I1309" i="10"/>
  <c r="I1299" i="10"/>
  <c r="I1290" i="10"/>
  <c r="I1281" i="10"/>
  <c r="I1269" i="10"/>
  <c r="I1260" i="10"/>
  <c r="I1239" i="10"/>
  <c r="I1230" i="10"/>
  <c r="I1219" i="10"/>
  <c r="I1211" i="10"/>
  <c r="I1200" i="10"/>
  <c r="I1189" i="10"/>
  <c r="I1170" i="10"/>
  <c r="I1159" i="10"/>
  <c r="I1140" i="10"/>
  <c r="I1129" i="10"/>
  <c r="I1119" i="10"/>
  <c r="I1110" i="10"/>
  <c r="I1099" i="10"/>
  <c r="I1077" i="10"/>
  <c r="I1069" i="10"/>
  <c r="I1059" i="10"/>
  <c r="I1050" i="10"/>
  <c r="I1039" i="10"/>
  <c r="I1029" i="10"/>
  <c r="I1020" i="10"/>
  <c r="I1009" i="10"/>
  <c r="I997" i="10"/>
  <c r="I987" i="10"/>
  <c r="I977" i="10"/>
  <c r="I809" i="10"/>
  <c r="I509" i="10"/>
  <c r="I395" i="10"/>
  <c r="I1418" i="10"/>
  <c r="I1412" i="10"/>
  <c r="I1406" i="10"/>
  <c r="I1400" i="10"/>
  <c r="I1394" i="10"/>
  <c r="I1388" i="10"/>
  <c r="I1382" i="10"/>
  <c r="I1376" i="10"/>
  <c r="I1370" i="10"/>
  <c r="I1364" i="10"/>
  <c r="I1358" i="10"/>
  <c r="I1352" i="10"/>
  <c r="I1346" i="10"/>
  <c r="I1340" i="10"/>
  <c r="I1334" i="10"/>
  <c r="I1328" i="10"/>
  <c r="I1322" i="10"/>
  <c r="I1316" i="10"/>
  <c r="I1310" i="10"/>
  <c r="I1298" i="10"/>
  <c r="I1280" i="10"/>
  <c r="I1274" i="10"/>
  <c r="I1262" i="10"/>
  <c r="I1244" i="10"/>
  <c r="I1238" i="10"/>
  <c r="I1226" i="10"/>
  <c r="I1208" i="10"/>
  <c r="I1202" i="10"/>
  <c r="I1190" i="10"/>
  <c r="I1172" i="10"/>
  <c r="I1166" i="10"/>
  <c r="I1154" i="10"/>
  <c r="I1136" i="10"/>
  <c r="I1130" i="10"/>
  <c r="I1118" i="10"/>
  <c r="I1100" i="10"/>
  <c r="I1094" i="10"/>
  <c r="I1082" i="10"/>
  <c r="I1064" i="10"/>
  <c r="I1058" i="10"/>
  <c r="I1046" i="10"/>
  <c r="I1028" i="10"/>
  <c r="I1016" i="10"/>
  <c r="I1010" i="10"/>
  <c r="I1004" i="10"/>
  <c r="I998" i="10"/>
  <c r="I992" i="10"/>
  <c r="I986" i="10"/>
  <c r="I980" i="10"/>
  <c r="I974" i="10"/>
  <c r="I968" i="10"/>
  <c r="I962" i="10"/>
  <c r="I956" i="10"/>
  <c r="I950" i="10"/>
  <c r="I944" i="10"/>
  <c r="I938" i="10"/>
  <c r="I932" i="10"/>
  <c r="I926" i="10"/>
  <c r="I914" i="10"/>
  <c r="I908" i="10"/>
  <c r="I902" i="10"/>
  <c r="I896" i="10"/>
  <c r="I890" i="10"/>
  <c r="I884" i="10"/>
  <c r="I878" i="10"/>
  <c r="I872" i="10"/>
  <c r="I866" i="10"/>
  <c r="I860" i="10"/>
  <c r="I854" i="10"/>
  <c r="I848" i="10"/>
  <c r="I842" i="10"/>
  <c r="I836" i="10"/>
  <c r="I830" i="10"/>
  <c r="I824" i="10"/>
  <c r="I818" i="10"/>
  <c r="I812" i="10"/>
  <c r="I806" i="10"/>
  <c r="I800" i="10"/>
  <c r="I794" i="10"/>
  <c r="I782" i="10"/>
  <c r="I776" i="10"/>
  <c r="I770" i="10"/>
  <c r="I764" i="10"/>
  <c r="I758" i="10"/>
  <c r="I752" i="10"/>
  <c r="I746" i="10"/>
  <c r="I740" i="10"/>
  <c r="I734" i="10"/>
  <c r="I728" i="10"/>
  <c r="I722" i="10"/>
  <c r="I716" i="10"/>
  <c r="I710" i="10"/>
  <c r="I704" i="10"/>
  <c r="I698" i="10"/>
  <c r="I692" i="10"/>
  <c r="I686" i="10"/>
  <c r="I680" i="10"/>
  <c r="I674" i="10"/>
  <c r="I668" i="10"/>
  <c r="I662" i="10"/>
  <c r="I656" i="10"/>
  <c r="I650" i="10"/>
  <c r="I644" i="10"/>
  <c r="I638" i="10"/>
  <c r="I632" i="10"/>
  <c r="I626" i="10"/>
  <c r="I620" i="10"/>
  <c r="I614" i="10"/>
  <c r="I608" i="10"/>
  <c r="I602" i="10"/>
  <c r="I596" i="10"/>
  <c r="I590" i="10"/>
  <c r="I584" i="10"/>
  <c r="I572" i="10"/>
  <c r="I566" i="10"/>
  <c r="I560" i="10"/>
  <c r="I554" i="10"/>
  <c r="I548" i="10"/>
  <c r="I542" i="10"/>
  <c r="I536" i="10"/>
  <c r="I530" i="10"/>
  <c r="I524" i="10"/>
  <c r="I518" i="10"/>
  <c r="I512" i="10"/>
  <c r="I506" i="10"/>
  <c r="I500" i="10"/>
  <c r="I494" i="10"/>
  <c r="I488" i="10"/>
  <c r="I482" i="10"/>
  <c r="I476" i="10"/>
  <c r="I470" i="10"/>
  <c r="I464" i="10"/>
  <c r="I458" i="10"/>
  <c r="I452" i="10"/>
  <c r="I446" i="10"/>
  <c r="I440" i="10"/>
  <c r="I434" i="10"/>
  <c r="I428" i="10"/>
  <c r="I422" i="10"/>
  <c r="I416" i="10"/>
  <c r="I410" i="10"/>
  <c r="I404" i="10"/>
  <c r="I398" i="10"/>
  <c r="I392" i="10"/>
  <c r="I386" i="10"/>
  <c r="I380" i="10"/>
  <c r="I374" i="10"/>
  <c r="I368" i="10"/>
  <c r="I362" i="10"/>
  <c r="I356" i="10"/>
  <c r="I350" i="10"/>
  <c r="I344" i="10"/>
  <c r="I338" i="10"/>
  <c r="I332" i="10"/>
  <c r="I326" i="10"/>
  <c r="I320" i="10"/>
  <c r="I314" i="10"/>
  <c r="I308" i="10"/>
  <c r="I302" i="10"/>
  <c r="I296" i="10"/>
  <c r="I290" i="10"/>
  <c r="I284" i="10"/>
  <c r="I278" i="10"/>
  <c r="I272" i="10"/>
  <c r="I266" i="10"/>
  <c r="I260" i="10"/>
  <c r="I254" i="10"/>
  <c r="I248" i="10"/>
  <c r="I242" i="10"/>
  <c r="I236" i="10"/>
  <c r="I230" i="10"/>
  <c r="I224" i="10"/>
  <c r="I218" i="10"/>
  <c r="I212" i="10"/>
  <c r="I206" i="10"/>
  <c r="I200" i="10"/>
  <c r="I194" i="10"/>
  <c r="I188" i="10"/>
  <c r="I182" i="10"/>
  <c r="I176" i="10"/>
  <c r="I170" i="10"/>
  <c r="I164" i="10"/>
  <c r="I158" i="10"/>
  <c r="I152" i="10"/>
  <c r="I146" i="10"/>
  <c r="I140" i="10"/>
  <c r="I134" i="10"/>
  <c r="I128" i="10"/>
  <c r="I122" i="10"/>
  <c r="I116" i="10"/>
  <c r="I110" i="10"/>
  <c r="I104" i="10"/>
  <c r="I98" i="10"/>
  <c r="I92" i="10"/>
  <c r="I86" i="10"/>
  <c r="I80" i="10"/>
  <c r="I74" i="10"/>
  <c r="I68" i="10"/>
  <c r="I62" i="10"/>
  <c r="I56" i="10"/>
  <c r="I50" i="10"/>
  <c r="I44" i="10"/>
  <c r="I38" i="10"/>
  <c r="I32" i="10"/>
  <c r="I26" i="10"/>
  <c r="I20" i="10"/>
  <c r="I14" i="10"/>
  <c r="I8" i="10"/>
  <c r="I1415" i="10"/>
  <c r="I1385" i="10"/>
  <c r="I1319" i="10"/>
  <c r="I1295" i="10"/>
  <c r="I1277" i="10"/>
  <c r="I1259" i="10"/>
  <c r="I1247" i="10"/>
  <c r="I1229" i="10"/>
  <c r="I1199" i="10"/>
  <c r="I1181" i="10"/>
  <c r="I1163" i="10"/>
  <c r="I1145" i="10"/>
  <c r="I1115" i="10"/>
  <c r="I1097" i="10"/>
  <c r="I1079" i="10"/>
  <c r="I1055" i="10"/>
  <c r="I1031" i="10"/>
  <c r="I1001" i="10"/>
  <c r="I899" i="10"/>
  <c r="I815" i="10"/>
  <c r="I797" i="10"/>
  <c r="I779" i="10"/>
  <c r="I749" i="10"/>
  <c r="I737" i="10"/>
  <c r="I719" i="10"/>
  <c r="I701" i="10"/>
  <c r="I671" i="10"/>
  <c r="I611" i="10"/>
  <c r="I449" i="10"/>
  <c r="I1409" i="10"/>
  <c r="I1331" i="10"/>
  <c r="I1139" i="10"/>
  <c r="I1019" i="10"/>
  <c r="I695" i="10"/>
  <c r="I641" i="10"/>
  <c r="I227" i="10"/>
  <c r="I173" i="10"/>
  <c r="I119" i="10"/>
  <c r="I65" i="10"/>
  <c r="M786" i="10"/>
  <c r="M90" i="10"/>
  <c r="J895" i="10" l="1"/>
  <c r="J1075" i="10"/>
  <c r="L1473" i="10"/>
  <c r="M1473" i="10" s="1"/>
  <c r="L1437" i="10"/>
  <c r="M1437" i="10" s="1"/>
  <c r="L1076" i="10"/>
  <c r="M1076" i="10" s="1"/>
  <c r="L1489" i="10"/>
  <c r="M1489" i="10" s="1"/>
  <c r="L73" i="10"/>
  <c r="M73" i="10" s="1"/>
  <c r="L1002" i="10"/>
  <c r="M1002" i="10" s="1"/>
  <c r="J252" i="10"/>
  <c r="L219" i="10"/>
  <c r="M219" i="10" s="1"/>
  <c r="L1726" i="10"/>
  <c r="M1726" i="10" s="1"/>
  <c r="J972" i="10"/>
  <c r="L1531" i="10"/>
  <c r="M1531" i="10" s="1"/>
  <c r="J156" i="10"/>
  <c r="L678" i="10"/>
  <c r="M678" i="10" s="1"/>
  <c r="J348" i="10"/>
  <c r="L96" i="10"/>
  <c r="M96" i="10" s="1"/>
  <c r="J1441" i="10"/>
  <c r="J738" i="10"/>
  <c r="L1701" i="10"/>
  <c r="M1701" i="10" s="1"/>
  <c r="L1599" i="10"/>
  <c r="M1599" i="10" s="1"/>
  <c r="L792" i="10"/>
  <c r="M792" i="10" s="1"/>
  <c r="L1242" i="10"/>
  <c r="M1242" i="10" s="1"/>
  <c r="J72" i="10"/>
  <c r="J804" i="10"/>
  <c r="J510" i="10"/>
  <c r="J78" i="10"/>
  <c r="L618" i="10"/>
  <c r="M618" i="10" s="1"/>
  <c r="J1736" i="10"/>
  <c r="L828" i="10"/>
  <c r="M828" i="10" s="1"/>
  <c r="L1714" i="10"/>
  <c r="M1714" i="10" s="1"/>
  <c r="J1730" i="10"/>
  <c r="J1731" i="10"/>
  <c r="J36" i="10"/>
  <c r="J1423" i="10"/>
  <c r="J1111" i="10"/>
  <c r="L1147" i="10"/>
  <c r="M1147" i="10" s="1"/>
  <c r="L325" i="10"/>
  <c r="M325" i="10" s="1"/>
  <c r="L439" i="10"/>
  <c r="M439" i="10" s="1"/>
  <c r="J757" i="10"/>
  <c r="L1105" i="10"/>
  <c r="M1105" i="10" s="1"/>
  <c r="L1693" i="10"/>
  <c r="M1693" i="10" s="1"/>
  <c r="L1535" i="10"/>
  <c r="M1535" i="10" s="1"/>
  <c r="J937" i="10"/>
  <c r="J1700" i="10"/>
  <c r="L768" i="10"/>
  <c r="M768" i="10" s="1"/>
  <c r="L990" i="10"/>
  <c r="M990" i="10" s="1"/>
  <c r="L1477" i="10"/>
  <c r="M1477" i="10" s="1"/>
  <c r="L816" i="10"/>
  <c r="M816" i="10" s="1"/>
  <c r="L1612" i="10"/>
  <c r="M1612" i="10" s="1"/>
  <c r="L120" i="10"/>
  <c r="M120" i="10" s="1"/>
  <c r="L1122" i="10"/>
  <c r="M1122" i="10" s="1"/>
  <c r="L1080" i="10"/>
  <c r="M1080" i="10" s="1"/>
  <c r="L1600" i="10"/>
  <c r="M1600" i="10" s="1"/>
  <c r="L42" i="10"/>
  <c r="M42" i="10" s="1"/>
  <c r="L282" i="10"/>
  <c r="M282" i="10" s="1"/>
  <c r="L666" i="10"/>
  <c r="M666" i="10" s="1"/>
  <c r="L1671" i="10"/>
  <c r="M1671" i="10" s="1"/>
  <c r="L204" i="10"/>
  <c r="M204" i="10" s="1"/>
  <c r="L750" i="10"/>
  <c r="M750" i="10" s="1"/>
  <c r="L1491" i="10"/>
  <c r="M1491" i="10" s="1"/>
  <c r="L1710" i="10"/>
  <c r="M1710" i="10" s="1"/>
  <c r="L1678" i="10"/>
  <c r="M1678" i="10" s="1"/>
  <c r="L277" i="10"/>
  <c r="M277" i="10" s="1"/>
  <c r="L870" i="10"/>
  <c r="M870" i="10" s="1"/>
  <c r="J1524" i="10"/>
  <c r="L438" i="10"/>
  <c r="M438" i="10" s="1"/>
  <c r="J763" i="10"/>
  <c r="L1518" i="10"/>
  <c r="M1518" i="10" s="1"/>
  <c r="L1617" i="10"/>
  <c r="M1617" i="10" s="1"/>
  <c r="J271" i="10"/>
  <c r="L1635" i="10"/>
  <c r="M1635" i="10" s="1"/>
  <c r="L1164" i="10"/>
  <c r="M1164" i="10" s="1"/>
  <c r="L1429" i="10"/>
  <c r="M1429" i="10" s="1"/>
  <c r="L1479" i="10"/>
  <c r="M1479" i="10" s="1"/>
  <c r="L138" i="10"/>
  <c r="M138" i="10" s="1"/>
  <c r="L1146" i="10"/>
  <c r="M1146" i="10" s="1"/>
  <c r="J216" i="10"/>
  <c r="L354" i="10"/>
  <c r="M354" i="10" s="1"/>
  <c r="L474" i="10"/>
  <c r="M474" i="10" s="1"/>
  <c r="L822" i="10"/>
  <c r="M822" i="10" s="1"/>
  <c r="L744" i="10"/>
  <c r="M744" i="10" s="1"/>
  <c r="L1526" i="10"/>
  <c r="M1526" i="10" s="1"/>
  <c r="L709" i="10"/>
  <c r="M709" i="10" s="1"/>
  <c r="L1014" i="10"/>
  <c r="M1014" i="10" s="1"/>
  <c r="J1291" i="10"/>
  <c r="J1431" i="10"/>
  <c r="L1021" i="10"/>
  <c r="M1021" i="10" s="1"/>
  <c r="J615" i="10"/>
  <c r="L504" i="10"/>
  <c r="M504" i="10" s="1"/>
  <c r="L1092" i="10"/>
  <c r="M1092" i="10" s="1"/>
  <c r="J1351" i="10"/>
  <c r="L931" i="10"/>
  <c r="M931" i="10" s="1"/>
  <c r="L1592" i="10"/>
  <c r="M1592" i="10" s="1"/>
  <c r="L253" i="10"/>
  <c r="M253" i="10" s="1"/>
  <c r="J805" i="10"/>
  <c r="J714" i="10"/>
  <c r="L300" i="10"/>
  <c r="M300" i="10" s="1"/>
  <c r="J450" i="10"/>
  <c r="L852" i="10"/>
  <c r="M852" i="10" s="1"/>
  <c r="L1530" i="10"/>
  <c r="M1530" i="10" s="1"/>
  <c r="L245" i="10"/>
  <c r="M245" i="10" s="1"/>
  <c r="L1471" i="10"/>
  <c r="M1471" i="10" s="1"/>
  <c r="L588" i="10"/>
  <c r="M588" i="10" s="1"/>
  <c r="L1086" i="10"/>
  <c r="M1086" i="10" s="1"/>
  <c r="L567" i="10"/>
  <c r="M567" i="10" s="1"/>
  <c r="J6" i="10"/>
  <c r="L1074" i="10"/>
  <c r="M1074" i="10" s="1"/>
  <c r="L996" i="10"/>
  <c r="M996" i="10" s="1"/>
  <c r="L1068" i="10"/>
  <c r="M1068" i="10" s="1"/>
  <c r="L1449" i="10"/>
  <c r="M1449" i="10" s="1"/>
  <c r="L858" i="10"/>
  <c r="M858" i="10" s="1"/>
  <c r="J1320" i="10"/>
  <c r="J31" i="10"/>
  <c r="L1537" i="10"/>
  <c r="M1537" i="10" s="1"/>
  <c r="L1589" i="10"/>
  <c r="M1589" i="10" s="1"/>
  <c r="J640" i="10"/>
  <c r="J369" i="10"/>
  <c r="L1405" i="10"/>
  <c r="M1405" i="10" s="1"/>
  <c r="J948" i="10"/>
  <c r="L1450" i="10"/>
  <c r="M1450" i="10" s="1"/>
  <c r="J319" i="10"/>
  <c r="L541" i="10"/>
  <c r="M541" i="10" s="1"/>
  <c r="L906" i="10"/>
  <c r="M906" i="10" s="1"/>
  <c r="J324" i="10"/>
  <c r="J765" i="10"/>
  <c r="L1148" i="10"/>
  <c r="M1148" i="10" s="1"/>
  <c r="J1196" i="10"/>
  <c r="L1668" i="10"/>
  <c r="M1668" i="10" s="1"/>
  <c r="L1315" i="10"/>
  <c r="M1315" i="10" s="1"/>
  <c r="L463" i="10"/>
  <c r="M463" i="10" s="1"/>
  <c r="L1574" i="10"/>
  <c r="M1574" i="10" s="1"/>
  <c r="L1579" i="10"/>
  <c r="M1579" i="10" s="1"/>
  <c r="L871" i="10"/>
  <c r="M871" i="10" s="1"/>
  <c r="J943" i="10"/>
  <c r="J342" i="10"/>
  <c r="L1142" i="10"/>
  <c r="M1142" i="10" s="1"/>
  <c r="L684" i="10"/>
  <c r="M684" i="10" s="1"/>
  <c r="L1580" i="10"/>
  <c r="M1580" i="10" s="1"/>
  <c r="J498" i="10"/>
  <c r="L1407" i="10"/>
  <c r="M1407" i="10" s="1"/>
  <c r="J1008" i="10"/>
  <c r="L1613" i="10"/>
  <c r="M1613" i="10" s="1"/>
  <c r="L1596" i="10"/>
  <c r="M1596" i="10" s="1"/>
  <c r="J1034" i="10"/>
  <c r="L1256" i="10"/>
  <c r="M1256" i="10" s="1"/>
  <c r="J496" i="10"/>
  <c r="L637" i="10"/>
  <c r="M637" i="10" s="1"/>
  <c r="J258" i="10"/>
  <c r="J1093" i="10"/>
  <c r="L415" i="10"/>
  <c r="M415" i="10" s="1"/>
  <c r="L24" i="10"/>
  <c r="M24" i="10" s="1"/>
  <c r="L360" i="10"/>
  <c r="M360" i="10" s="1"/>
  <c r="L894" i="10"/>
  <c r="M894" i="10" s="1"/>
  <c r="L835" i="10"/>
  <c r="M835" i="10" s="1"/>
  <c r="L1597" i="10"/>
  <c r="M1597" i="10" s="1"/>
  <c r="J414" i="10"/>
  <c r="L1663" i="10"/>
  <c r="M1663" i="10" s="1"/>
  <c r="L1666" i="10"/>
  <c r="M1666" i="10" s="1"/>
  <c r="L876" i="10"/>
  <c r="M876" i="10" s="1"/>
  <c r="J390" i="10"/>
  <c r="L1177" i="10"/>
  <c r="M1177" i="10" s="1"/>
  <c r="L1065" i="10"/>
  <c r="M1065" i="10" s="1"/>
  <c r="L1350" i="10"/>
  <c r="M1350" i="10" s="1"/>
  <c r="J1232" i="10"/>
  <c r="L817" i="10"/>
  <c r="M817" i="10" s="1"/>
  <c r="J579" i="10"/>
  <c r="L1022" i="10"/>
  <c r="M1022" i="10" s="1"/>
  <c r="L547" i="10"/>
  <c r="M547" i="10" s="1"/>
  <c r="L1160" i="10"/>
  <c r="M1160" i="10" s="1"/>
  <c r="L963" i="10"/>
  <c r="M963" i="10" s="1"/>
  <c r="L52" i="10"/>
  <c r="M52" i="10" s="1"/>
  <c r="J205" i="10"/>
  <c r="L627" i="10"/>
  <c r="M627" i="10" s="1"/>
  <c r="L733" i="10"/>
  <c r="M733" i="10" s="1"/>
  <c r="L717" i="10"/>
  <c r="M717" i="10" s="1"/>
  <c r="J1063" i="10"/>
  <c r="L163" i="10"/>
  <c r="M163" i="10" s="1"/>
  <c r="L313" i="10"/>
  <c r="M313" i="10" s="1"/>
  <c r="J1454" i="10"/>
  <c r="L1141" i="10"/>
  <c r="M1141" i="10" s="1"/>
  <c r="L331" i="10"/>
  <c r="M331" i="10" s="1"/>
  <c r="J679" i="10"/>
  <c r="L193" i="10"/>
  <c r="M193" i="10" s="1"/>
  <c r="L517" i="10"/>
  <c r="M517" i="10" s="1"/>
  <c r="L901" i="10"/>
  <c r="M901" i="10" s="1"/>
  <c r="J811" i="10"/>
  <c r="J235" i="10"/>
  <c r="J1448" i="10"/>
  <c r="L217" i="10"/>
  <c r="M217" i="10" s="1"/>
  <c r="L949" i="10"/>
  <c r="M949" i="10" s="1"/>
  <c r="L61" i="10"/>
  <c r="M61" i="10" s="1"/>
  <c r="J988" i="10"/>
  <c r="J1442" i="10"/>
  <c r="L207" i="10"/>
  <c r="M207" i="10" s="1"/>
  <c r="L306" i="10"/>
  <c r="M306" i="10" s="1"/>
  <c r="J352" i="10"/>
  <c r="L702" i="10"/>
  <c r="M702" i="10" s="1"/>
  <c r="L1248" i="10"/>
  <c r="M1248" i="10" s="1"/>
  <c r="L654" i="10"/>
  <c r="M654" i="10" s="1"/>
  <c r="J223" i="10"/>
  <c r="L397" i="10"/>
  <c r="M397" i="10" s="1"/>
  <c r="L960" i="10"/>
  <c r="M960" i="10" s="1"/>
  <c r="L48" i="10"/>
  <c r="M48" i="10" s="1"/>
  <c r="L1188" i="10"/>
  <c r="M1188" i="10" s="1"/>
  <c r="L1287" i="10"/>
  <c r="M1287" i="10" s="1"/>
  <c r="L612" i="10"/>
  <c r="M612" i="10" s="1"/>
  <c r="L54" i="10"/>
  <c r="M54" i="10" s="1"/>
  <c r="L192" i="10"/>
  <c r="M192" i="10" s="1"/>
  <c r="L228" i="10"/>
  <c r="M228" i="10" s="1"/>
  <c r="L522" i="10"/>
  <c r="M522" i="10" s="1"/>
  <c r="L408" i="10"/>
  <c r="M408" i="10" s="1"/>
  <c r="L55" i="10"/>
  <c r="M55" i="10" s="1"/>
  <c r="L367" i="10"/>
  <c r="M367" i="10" s="1"/>
  <c r="L582" i="10"/>
  <c r="M582" i="10" s="1"/>
  <c r="L1040" i="10"/>
  <c r="M1040" i="10" s="1"/>
  <c r="L708" i="10"/>
  <c r="M708" i="10" s="1"/>
  <c r="L1032" i="10"/>
  <c r="M1032" i="10" s="1"/>
  <c r="L384" i="10"/>
  <c r="M384" i="10" s="1"/>
  <c r="L168" i="10"/>
  <c r="M168" i="10" s="1"/>
  <c r="L1182" i="10"/>
  <c r="M1182" i="10" s="1"/>
  <c r="L480" i="10"/>
  <c r="M480" i="10" s="1"/>
  <c r="L739" i="10"/>
  <c r="M739" i="10" s="1"/>
  <c r="L973" i="10"/>
  <c r="M973" i="10" s="1"/>
  <c r="L1424" i="10"/>
  <c r="M1424" i="10" s="1"/>
  <c r="L487" i="10"/>
  <c r="M487" i="10" s="1"/>
  <c r="L1268" i="10"/>
  <c r="M1268" i="10" s="1"/>
  <c r="L1292" i="10"/>
  <c r="M1292" i="10" s="1"/>
  <c r="L877" i="10"/>
  <c r="M877" i="10" s="1"/>
  <c r="L186" i="10"/>
  <c r="M186" i="10" s="1"/>
  <c r="L552" i="10"/>
  <c r="M552" i="10" s="1"/>
  <c r="L565" i="10"/>
  <c r="M565" i="10" s="1"/>
  <c r="L846" i="10"/>
  <c r="M846" i="10" s="1"/>
  <c r="L444" i="10"/>
  <c r="M444" i="10" s="1"/>
  <c r="J405" i="10"/>
  <c r="L951" i="10"/>
  <c r="M951" i="10" s="1"/>
  <c r="L198" i="10"/>
  <c r="M198" i="10" s="1"/>
  <c r="L606" i="10"/>
  <c r="M606" i="10" s="1"/>
  <c r="L642" i="10"/>
  <c r="M642" i="10" s="1"/>
  <c r="L330" i="10"/>
  <c r="M330" i="10" s="1"/>
  <c r="J1225" i="10"/>
  <c r="J529" i="10"/>
  <c r="L691" i="10"/>
  <c r="M691" i="10" s="1"/>
  <c r="L102" i="10"/>
  <c r="M102" i="10" s="1"/>
  <c r="L769" i="10"/>
  <c r="M769" i="10" s="1"/>
  <c r="J1267" i="10"/>
  <c r="L402" i="10"/>
  <c r="M402" i="10" s="1"/>
  <c r="L705" i="10"/>
  <c r="M705" i="10" s="1"/>
  <c r="J1236" i="10"/>
  <c r="L864" i="10"/>
  <c r="M864" i="10" s="1"/>
  <c r="J930" i="10"/>
  <c r="L1070" i="10"/>
  <c r="M1070" i="10" s="1"/>
  <c r="L421" i="10"/>
  <c r="M421" i="10" s="1"/>
  <c r="J939" i="10"/>
  <c r="L540" i="10"/>
  <c r="M540" i="10" s="1"/>
  <c r="J199" i="10"/>
  <c r="L499" i="10"/>
  <c r="M499" i="10" s="1"/>
  <c r="L150" i="10"/>
  <c r="M150" i="10" s="1"/>
  <c r="J336" i="10"/>
  <c r="J1057" i="10"/>
  <c r="J157" i="10"/>
  <c r="L576" i="10"/>
  <c r="M576" i="10" s="1"/>
  <c r="L535" i="10"/>
  <c r="M535" i="10" s="1"/>
  <c r="L673" i="10"/>
  <c r="M673" i="10" s="1"/>
  <c r="L1131" i="10"/>
  <c r="M1131" i="10" s="1"/>
  <c r="L361" i="10"/>
  <c r="M361" i="10" s="1"/>
  <c r="L1116" i="10"/>
  <c r="M1116" i="10" s="1"/>
  <c r="L793" i="10"/>
  <c r="M793" i="10" s="1"/>
  <c r="L1333" i="10"/>
  <c r="M1333" i="10" s="1"/>
  <c r="L366" i="10"/>
  <c r="M366" i="10" s="1"/>
  <c r="L753" i="10"/>
  <c r="M753" i="10" s="1"/>
  <c r="L1081" i="10"/>
  <c r="M1081" i="10" s="1"/>
  <c r="L91" i="10"/>
  <c r="M91" i="10" s="1"/>
  <c r="L1015" i="10"/>
  <c r="M1015" i="10" s="1"/>
  <c r="L721" i="10"/>
  <c r="M721" i="10" s="1"/>
  <c r="L781" i="10"/>
  <c r="M781" i="10" s="1"/>
  <c r="L672" i="10"/>
  <c r="M672" i="10" s="1"/>
  <c r="J19" i="10"/>
  <c r="L1285" i="10"/>
  <c r="M1285" i="10" s="1"/>
  <c r="L810" i="10"/>
  <c r="M810" i="10" s="1"/>
  <c r="L1501" i="10"/>
  <c r="M1501" i="10" s="1"/>
  <c r="L175" i="10"/>
  <c r="M175" i="10" s="1"/>
  <c r="L1384" i="10"/>
  <c r="M1384" i="10" s="1"/>
  <c r="L381" i="10"/>
  <c r="M381" i="10" s="1"/>
  <c r="L607" i="10"/>
  <c r="M607" i="10" s="1"/>
  <c r="L451" i="10"/>
  <c r="M451" i="10" s="1"/>
  <c r="L900" i="10"/>
  <c r="M900" i="10" s="1"/>
  <c r="L1447" i="10"/>
  <c r="M1447" i="10" s="1"/>
  <c r="L426" i="10"/>
  <c r="M426" i="10" s="1"/>
  <c r="L462" i="10"/>
  <c r="M462" i="10" s="1"/>
  <c r="L288" i="10"/>
  <c r="M288" i="10" s="1"/>
  <c r="L571" i="10"/>
  <c r="M571" i="10" s="1"/>
  <c r="L955" i="10"/>
  <c r="M955" i="10" s="1"/>
  <c r="L1472" i="10"/>
  <c r="M1472" i="10" s="1"/>
  <c r="L475" i="10"/>
  <c r="M475" i="10" s="1"/>
  <c r="L591" i="10"/>
  <c r="M591" i="10" s="1"/>
  <c r="L109" i="10"/>
  <c r="M109" i="10" s="1"/>
  <c r="J1165" i="10"/>
  <c r="L1255" i="10"/>
  <c r="M1255" i="10" s="1"/>
  <c r="L834" i="10"/>
  <c r="M834" i="10" s="1"/>
  <c r="J343" i="10"/>
  <c r="L696" i="10"/>
  <c r="M696" i="10" s="1"/>
  <c r="L1460" i="10"/>
  <c r="M1460" i="10" s="1"/>
  <c r="L603" i="10"/>
  <c r="M603" i="10" s="1"/>
  <c r="J187" i="10"/>
  <c r="L631" i="10"/>
  <c r="M631" i="10" s="1"/>
  <c r="J457" i="10"/>
  <c r="J829" i="10"/>
  <c r="L594" i="10"/>
  <c r="M594" i="10" s="1"/>
  <c r="L1220" i="10"/>
  <c r="M1220" i="10" s="1"/>
  <c r="L1087" i="10"/>
  <c r="M1087" i="10" s="1"/>
  <c r="L639" i="10"/>
  <c r="M639" i="10" s="1"/>
  <c r="L624" i="10"/>
  <c r="M624" i="10" s="1"/>
  <c r="L703" i="10"/>
  <c r="M703" i="10" s="1"/>
  <c r="J985" i="10"/>
  <c r="L975" i="10"/>
  <c r="M975" i="10" s="1"/>
  <c r="J1393" i="10"/>
  <c r="L726" i="10"/>
  <c r="M726" i="10" s="1"/>
  <c r="J727" i="10"/>
  <c r="L564" i="10"/>
  <c r="M564" i="10" s="1"/>
  <c r="L1272" i="10"/>
  <c r="M1272" i="10" s="1"/>
  <c r="L1386" i="10"/>
  <c r="M1386" i="10" s="1"/>
  <c r="L393" i="10"/>
  <c r="M393" i="10" s="1"/>
  <c r="L456" i="10"/>
  <c r="M456" i="10" s="1"/>
  <c r="L700" i="10"/>
  <c r="M700" i="10" s="1"/>
  <c r="L690" i="10"/>
  <c r="M690" i="10" s="1"/>
  <c r="J1003" i="10"/>
  <c r="L660" i="10"/>
  <c r="M660" i="10" s="1"/>
  <c r="L1089" i="10"/>
  <c r="M1089" i="10" s="1"/>
  <c r="L559" i="10"/>
  <c r="M559" i="10" s="1"/>
  <c r="L534" i="10"/>
  <c r="M534" i="10" s="1"/>
  <c r="L528" i="10"/>
  <c r="M528" i="10" s="1"/>
  <c r="L912" i="10"/>
  <c r="M912" i="10" s="1"/>
  <c r="L1212" i="10"/>
  <c r="M1212" i="10" s="1"/>
  <c r="L468" i="10"/>
  <c r="M468" i="10" s="1"/>
  <c r="L1112" i="10"/>
  <c r="M1112" i="10" s="1"/>
  <c r="L1184" i="10"/>
  <c r="M1184" i="10" s="1"/>
  <c r="J777" i="10"/>
  <c r="L49" i="10"/>
  <c r="M49" i="10" s="1"/>
  <c r="L492" i="10"/>
  <c r="M492" i="10" s="1"/>
  <c r="L685" i="10"/>
  <c r="M685" i="10" s="1"/>
  <c r="L1436" i="10"/>
  <c r="M1436" i="10" s="1"/>
  <c r="L505" i="10"/>
  <c r="M505" i="10" s="1"/>
  <c r="L907" i="10"/>
  <c r="M907" i="10" s="1"/>
  <c r="J97" i="10"/>
  <c r="J247" i="10"/>
  <c r="J445" i="10"/>
  <c r="J643" i="10"/>
  <c r="J241" i="10"/>
  <c r="J181" i="10"/>
  <c r="L259" i="10"/>
  <c r="M259" i="10" s="1"/>
  <c r="H1597" i="10"/>
  <c r="H1752" i="10"/>
  <c r="L523" i="10"/>
  <c r="M523" i="10" s="1"/>
  <c r="L729" i="10"/>
  <c r="M729" i="10" s="1"/>
  <c r="J967" i="10"/>
  <c r="L1634" i="10"/>
  <c r="M1634" i="10" s="1"/>
  <c r="L1038" i="10"/>
  <c r="M1038" i="10" s="1"/>
  <c r="J1106" i="10"/>
  <c r="L1304" i="10"/>
  <c r="M1304" i="10" s="1"/>
  <c r="L265" i="10"/>
  <c r="M265" i="10" s="1"/>
  <c r="L925" i="10"/>
  <c r="M925" i="10" s="1"/>
  <c r="L1496" i="10"/>
  <c r="M1496" i="10" s="1"/>
  <c r="L1490" i="10"/>
  <c r="M1490" i="10" s="1"/>
  <c r="L57" i="10"/>
  <c r="M57" i="10" s="1"/>
  <c r="L1641" i="10"/>
  <c r="M1641" i="10" s="1"/>
  <c r="J1206" i="10"/>
  <c r="L373" i="10"/>
  <c r="M373" i="10" s="1"/>
  <c r="L649" i="10"/>
  <c r="M649" i="10" s="1"/>
  <c r="L7" i="10"/>
  <c r="M7" i="10" s="1"/>
  <c r="L169" i="10"/>
  <c r="M169" i="10" s="1"/>
  <c r="J1195" i="10"/>
  <c r="L1605" i="10"/>
  <c r="M1605" i="10" s="1"/>
  <c r="L13" i="10"/>
  <c r="M13" i="10" s="1"/>
  <c r="L337" i="10"/>
  <c r="M337" i="10" s="1"/>
  <c r="J697" i="10"/>
  <c r="J195" i="10"/>
  <c r="L121" i="10"/>
  <c r="M121" i="10" s="1"/>
  <c r="L655" i="10"/>
  <c r="M655" i="10" s="1"/>
  <c r="J1575" i="10"/>
  <c r="L69" i="10"/>
  <c r="M69" i="10" s="1"/>
  <c r="L79" i="10"/>
  <c r="M79" i="10" s="1"/>
  <c r="L357" i="10"/>
  <c r="M357" i="10" s="1"/>
  <c r="L784" i="10"/>
  <c r="M784" i="10" s="1"/>
  <c r="L409" i="10"/>
  <c r="M409" i="10" s="1"/>
  <c r="L1027" i="10"/>
  <c r="M1027" i="10" s="1"/>
  <c r="J553" i="10"/>
  <c r="J283" i="10"/>
  <c r="J127" i="10"/>
  <c r="L355" i="10"/>
  <c r="M355" i="10" s="1"/>
  <c r="H1458" i="10"/>
  <c r="H256" i="10"/>
  <c r="H848" i="10"/>
  <c r="H1702" i="10"/>
  <c r="H333" i="10"/>
  <c r="H1319" i="10"/>
  <c r="H805" i="10"/>
  <c r="H406" i="10"/>
  <c r="H1615" i="10"/>
  <c r="H1301" i="10"/>
  <c r="H213" i="10"/>
  <c r="H1997" i="10"/>
  <c r="H1139" i="10"/>
  <c r="H1870" i="10"/>
  <c r="H1877" i="10"/>
  <c r="H1933" i="10"/>
  <c r="H1990" i="10"/>
  <c r="H1551" i="10"/>
  <c r="H637" i="10"/>
  <c r="H4" i="10"/>
  <c r="H1769" i="10"/>
  <c r="H1813" i="10"/>
  <c r="L391" i="10"/>
  <c r="M391" i="10" s="1"/>
  <c r="L1231" i="10"/>
  <c r="M1231" i="10" s="1"/>
  <c r="J823" i="10"/>
  <c r="L601" i="10"/>
  <c r="M601" i="10" s="1"/>
  <c r="L1201" i="10"/>
  <c r="M1201" i="10" s="1"/>
  <c r="L556" i="10"/>
  <c r="M556" i="10" s="1"/>
  <c r="H1440" i="10"/>
  <c r="H691" i="10"/>
  <c r="H1853" i="10"/>
  <c r="H1704" i="10"/>
  <c r="H1405" i="10"/>
  <c r="H1402" i="10"/>
  <c r="H986" i="10"/>
  <c r="H1412" i="10"/>
  <c r="H913" i="10"/>
  <c r="H1373" i="10"/>
  <c r="H1643" i="10"/>
  <c r="H1791" i="10"/>
  <c r="H1899" i="10"/>
  <c r="H642" i="10"/>
  <c r="H1180" i="10"/>
  <c r="H1512" i="10"/>
  <c r="H1716" i="10"/>
  <c r="H1847" i="10"/>
  <c r="H1943" i="10"/>
  <c r="H935" i="10"/>
  <c r="H1327" i="10"/>
  <c r="H1648" i="10"/>
  <c r="H1774" i="10"/>
  <c r="H1903" i="10"/>
  <c r="H1999" i="10"/>
  <c r="H1192" i="10"/>
  <c r="H1468" i="10"/>
  <c r="H1720" i="10"/>
  <c r="H1818" i="10"/>
  <c r="H1948" i="10"/>
  <c r="H762" i="10"/>
  <c r="H1309" i="10"/>
  <c r="H1579" i="10"/>
  <c r="H1767" i="10"/>
  <c r="H1863" i="10"/>
  <c r="H1992" i="10"/>
  <c r="H1895" i="10"/>
  <c r="H1794" i="10"/>
  <c r="H1668" i="10"/>
  <c r="H1318" i="10"/>
  <c r="H554" i="10"/>
  <c r="H1728" i="10"/>
  <c r="H1343" i="10"/>
  <c r="H681" i="10"/>
  <c r="H1331" i="10"/>
  <c r="H636" i="10"/>
  <c r="H1330" i="10"/>
  <c r="H626" i="10"/>
  <c r="H1509" i="10"/>
  <c r="H1251" i="10"/>
  <c r="H912" i="10"/>
  <c r="H1982" i="10"/>
  <c r="H1676" i="10"/>
  <c r="H1364" i="10"/>
  <c r="H942" i="10"/>
  <c r="H775" i="10"/>
  <c r="H1032" i="10"/>
  <c r="H134" i="10"/>
  <c r="H1806" i="10"/>
  <c r="H1525" i="10"/>
  <c r="H1917" i="10"/>
  <c r="H777" i="10"/>
  <c r="H1393" i="10"/>
  <c r="H807" i="10"/>
  <c r="H1724" i="10"/>
  <c r="H1001" i="10"/>
  <c r="H1476" i="10"/>
  <c r="H966" i="10"/>
  <c r="H1656" i="10"/>
  <c r="H1972" i="10"/>
  <c r="H1450" i="10"/>
  <c r="H1897" i="10"/>
  <c r="H1260" i="10"/>
  <c r="H36" i="10"/>
  <c r="H72" i="10"/>
  <c r="H108" i="10"/>
  <c r="H144" i="10"/>
  <c r="H180" i="10"/>
  <c r="H216" i="10"/>
  <c r="H252" i="10"/>
  <c r="H288" i="10"/>
  <c r="H324" i="10"/>
  <c r="H25" i="10"/>
  <c r="H61" i="10"/>
  <c r="H97" i="10"/>
  <c r="H133" i="10"/>
  <c r="H169" i="10"/>
  <c r="H205" i="10"/>
  <c r="H241" i="10"/>
  <c r="H277" i="10"/>
  <c r="H313" i="10"/>
  <c r="H349" i="10"/>
  <c r="H385" i="10"/>
  <c r="H421" i="10"/>
  <c r="H457" i="10"/>
  <c r="H493" i="10"/>
  <c r="H20" i="10"/>
  <c r="H74" i="10"/>
  <c r="H128" i="10"/>
  <c r="H182" i="10"/>
  <c r="H236" i="10"/>
  <c r="H290" i="10"/>
  <c r="H344" i="10"/>
  <c r="H387" i="10"/>
  <c r="H430" i="10"/>
  <c r="H473" i="10"/>
  <c r="H516" i="10"/>
  <c r="H553" i="10"/>
  <c r="H589" i="10"/>
  <c r="H625" i="10"/>
  <c r="H39" i="10"/>
  <c r="H93" i="10"/>
  <c r="H147" i="10"/>
  <c r="H201" i="10"/>
  <c r="H255" i="10"/>
  <c r="H309" i="10"/>
  <c r="H23" i="10"/>
  <c r="H77" i="10"/>
  <c r="H131" i="10"/>
  <c r="H185" i="10"/>
  <c r="H239" i="10"/>
  <c r="H293" i="10"/>
  <c r="H347" i="10"/>
  <c r="H390" i="10"/>
  <c r="H434" i="10"/>
  <c r="H477" i="10"/>
  <c r="H520" i="10"/>
  <c r="H556" i="10"/>
  <c r="H592" i="10"/>
  <c r="H628" i="10"/>
  <c r="H664" i="10"/>
  <c r="H700" i="10"/>
  <c r="H736" i="10"/>
  <c r="H772" i="10"/>
  <c r="H808" i="10"/>
  <c r="H844" i="10"/>
  <c r="H880" i="10"/>
  <c r="H916" i="10"/>
  <c r="H952" i="10"/>
  <c r="H988" i="10"/>
  <c r="H1024" i="10"/>
  <c r="H1060" i="10"/>
  <c r="H1096" i="10"/>
  <c r="H1132" i="10"/>
  <c r="H1168" i="10"/>
  <c r="H52" i="10"/>
  <c r="H106" i="10"/>
  <c r="H160" i="10"/>
  <c r="H214" i="10"/>
  <c r="H268" i="10"/>
  <c r="H322" i="10"/>
  <c r="H370" i="10"/>
  <c r="H99" i="10"/>
  <c r="H836" i="10"/>
  <c r="H1612" i="10"/>
  <c r="H1833" i="10"/>
  <c r="H12" i="10"/>
  <c r="H54" i="10"/>
  <c r="H96" i="10"/>
  <c r="H138" i="10"/>
  <c r="H186" i="10"/>
  <c r="H228" i="10"/>
  <c r="H270" i="10"/>
  <c r="H312" i="10"/>
  <c r="H19" i="10"/>
  <c r="H67" i="10"/>
  <c r="H109" i="10"/>
  <c r="H151" i="10"/>
  <c r="H193" i="10"/>
  <c r="H235" i="10"/>
  <c r="H283" i="10"/>
  <c r="H325" i="10"/>
  <c r="H367" i="10"/>
  <c r="H409" i="10"/>
  <c r="H451" i="10"/>
  <c r="H499" i="10"/>
  <c r="H38" i="10"/>
  <c r="H100" i="10"/>
  <c r="H164" i="10"/>
  <c r="H226" i="10"/>
  <c r="H298" i="10"/>
  <c r="H358" i="10"/>
  <c r="H408" i="10"/>
  <c r="H459" i="10"/>
  <c r="H509" i="10"/>
  <c r="H559" i="10"/>
  <c r="H601" i="10"/>
  <c r="H11" i="10"/>
  <c r="H75" i="10"/>
  <c r="H137" i="10"/>
  <c r="H209" i="10"/>
  <c r="H273" i="10"/>
  <c r="H335" i="10"/>
  <c r="H59" i="10"/>
  <c r="H123" i="10"/>
  <c r="H195" i="10"/>
  <c r="H257" i="10"/>
  <c r="H321" i="10"/>
  <c r="H376" i="10"/>
  <c r="H426" i="10"/>
  <c r="H484" i="10"/>
  <c r="H532" i="10"/>
  <c r="H574" i="10"/>
  <c r="H616" i="10"/>
  <c r="H658" i="10"/>
  <c r="H706" i="10"/>
  <c r="H748" i="10"/>
  <c r="H790" i="10"/>
  <c r="H832" i="10"/>
  <c r="H874" i="10"/>
  <c r="H922" i="10"/>
  <c r="H964" i="10"/>
  <c r="H1006" i="10"/>
  <c r="H1048" i="10"/>
  <c r="H1090" i="10"/>
  <c r="H1138" i="10"/>
  <c r="H16" i="10"/>
  <c r="H80" i="10"/>
  <c r="H142" i="10"/>
  <c r="H206" i="10"/>
  <c r="H278" i="10"/>
  <c r="H340" i="10"/>
  <c r="H392" i="10"/>
  <c r="H435" i="10"/>
  <c r="H478" i="10"/>
  <c r="H521" i="10"/>
  <c r="H557" i="10"/>
  <c r="H593" i="10"/>
  <c r="H629" i="10"/>
  <c r="H112" i="10"/>
  <c r="H274" i="10"/>
  <c r="H395" i="10"/>
  <c r="H482" i="10"/>
  <c r="H560" i="10"/>
  <c r="H632" i="10"/>
  <c r="H679" i="10"/>
  <c r="H722" i="10"/>
  <c r="H1638" i="10"/>
  <c r="H1993" i="10"/>
  <c r="H7" i="10"/>
  <c r="H1288" i="10"/>
  <c r="H1768" i="10"/>
  <c r="H18" i="10"/>
  <c r="H60" i="10"/>
  <c r="H102" i="10"/>
  <c r="H150" i="10"/>
  <c r="H192" i="10"/>
  <c r="H234" i="10"/>
  <c r="H276" i="10"/>
  <c r="H318" i="10"/>
  <c r="H31" i="10"/>
  <c r="H73" i="10"/>
  <c r="H115" i="10"/>
  <c r="H157" i="10"/>
  <c r="H199" i="10"/>
  <c r="H247" i="10"/>
  <c r="H289" i="10"/>
  <c r="H331" i="10"/>
  <c r="H373" i="10"/>
  <c r="H415" i="10"/>
  <c r="H463" i="10"/>
  <c r="H505" i="10"/>
  <c r="H46" i="10"/>
  <c r="H110" i="10"/>
  <c r="H172" i="10"/>
  <c r="H244" i="10"/>
  <c r="H308" i="10"/>
  <c r="H365" i="10"/>
  <c r="H416" i="10"/>
  <c r="H466" i="10"/>
  <c r="H523" i="10"/>
  <c r="H565" i="10"/>
  <c r="H607" i="10"/>
  <c r="H21" i="10"/>
  <c r="H83" i="10"/>
  <c r="H155" i="10"/>
  <c r="H219" i="10"/>
  <c r="H281" i="10"/>
  <c r="H345" i="10"/>
  <c r="H69" i="10"/>
  <c r="H141" i="10"/>
  <c r="H5" i="10"/>
  <c r="H1799" i="10"/>
  <c r="H1907" i="10"/>
  <c r="H1077" i="10"/>
  <c r="H1698" i="10"/>
  <c r="H24" i="10"/>
  <c r="H66" i="10"/>
  <c r="H114" i="10"/>
  <c r="H156" i="10"/>
  <c r="H198" i="10"/>
  <c r="H240" i="10"/>
  <c r="H282" i="10"/>
  <c r="H330" i="10"/>
  <c r="H37" i="10"/>
  <c r="H79" i="10"/>
  <c r="H121" i="10"/>
  <c r="H163" i="10"/>
  <c r="H211" i="10"/>
  <c r="H253" i="10"/>
  <c r="H295" i="10"/>
  <c r="H337" i="10"/>
  <c r="H379" i="10"/>
  <c r="H427" i="10"/>
  <c r="H469" i="10"/>
  <c r="H511" i="10"/>
  <c r="H56" i="10"/>
  <c r="H118" i="10"/>
  <c r="H190" i="10"/>
  <c r="H254" i="10"/>
  <c r="H316" i="10"/>
  <c r="H372" i="10"/>
  <c r="H423" i="10"/>
  <c r="H480" i="10"/>
  <c r="H529" i="10"/>
  <c r="H571" i="10"/>
  <c r="H613" i="10"/>
  <c r="H29" i="10"/>
  <c r="H101" i="10"/>
  <c r="H165" i="10"/>
  <c r="H227" i="10"/>
  <c r="H291" i="10"/>
  <c r="H15" i="10"/>
  <c r="H87" i="10"/>
  <c r="H149" i="10"/>
  <c r="H1746" i="10"/>
  <c r="H1342" i="10"/>
  <c r="H1777" i="10"/>
  <c r="H6" i="10"/>
  <c r="H1422" i="10"/>
  <c r="H42" i="10"/>
  <c r="H84" i="10"/>
  <c r="H126" i="10"/>
  <c r="H168" i="10"/>
  <c r="H210" i="10"/>
  <c r="H258" i="10"/>
  <c r="H300" i="10"/>
  <c r="H342" i="10"/>
  <c r="H49" i="10"/>
  <c r="H91" i="10"/>
  <c r="H139" i="10"/>
  <c r="H181" i="10"/>
  <c r="H223" i="10"/>
  <c r="H265" i="10"/>
  <c r="H307" i="10"/>
  <c r="H355" i="10"/>
  <c r="H397" i="10"/>
  <c r="H439" i="10"/>
  <c r="H481" i="10"/>
  <c r="H10" i="10"/>
  <c r="H82" i="10"/>
  <c r="H146" i="10"/>
  <c r="H208" i="10"/>
  <c r="H272" i="10"/>
  <c r="H334" i="10"/>
  <c r="H394" i="10"/>
  <c r="H444" i="10"/>
  <c r="H495" i="10"/>
  <c r="H541" i="10"/>
  <c r="H583" i="10"/>
  <c r="H631" i="10"/>
  <c r="H57" i="10"/>
  <c r="H119" i="10"/>
  <c r="H183" i="10"/>
  <c r="H245" i="10"/>
  <c r="H317" i="10"/>
  <c r="H41" i="10"/>
  <c r="H105" i="10"/>
  <c r="H167" i="10"/>
  <c r="H231" i="10"/>
  <c r="H303" i="10"/>
  <c r="H362" i="10"/>
  <c r="H412" i="10"/>
  <c r="H462" i="10"/>
  <c r="H513" i="10"/>
  <c r="H562" i="10"/>
  <c r="H604" i="10"/>
  <c r="H646" i="10"/>
  <c r="H688" i="10"/>
  <c r="H730" i="10"/>
  <c r="H778" i="10"/>
  <c r="H820" i="10"/>
  <c r="H862" i="10"/>
  <c r="H904" i="10"/>
  <c r="H946" i="10"/>
  <c r="H994" i="10"/>
  <c r="H1036" i="10"/>
  <c r="H1078" i="10"/>
  <c r="H1120" i="10"/>
  <c r="H1162" i="10"/>
  <c r="H62" i="10"/>
  <c r="H124" i="10"/>
  <c r="H188" i="10"/>
  <c r="H250" i="10"/>
  <c r="H314" i="10"/>
  <c r="H377" i="10"/>
  <c r="H420" i="10"/>
  <c r="H464" i="10"/>
  <c r="H507" i="10"/>
  <c r="H545" i="10"/>
  <c r="H581" i="10"/>
  <c r="H617" i="10"/>
  <c r="H58" i="10"/>
  <c r="H220" i="10"/>
  <c r="H366" i="10"/>
  <c r="H453" i="10"/>
  <c r="H536" i="10"/>
  <c r="H608" i="10"/>
  <c r="H665" i="10"/>
  <c r="H708" i="10"/>
  <c r="H751" i="10"/>
  <c r="H794" i="10"/>
  <c r="H837" i="10"/>
  <c r="H881" i="10"/>
  <c r="H924" i="10"/>
  <c r="H967" i="10"/>
  <c r="H1010" i="10"/>
  <c r="H1053" i="10"/>
  <c r="H1097" i="10"/>
  <c r="H143" i="10"/>
  <c r="H305" i="10"/>
  <c r="H411" i="10"/>
  <c r="H497" i="10"/>
  <c r="H573" i="10"/>
  <c r="H644" i="10"/>
  <c r="H687" i="10"/>
  <c r="H731" i="10"/>
  <c r="H774" i="10"/>
  <c r="H817" i="10"/>
  <c r="H860" i="10"/>
  <c r="H903" i="10"/>
  <c r="H947" i="10"/>
  <c r="H990" i="10"/>
  <c r="H184" i="10"/>
  <c r="H389" i="10"/>
  <c r="H519" i="10"/>
  <c r="H627" i="10"/>
  <c r="H698" i="10"/>
  <c r="H763" i="10"/>
  <c r="H828" i="10"/>
  <c r="H893" i="10"/>
  <c r="H957" i="10"/>
  <c r="H1019" i="10"/>
  <c r="H1070" i="10"/>
  <c r="H1118" i="10"/>
  <c r="H1161" i="10"/>
  <c r="H1199" i="10"/>
  <c r="H153" i="10"/>
  <c r="H374" i="10"/>
  <c r="H503" i="10"/>
  <c r="H614" i="10"/>
  <c r="H690" i="10"/>
  <c r="H207" i="10"/>
  <c r="H402" i="10"/>
  <c r="H530" i="10"/>
  <c r="H638" i="10"/>
  <c r="H704" i="10"/>
  <c r="H769" i="10"/>
  <c r="H834" i="10"/>
  <c r="H899" i="10"/>
  <c r="H963" i="10"/>
  <c r="H1022" i="10"/>
  <c r="H1074" i="10"/>
  <c r="H1122" i="10"/>
  <c r="H1165" i="10"/>
  <c r="H1202" i="10"/>
  <c r="H1238" i="10"/>
  <c r="H1274" i="10"/>
  <c r="H1310" i="10"/>
  <c r="H1346" i="10"/>
  <c r="H1382" i="10"/>
  <c r="H1418" i="10"/>
  <c r="H1454" i="10"/>
  <c r="H1490" i="10"/>
  <c r="H1526" i="10"/>
  <c r="H1562" i="10"/>
  <c r="H1598" i="10"/>
  <c r="H1634" i="10"/>
  <c r="H1670" i="10"/>
  <c r="H1706" i="10"/>
  <c r="H1742" i="10"/>
  <c r="H1778" i="10"/>
  <c r="H1814" i="10"/>
  <c r="H1850" i="10"/>
  <c r="H1886" i="10"/>
  <c r="H1922" i="10"/>
  <c r="H1958" i="10"/>
  <c r="H1994" i="10"/>
  <c r="H176" i="10"/>
  <c r="H386" i="10"/>
  <c r="H515" i="10"/>
  <c r="H624" i="10"/>
  <c r="H696" i="10"/>
  <c r="H761" i="10"/>
  <c r="H825" i="10"/>
  <c r="H1710" i="10"/>
  <c r="H1821" i="10"/>
  <c r="H707" i="10"/>
  <c r="H78" i="10"/>
  <c r="H204" i="10"/>
  <c r="H336" i="10"/>
  <c r="H127" i="10"/>
  <c r="H259" i="10"/>
  <c r="H391" i="10"/>
  <c r="H517" i="10"/>
  <c r="H200" i="10"/>
  <c r="H380" i="10"/>
  <c r="H535" i="10"/>
  <c r="H47" i="10"/>
  <c r="H237" i="10"/>
  <c r="H95" i="10"/>
  <c r="H221" i="10"/>
  <c r="H329" i="10"/>
  <c r="H405" i="10"/>
  <c r="H491" i="10"/>
  <c r="H550" i="10"/>
  <c r="H622" i="10"/>
  <c r="H682" i="10"/>
  <c r="H754" i="10"/>
  <c r="H814" i="10"/>
  <c r="H886" i="10"/>
  <c r="H940" i="10"/>
  <c r="H1012" i="10"/>
  <c r="H1072" i="10"/>
  <c r="H1144" i="10"/>
  <c r="H44" i="10"/>
  <c r="H152" i="10"/>
  <c r="H242" i="10"/>
  <c r="H348" i="10"/>
  <c r="H413" i="10"/>
  <c r="H485" i="10"/>
  <c r="H539" i="10"/>
  <c r="H599" i="10"/>
  <c r="H32" i="10"/>
  <c r="H302" i="10"/>
  <c r="H438" i="10"/>
  <c r="H572" i="10"/>
  <c r="H657" i="10"/>
  <c r="H729" i="10"/>
  <c r="H780" i="10"/>
  <c r="H830" i="10"/>
  <c r="H888" i="10"/>
  <c r="H938" i="10"/>
  <c r="H989" i="10"/>
  <c r="H1039" i="10"/>
  <c r="H1089" i="10"/>
  <c r="H171" i="10"/>
  <c r="H353" i="10"/>
  <c r="H454" i="10"/>
  <c r="H549" i="10"/>
  <c r="H633" i="10"/>
  <c r="H695" i="10"/>
  <c r="H745" i="10"/>
  <c r="H795" i="10"/>
  <c r="H846" i="10"/>
  <c r="H896" i="10"/>
  <c r="H954" i="10"/>
  <c r="H22" i="10"/>
  <c r="H310" i="10"/>
  <c r="H476" i="10"/>
  <c r="H612" i="10"/>
  <c r="H710" i="10"/>
  <c r="H785" i="10"/>
  <c r="H861" i="10"/>
  <c r="H936" i="10"/>
  <c r="H1009" i="10"/>
  <c r="H1079" i="10"/>
  <c r="H1133" i="10"/>
  <c r="H1181" i="10"/>
  <c r="H71" i="10"/>
  <c r="H350" i="10"/>
  <c r="H522" i="10"/>
  <c r="H647" i="10"/>
  <c r="H81" i="10"/>
  <c r="H359" i="10"/>
  <c r="H508" i="10"/>
  <c r="H649" i="10"/>
  <c r="H726" i="10"/>
  <c r="H800" i="10"/>
  <c r="H877" i="10"/>
  <c r="H951" i="10"/>
  <c r="H1672" i="10"/>
  <c r="H1962" i="10"/>
  <c r="H90" i="10"/>
  <c r="H222" i="10"/>
  <c r="H13" i="10"/>
  <c r="H145" i="10"/>
  <c r="H271" i="10"/>
  <c r="H403" i="10"/>
  <c r="H28" i="10"/>
  <c r="H218" i="10"/>
  <c r="H401" i="10"/>
  <c r="H547" i="10"/>
  <c r="H65" i="10"/>
  <c r="H263" i="10"/>
  <c r="H113" i="10"/>
  <c r="H249" i="10"/>
  <c r="H339" i="10"/>
  <c r="H419" i="10"/>
  <c r="H498" i="10"/>
  <c r="H568" i="10"/>
  <c r="H634" i="10"/>
  <c r="H694" i="10"/>
  <c r="H760" i="10"/>
  <c r="H826" i="10"/>
  <c r="H892" i="10"/>
  <c r="H958" i="10"/>
  <c r="H1018" i="10"/>
  <c r="H1084" i="10"/>
  <c r="H1150" i="10"/>
  <c r="H70" i="10"/>
  <c r="H170" i="10"/>
  <c r="H260" i="10"/>
  <c r="H356" i="10"/>
  <c r="H428" i="10"/>
  <c r="H492" i="10"/>
  <c r="H551" i="10"/>
  <c r="H605" i="10"/>
  <c r="H86" i="10"/>
  <c r="H328" i="10"/>
  <c r="H467" i="10"/>
  <c r="H584" i="10"/>
  <c r="H672" i="10"/>
  <c r="H737" i="10"/>
  <c r="H787" i="10"/>
  <c r="H845" i="10"/>
  <c r="H895" i="10"/>
  <c r="H945" i="10"/>
  <c r="H996" i="10"/>
  <c r="H1046" i="10"/>
  <c r="H9" i="10"/>
  <c r="H197" i="10"/>
  <c r="H368" i="10"/>
  <c r="H468" i="10"/>
  <c r="H561" i="10"/>
  <c r="H651" i="10"/>
  <c r="H702" i="10"/>
  <c r="H752" i="10"/>
  <c r="H803" i="10"/>
  <c r="H853" i="10"/>
  <c r="H911" i="10"/>
  <c r="H961" i="10"/>
  <c r="H68" i="10"/>
  <c r="H346" i="10"/>
  <c r="H501" i="10"/>
  <c r="H645" i="10"/>
  <c r="H720" i="10"/>
  <c r="H797" i="10"/>
  <c r="H871" i="10"/>
  <c r="H948" i="10"/>
  <c r="H1027" i="10"/>
  <c r="H1087" i="10"/>
  <c r="H1140" i="10"/>
  <c r="H1187" i="10"/>
  <c r="H107" i="10"/>
  <c r="H393" i="10"/>
  <c r="H542" i="10"/>
  <c r="H656" i="10"/>
  <c r="H125" i="10"/>
  <c r="H378" i="10"/>
  <c r="H546" i="10"/>
  <c r="H661" i="10"/>
  <c r="H735" i="10"/>
  <c r="H812" i="10"/>
  <c r="H887" i="10"/>
  <c r="H973" i="10"/>
  <c r="H1504" i="10"/>
  <c r="H1584" i="10"/>
  <c r="H120" i="10"/>
  <c r="H246" i="10"/>
  <c r="H43" i="10"/>
  <c r="H175" i="10"/>
  <c r="H301" i="10"/>
  <c r="H433" i="10"/>
  <c r="H64" i="10"/>
  <c r="H262" i="10"/>
  <c r="H437" i="10"/>
  <c r="H577" i="10"/>
  <c r="H111" i="10"/>
  <c r="H299" i="10"/>
  <c r="H159" i="10"/>
  <c r="H267" i="10"/>
  <c r="H354" i="10"/>
  <c r="H441" i="10"/>
  <c r="H506" i="10"/>
  <c r="H580" i="10"/>
  <c r="H640" i="10"/>
  <c r="H712" i="10"/>
  <c r="H766" i="10"/>
  <c r="H838" i="10"/>
  <c r="H898" i="10"/>
  <c r="H970" i="10"/>
  <c r="H1030" i="10"/>
  <c r="H1102" i="10"/>
  <c r="H1156" i="10"/>
  <c r="H88" i="10"/>
  <c r="H178" i="10"/>
  <c r="H286" i="10"/>
  <c r="H363" i="10"/>
  <c r="H442" i="10"/>
  <c r="H500" i="10"/>
  <c r="H563" i="10"/>
  <c r="H611" i="10"/>
  <c r="H140" i="10"/>
  <c r="H352" i="10"/>
  <c r="H496" i="10"/>
  <c r="H596" i="10"/>
  <c r="H686" i="10"/>
  <c r="H744" i="10"/>
  <c r="H801" i="10"/>
  <c r="H852" i="10"/>
  <c r="H902" i="10"/>
  <c r="H953" i="10"/>
  <c r="H1003" i="10"/>
  <c r="H1061" i="10"/>
  <c r="H35" i="10"/>
  <c r="H225" i="10"/>
  <c r="H382" i="10"/>
  <c r="H483" i="10"/>
  <c r="H585" i="10"/>
  <c r="H659" i="10"/>
  <c r="H709" i="10"/>
  <c r="H759" i="10"/>
  <c r="H810" i="10"/>
  <c r="H867" i="10"/>
  <c r="H918" i="10"/>
  <c r="H968" i="10"/>
  <c r="H104" i="10"/>
  <c r="H371" i="10"/>
  <c r="H540" i="10"/>
  <c r="H655" i="10"/>
  <c r="H732" i="10"/>
  <c r="H806" i="10"/>
  <c r="H883" i="10"/>
  <c r="H969" i="10"/>
  <c r="H1035" i="10"/>
  <c r="H1095" i="10"/>
  <c r="H1147" i="10"/>
  <c r="H1193" i="10"/>
  <c r="H189" i="10"/>
  <c r="H417" i="10"/>
  <c r="H558" i="10"/>
  <c r="H668" i="10"/>
  <c r="H161" i="10"/>
  <c r="H422" i="10"/>
  <c r="H566" i="10"/>
  <c r="H671" i="10"/>
  <c r="H747" i="10"/>
  <c r="H822" i="10"/>
  <c r="H908" i="10"/>
  <c r="H985" i="10"/>
  <c r="H1049" i="10"/>
  <c r="H1107" i="10"/>
  <c r="H1167" i="10"/>
  <c r="H1026" i="10"/>
  <c r="H132" i="10"/>
  <c r="H264" i="10"/>
  <c r="H55" i="10"/>
  <c r="H187" i="10"/>
  <c r="H319" i="10"/>
  <c r="H445" i="10"/>
  <c r="H92" i="10"/>
  <c r="H280" i="10"/>
  <c r="H452" i="10"/>
  <c r="H595" i="10"/>
  <c r="H129" i="10"/>
  <c r="H327" i="10"/>
  <c r="H177" i="10"/>
  <c r="H275" i="10"/>
  <c r="H369" i="10"/>
  <c r="H448" i="10"/>
  <c r="H526" i="10"/>
  <c r="H586" i="10"/>
  <c r="H652" i="10"/>
  <c r="H718" i="10"/>
  <c r="H784" i="10"/>
  <c r="H850" i="10"/>
  <c r="H910" i="10"/>
  <c r="H976" i="10"/>
  <c r="H1042" i="10"/>
  <c r="H1108" i="10"/>
  <c r="H8" i="10"/>
  <c r="H98" i="10"/>
  <c r="H196" i="10"/>
  <c r="H296" i="10"/>
  <c r="H384" i="10"/>
  <c r="H449" i="10"/>
  <c r="H514" i="10"/>
  <c r="H569" i="10"/>
  <c r="H623" i="10"/>
  <c r="H166" i="10"/>
  <c r="H381" i="10"/>
  <c r="H510" i="10"/>
  <c r="H620" i="10"/>
  <c r="H693" i="10"/>
  <c r="H758" i="10"/>
  <c r="H809" i="10"/>
  <c r="H859" i="10"/>
  <c r="H909" i="10"/>
  <c r="H960" i="10"/>
  <c r="H1017" i="10"/>
  <c r="H1068" i="10"/>
  <c r="H63" i="10"/>
  <c r="H251" i="10"/>
  <c r="H396" i="10"/>
  <c r="H512" i="10"/>
  <c r="H597" i="10"/>
  <c r="H666" i="10"/>
  <c r="H716" i="10"/>
  <c r="H767" i="10"/>
  <c r="H824" i="10"/>
  <c r="H875" i="10"/>
  <c r="H925" i="10"/>
  <c r="H975" i="10"/>
  <c r="H148" i="10"/>
  <c r="H414" i="10"/>
  <c r="H555" i="10"/>
  <c r="H667" i="10"/>
  <c r="H741" i="10"/>
  <c r="H818" i="10"/>
  <c r="H905" i="10"/>
  <c r="H979" i="10"/>
  <c r="H1044" i="10"/>
  <c r="H1104" i="10"/>
  <c r="H1154" i="10"/>
  <c r="H1205" i="10"/>
  <c r="H233" i="10"/>
  <c r="H436" i="10"/>
  <c r="H578" i="10"/>
  <c r="H678" i="10"/>
  <c r="H243" i="10"/>
  <c r="H446" i="10"/>
  <c r="H582" i="10"/>
  <c r="H683" i="10"/>
  <c r="H757" i="10"/>
  <c r="H843" i="10"/>
  <c r="H920" i="10"/>
  <c r="H995" i="10"/>
  <c r="H1057" i="10"/>
  <c r="H1115" i="10"/>
  <c r="H1172" i="10"/>
  <c r="H1214" i="10"/>
  <c r="H1256" i="10"/>
  <c r="H1298" i="10"/>
  <c r="H1340" i="10"/>
  <c r="H1388" i="10"/>
  <c r="H1430" i="10"/>
  <c r="H1472" i="10"/>
  <c r="H1514" i="10"/>
  <c r="H1556" i="10"/>
  <c r="H1604" i="10"/>
  <c r="H1646" i="10"/>
  <c r="H1688" i="10"/>
  <c r="H1730" i="10"/>
  <c r="H1772" i="10"/>
  <c r="H1820" i="10"/>
  <c r="H1862" i="10"/>
  <c r="H1904" i="10"/>
  <c r="H1946" i="10"/>
  <c r="H1988" i="10"/>
  <c r="H212" i="10"/>
  <c r="H429" i="10"/>
  <c r="H567" i="10"/>
  <c r="H674" i="10"/>
  <c r="H749" i="10"/>
  <c r="H835" i="10"/>
  <c r="H900" i="10"/>
  <c r="H965" i="10"/>
  <c r="H1023" i="10"/>
  <c r="H1076" i="10"/>
  <c r="H1123" i="10"/>
  <c r="H1166" i="10"/>
  <c r="H1203" i="10"/>
  <c r="H1239" i="10"/>
  <c r="H1275" i="10"/>
  <c r="H1311" i="10"/>
  <c r="H1347" i="10"/>
  <c r="H1383" i="10"/>
  <c r="H1419" i="10"/>
  <c r="H1455" i="10"/>
  <c r="H1491" i="10"/>
  <c r="H1527" i="10"/>
  <c r="H1563" i="10"/>
  <c r="H1599" i="10"/>
  <c r="H1635" i="10"/>
  <c r="H1671" i="10"/>
  <c r="H1707" i="10"/>
  <c r="H388" i="10"/>
  <c r="H697" i="10"/>
  <c r="H829" i="10"/>
  <c r="H959" i="10"/>
  <c r="H1071" i="10"/>
  <c r="H1163" i="10"/>
  <c r="H1230" i="10"/>
  <c r="H1284" i="10"/>
  <c r="H1338" i="10"/>
  <c r="H1392" i="10"/>
  <c r="H1446" i="10"/>
  <c r="H1500" i="10"/>
  <c r="H1554" i="10"/>
  <c r="H1608" i="10"/>
  <c r="H76" i="10"/>
  <c r="H579" i="10"/>
  <c r="H768" i="10"/>
  <c r="H897" i="10"/>
  <c r="H1021" i="10"/>
  <c r="H1121" i="10"/>
  <c r="H1201" i="10"/>
  <c r="H1259" i="10"/>
  <c r="H1313" i="10"/>
  <c r="H1367" i="10"/>
  <c r="H1421" i="10"/>
  <c r="H1475" i="10"/>
  <c r="H1529" i="10"/>
  <c r="H1583" i="10"/>
  <c r="H1637" i="10"/>
  <c r="H543" i="10"/>
  <c r="H755" i="10"/>
  <c r="H884" i="10"/>
  <c r="H1011" i="10"/>
  <c r="H1112" i="10"/>
  <c r="H1194" i="10"/>
  <c r="H1253" i="10"/>
  <c r="H1307" i="10"/>
  <c r="H1361" i="10"/>
  <c r="H1415" i="10"/>
  <c r="H1469" i="10"/>
  <c r="H1523" i="10"/>
  <c r="H1577" i="10"/>
  <c r="H1631" i="10"/>
  <c r="H1685" i="10"/>
  <c r="H1735" i="10"/>
  <c r="H1779" i="10"/>
  <c r="H1822" i="10"/>
  <c r="H1865" i="10"/>
  <c r="H1908" i="10"/>
  <c r="H1951" i="10"/>
  <c r="H1995" i="10"/>
  <c r="H494" i="10"/>
  <c r="H734" i="10"/>
  <c r="H864" i="10"/>
  <c r="H993" i="10"/>
  <c r="H1099" i="10"/>
  <c r="H1183" i="10"/>
  <c r="H1246" i="10"/>
  <c r="H1300" i="10"/>
  <c r="H1354" i="10"/>
  <c r="H1408" i="10"/>
  <c r="H1462" i="10"/>
  <c r="H1516" i="10"/>
  <c r="H1570" i="10"/>
  <c r="H1624" i="10"/>
  <c r="H1678" i="10"/>
  <c r="H1729" i="10"/>
  <c r="H1773" i="10"/>
  <c r="H1816" i="10"/>
  <c r="H1859" i="10"/>
  <c r="H1902" i="10"/>
  <c r="H1945" i="10"/>
  <c r="H1989" i="10"/>
  <c r="H1949" i="10"/>
  <c r="H1884" i="10"/>
  <c r="H1819" i="10"/>
  <c r="H1755" i="10"/>
  <c r="H1681" i="10"/>
  <c r="H1553" i="10"/>
  <c r="H1391" i="10"/>
  <c r="H1229" i="10"/>
  <c r="H956" i="10"/>
  <c r="H375" i="10"/>
  <c r="H1957" i="10"/>
  <c r="H1893" i="10"/>
  <c r="H1828" i="10"/>
  <c r="H1763" i="10"/>
  <c r="H1692" i="10"/>
  <c r="H1576" i="10"/>
  <c r="H1414" i="10"/>
  <c r="H1252" i="10"/>
  <c r="H1008" i="10"/>
  <c r="H534" i="10"/>
  <c r="H1956" i="10"/>
  <c r="H1891" i="10"/>
  <c r="H1827" i="10"/>
  <c r="H1762" i="10"/>
  <c r="H1691" i="10"/>
  <c r="H1571" i="10"/>
  <c r="H1409" i="10"/>
  <c r="H1247" i="10"/>
  <c r="H999" i="10"/>
  <c r="H504" i="10"/>
  <c r="H1955" i="10"/>
  <c r="H1890" i="10"/>
  <c r="H1825" i="10"/>
  <c r="H1761" i="10"/>
  <c r="H1690" i="10"/>
  <c r="H1566" i="10"/>
  <c r="H1404" i="10"/>
  <c r="H1242" i="10"/>
  <c r="H987" i="10"/>
  <c r="H474" i="10"/>
  <c r="H1954" i="10"/>
  <c r="H1889" i="10"/>
  <c r="H1824" i="10"/>
  <c r="H1759" i="10"/>
  <c r="H1687" i="10"/>
  <c r="H1561" i="10"/>
  <c r="H1399" i="10"/>
  <c r="H1237" i="10"/>
  <c r="H978" i="10"/>
  <c r="H443" i="10"/>
  <c r="H294" i="10"/>
  <c r="H343" i="10"/>
  <c r="H326" i="10"/>
  <c r="H173" i="10"/>
  <c r="H285" i="10"/>
  <c r="H538" i="10"/>
  <c r="H724" i="10"/>
  <c r="H928" i="10"/>
  <c r="H1114" i="10"/>
  <c r="H224" i="10"/>
  <c r="H456" i="10"/>
  <c r="H635" i="10"/>
  <c r="H524" i="10"/>
  <c r="H765" i="10"/>
  <c r="H917" i="10"/>
  <c r="H1075" i="10"/>
  <c r="H425" i="10"/>
  <c r="H673" i="10"/>
  <c r="H831" i="10"/>
  <c r="H983" i="10"/>
  <c r="H576" i="10"/>
  <c r="H840" i="10"/>
  <c r="H1052" i="10"/>
  <c r="H1211" i="10"/>
  <c r="H594" i="10"/>
  <c r="H465" i="10"/>
  <c r="H779" i="10"/>
  <c r="H1005" i="10"/>
  <c r="H1092" i="10"/>
  <c r="H1158" i="10"/>
  <c r="H1220" i="10"/>
  <c r="H1268" i="10"/>
  <c r="H1322" i="10"/>
  <c r="H1370" i="10"/>
  <c r="H1424" i="10"/>
  <c r="H1478" i="10"/>
  <c r="H1532" i="10"/>
  <c r="H1580" i="10"/>
  <c r="H1628" i="10"/>
  <c r="H1682" i="10"/>
  <c r="H1736" i="10"/>
  <c r="H1790" i="10"/>
  <c r="H1838" i="10"/>
  <c r="H1892" i="10"/>
  <c r="H1940" i="10"/>
  <c r="H2000" i="10"/>
  <c r="H292" i="10"/>
  <c r="H490" i="10"/>
  <c r="H653" i="10"/>
  <c r="H739" i="10"/>
  <c r="H847" i="10"/>
  <c r="H921" i="10"/>
  <c r="H998" i="10"/>
  <c r="H1058" i="10"/>
  <c r="H1116" i="10"/>
  <c r="H1173" i="10"/>
  <c r="H1215" i="10"/>
  <c r="H1257" i="10"/>
  <c r="H1299" i="10"/>
  <c r="H1341" i="10"/>
  <c r="H1389" i="10"/>
  <c r="H1431" i="10"/>
  <c r="H1473" i="10"/>
  <c r="H1515" i="10"/>
  <c r="H1557" i="10"/>
  <c r="H1605" i="10"/>
  <c r="H1647" i="10"/>
  <c r="H1689" i="10"/>
  <c r="H179" i="10"/>
  <c r="H663" i="10"/>
  <c r="H851" i="10"/>
  <c r="H1002" i="10"/>
  <c r="H1119" i="10"/>
  <c r="H1212" i="10"/>
  <c r="H1276" i="10"/>
  <c r="H1348" i="10"/>
  <c r="H1410" i="10"/>
  <c r="H1474" i="10"/>
  <c r="H1536" i="10"/>
  <c r="H1600" i="10"/>
  <c r="H202" i="10"/>
  <c r="H669" i="10"/>
  <c r="H833" i="10"/>
  <c r="H984" i="10"/>
  <c r="H1106" i="10"/>
  <c r="H1213" i="10"/>
  <c r="H1277" i="10"/>
  <c r="H1339" i="10"/>
  <c r="H1403" i="10"/>
  <c r="H1465" i="10"/>
  <c r="H1537" i="10"/>
  <c r="H1601" i="10"/>
  <c r="H357" i="10"/>
  <c r="H711" i="10"/>
  <c r="H863" i="10"/>
  <c r="H1028" i="10"/>
  <c r="H1141" i="10"/>
  <c r="H1225" i="10"/>
  <c r="H1289" i="10"/>
  <c r="H1351" i="10"/>
  <c r="H1423" i="10"/>
  <c r="H1487" i="10"/>
  <c r="H1549" i="10"/>
  <c r="H1613" i="10"/>
  <c r="H1675" i="10"/>
  <c r="H1743" i="10"/>
  <c r="H1793" i="10"/>
  <c r="H1843" i="10"/>
  <c r="H1894" i="10"/>
  <c r="H1944" i="10"/>
  <c r="H17" i="10"/>
  <c r="H606" i="10"/>
  <c r="H799" i="10"/>
  <c r="H950" i="10"/>
  <c r="H1081" i="10"/>
  <c r="H1195" i="10"/>
  <c r="H1264" i="10"/>
  <c r="H1326" i="10"/>
  <c r="H1390" i="10"/>
  <c r="H1452" i="10"/>
  <c r="H1524" i="10"/>
  <c r="H1588" i="10"/>
  <c r="H1650" i="10"/>
  <c r="H1714" i="10"/>
  <c r="H1765" i="10"/>
  <c r="H1823" i="10"/>
  <c r="H1873" i="10"/>
  <c r="H1924" i="10"/>
  <c r="H1974" i="10"/>
  <c r="H1961" i="10"/>
  <c r="H1875" i="10"/>
  <c r="H1798" i="10"/>
  <c r="H1723" i="10"/>
  <c r="H1607" i="10"/>
  <c r="H1417" i="10"/>
  <c r="H1198" i="10"/>
  <c r="H827" i="10"/>
  <c r="H1991" i="10"/>
  <c r="H1914" i="10"/>
  <c r="H1840" i="10"/>
  <c r="H1753" i="10"/>
  <c r="H1666" i="10"/>
  <c r="H1494" i="10"/>
  <c r="H1306" i="10"/>
  <c r="H1059" i="10"/>
  <c r="H341" i="10"/>
  <c r="H1935" i="10"/>
  <c r="H1860" i="10"/>
  <c r="H1783" i="10"/>
  <c r="H1705" i="10"/>
  <c r="H1543" i="10"/>
  <c r="H1355" i="10"/>
  <c r="H1146" i="10"/>
  <c r="H740" i="10"/>
  <c r="H1965" i="10"/>
  <c r="H1878" i="10"/>
  <c r="H1804" i="10"/>
  <c r="H1727" i="10"/>
  <c r="H1620" i="10"/>
  <c r="H1432" i="10"/>
  <c r="H1216" i="10"/>
  <c r="H858" i="10"/>
  <c r="H1985" i="10"/>
  <c r="H1911" i="10"/>
  <c r="H1834" i="10"/>
  <c r="H1747" i="10"/>
  <c r="H1661" i="10"/>
  <c r="H1481" i="10"/>
  <c r="H1291" i="10"/>
  <c r="H1034" i="10"/>
  <c r="H1842" i="10"/>
  <c r="H306" i="10"/>
  <c r="H361" i="10"/>
  <c r="H351" i="10"/>
  <c r="H191" i="10"/>
  <c r="H311" i="10"/>
  <c r="H544" i="10"/>
  <c r="H742" i="10"/>
  <c r="H934" i="10"/>
  <c r="H1126" i="10"/>
  <c r="H232" i="10"/>
  <c r="H471" i="10"/>
  <c r="H641" i="10"/>
  <c r="H548" i="10"/>
  <c r="H773" i="10"/>
  <c r="H931" i="10"/>
  <c r="H1082" i="10"/>
  <c r="H440" i="10"/>
  <c r="H680" i="10"/>
  <c r="H839" i="10"/>
  <c r="H997" i="10"/>
  <c r="H591" i="10"/>
  <c r="H849" i="10"/>
  <c r="H1062" i="10"/>
  <c r="H27" i="10"/>
  <c r="H630" i="10"/>
  <c r="H489" i="10"/>
  <c r="H791" i="10"/>
  <c r="H1014" i="10"/>
  <c r="H1100" i="10"/>
  <c r="H1178" i="10"/>
  <c r="H1226" i="10"/>
  <c r="H1280" i="10"/>
  <c r="H1328" i="10"/>
  <c r="H1376" i="10"/>
  <c r="H1436" i="10"/>
  <c r="H1484" i="10"/>
  <c r="H1538" i="10"/>
  <c r="H1586" i="10"/>
  <c r="H1640" i="10"/>
  <c r="H1694" i="10"/>
  <c r="H1748" i="10"/>
  <c r="H1796" i="10"/>
  <c r="H1844" i="10"/>
  <c r="H1898" i="10"/>
  <c r="H1952" i="10"/>
  <c r="H14" i="10"/>
  <c r="H338" i="10"/>
  <c r="H531" i="10"/>
  <c r="H662" i="10"/>
  <c r="H770" i="10"/>
  <c r="H857" i="10"/>
  <c r="H933" i="10"/>
  <c r="H1007" i="10"/>
  <c r="H1067" i="10"/>
  <c r="H1130" i="10"/>
  <c r="H1179" i="10"/>
  <c r="H1221" i="10"/>
  <c r="H1263" i="10"/>
  <c r="H1305" i="10"/>
  <c r="H1353" i="10"/>
  <c r="H1395" i="10"/>
  <c r="H1437" i="10"/>
  <c r="H1479" i="10"/>
  <c r="H1521" i="10"/>
  <c r="H1569" i="10"/>
  <c r="H1611" i="10"/>
  <c r="H1653" i="10"/>
  <c r="H1695" i="10"/>
  <c r="H297" i="10"/>
  <c r="H721" i="10"/>
  <c r="H872" i="10"/>
  <c r="H1020" i="10"/>
  <c r="H1134" i="10"/>
  <c r="H1222" i="10"/>
  <c r="H1294" i="10"/>
  <c r="H1356" i="10"/>
  <c r="H1420" i="10"/>
  <c r="H1482" i="10"/>
  <c r="H1546" i="10"/>
  <c r="H1618" i="10"/>
  <c r="H320" i="10"/>
  <c r="H703" i="10"/>
  <c r="H854" i="10"/>
  <c r="H1004" i="10"/>
  <c r="H1135" i="10"/>
  <c r="H1223" i="10"/>
  <c r="H1285" i="10"/>
  <c r="H1349" i="10"/>
  <c r="H1411" i="10"/>
  <c r="H1483" i="10"/>
  <c r="H1547" i="10"/>
  <c r="H1609" i="10"/>
  <c r="H418" i="10"/>
  <c r="H733" i="10"/>
  <c r="H906" i="10"/>
  <c r="H1045" i="10"/>
  <c r="H1155" i="10"/>
  <c r="H1235" i="10"/>
  <c r="H1297" i="10"/>
  <c r="H1369" i="10"/>
  <c r="H1433" i="10"/>
  <c r="H1495" i="10"/>
  <c r="H1559" i="10"/>
  <c r="H1621" i="10"/>
  <c r="H1693" i="10"/>
  <c r="H1750" i="10"/>
  <c r="H1800" i="10"/>
  <c r="H1851" i="10"/>
  <c r="H1901" i="10"/>
  <c r="H1959" i="10"/>
  <c r="H135" i="10"/>
  <c r="H654" i="10"/>
  <c r="H821" i="10"/>
  <c r="H972" i="10"/>
  <c r="H1113" i="10"/>
  <c r="H1207" i="10"/>
  <c r="H1272" i="10"/>
  <c r="H1336" i="10"/>
  <c r="H1398" i="10"/>
  <c r="H1470" i="10"/>
  <c r="H1534" i="10"/>
  <c r="H1596" i="10"/>
  <c r="H1660" i="10"/>
  <c r="H1722" i="10"/>
  <c r="H1780" i="10"/>
  <c r="H1830" i="10"/>
  <c r="H1881" i="10"/>
  <c r="H1931" i="10"/>
  <c r="H1981" i="10"/>
  <c r="H30" i="10"/>
  <c r="H85" i="10"/>
  <c r="H475" i="10"/>
  <c r="H488" i="10"/>
  <c r="H33" i="10"/>
  <c r="H383" i="10"/>
  <c r="H598" i="10"/>
  <c r="H796" i="10"/>
  <c r="H982" i="10"/>
  <c r="H26" i="10"/>
  <c r="H304" i="10"/>
  <c r="H527" i="10"/>
  <c r="H194" i="10"/>
  <c r="H643" i="10"/>
  <c r="H816" i="10"/>
  <c r="H974" i="10"/>
  <c r="H89" i="10"/>
  <c r="H525" i="10"/>
  <c r="H723" i="10"/>
  <c r="H882" i="10"/>
  <c r="H230" i="10"/>
  <c r="H677" i="10"/>
  <c r="H914" i="10"/>
  <c r="H1111" i="10"/>
  <c r="H269" i="10"/>
  <c r="H699" i="10"/>
  <c r="H602" i="10"/>
  <c r="H855" i="10"/>
  <c r="H1031" i="10"/>
  <c r="H1129" i="10"/>
  <c r="H1184" i="10"/>
  <c r="H1232" i="10"/>
  <c r="H1286" i="10"/>
  <c r="H1334" i="10"/>
  <c r="H1394" i="10"/>
  <c r="H1442" i="10"/>
  <c r="H1496" i="10"/>
  <c r="H1544" i="10"/>
  <c r="H1592" i="10"/>
  <c r="H1652" i="10"/>
  <c r="H1700" i="10"/>
  <c r="H1754" i="10"/>
  <c r="H1802" i="10"/>
  <c r="H1856" i="10"/>
  <c r="H1910" i="10"/>
  <c r="H1964" i="10"/>
  <c r="H50" i="10"/>
  <c r="H360" i="10"/>
  <c r="H552" i="10"/>
  <c r="H684" i="10"/>
  <c r="H782" i="10"/>
  <c r="H869" i="10"/>
  <c r="H943" i="10"/>
  <c r="H1015" i="10"/>
  <c r="H1085" i="10"/>
  <c r="H1137" i="10"/>
  <c r="H1185" i="10"/>
  <c r="H1227" i="10"/>
  <c r="H1269" i="10"/>
  <c r="H1317" i="10"/>
  <c r="H1359" i="10"/>
  <c r="H1401" i="10"/>
  <c r="H1443" i="10"/>
  <c r="H1485" i="10"/>
  <c r="H1533" i="10"/>
  <c r="H1575" i="10"/>
  <c r="H1617" i="10"/>
  <c r="H1659" i="10"/>
  <c r="H1701" i="10"/>
  <c r="H450" i="10"/>
  <c r="H743" i="10"/>
  <c r="H894" i="10"/>
  <c r="H1037" i="10"/>
  <c r="H1148" i="10"/>
  <c r="H1240" i="10"/>
  <c r="H1302" i="10"/>
  <c r="H1366" i="10"/>
  <c r="H1428" i="10"/>
  <c r="H1492" i="10"/>
  <c r="H1564" i="10"/>
  <c r="H1626" i="10"/>
  <c r="H400" i="10"/>
  <c r="H725" i="10"/>
  <c r="H876" i="10"/>
  <c r="H1038" i="10"/>
  <c r="H1149" i="10"/>
  <c r="H1231" i="10"/>
  <c r="H1295" i="10"/>
  <c r="H1357" i="10"/>
  <c r="H1429" i="10"/>
  <c r="H1493" i="10"/>
  <c r="H1555" i="10"/>
  <c r="H1619" i="10"/>
  <c r="H486" i="10"/>
  <c r="H776" i="10"/>
  <c r="H927" i="10"/>
  <c r="H1063" i="10"/>
  <c r="H1170" i="10"/>
  <c r="H1243" i="10"/>
  <c r="H1315" i="10"/>
  <c r="H1379" i="10"/>
  <c r="H1441" i="10"/>
  <c r="H1505" i="10"/>
  <c r="H1567" i="10"/>
  <c r="H1639" i="10"/>
  <c r="H1703" i="10"/>
  <c r="H1757" i="10"/>
  <c r="H1807" i="10"/>
  <c r="H1858" i="10"/>
  <c r="H1915" i="10"/>
  <c r="H1966" i="10"/>
  <c r="H261" i="10"/>
  <c r="H685" i="10"/>
  <c r="H842" i="10"/>
  <c r="H1013" i="10"/>
  <c r="H1128" i="10"/>
  <c r="H1218" i="10"/>
  <c r="H1282" i="10"/>
  <c r="H1344" i="10"/>
  <c r="H1416" i="10"/>
  <c r="H1480" i="10"/>
  <c r="H1542" i="10"/>
  <c r="H1606" i="10"/>
  <c r="H48" i="10"/>
  <c r="H103" i="10"/>
  <c r="H487" i="10"/>
  <c r="H502" i="10"/>
  <c r="H51" i="10"/>
  <c r="H398" i="10"/>
  <c r="H610" i="10"/>
  <c r="H802" i="10"/>
  <c r="H1000" i="10"/>
  <c r="H34" i="10"/>
  <c r="H332" i="10"/>
  <c r="H533" i="10"/>
  <c r="H248" i="10"/>
  <c r="H650" i="10"/>
  <c r="H823" i="10"/>
  <c r="H981" i="10"/>
  <c r="H117" i="10"/>
  <c r="H537" i="10"/>
  <c r="H738" i="10"/>
  <c r="H889" i="10"/>
  <c r="H266" i="10"/>
  <c r="H689" i="10"/>
  <c r="H926" i="10"/>
  <c r="H1125" i="10"/>
  <c r="H315" i="10"/>
  <c r="H45" i="10"/>
  <c r="H618" i="10"/>
  <c r="H865" i="10"/>
  <c r="H1040" i="10"/>
  <c r="H1136" i="10"/>
  <c r="H1190" i="10"/>
  <c r="H1244" i="10"/>
  <c r="H1292" i="10"/>
  <c r="H1352" i="10"/>
  <c r="H1400" i="10"/>
  <c r="H1448" i="10"/>
  <c r="H1502" i="10"/>
  <c r="H1550" i="10"/>
  <c r="H1610" i="10"/>
  <c r="H1658" i="10"/>
  <c r="H1712" i="10"/>
  <c r="H1760" i="10"/>
  <c r="H1808" i="10"/>
  <c r="H1868" i="10"/>
  <c r="H1916" i="10"/>
  <c r="H1970" i="10"/>
  <c r="H94" i="10"/>
  <c r="H404" i="10"/>
  <c r="H588" i="10"/>
  <c r="H705" i="10"/>
  <c r="H792" i="10"/>
  <c r="H878" i="10"/>
  <c r="H955" i="10"/>
  <c r="H1033" i="10"/>
  <c r="H1093" i="10"/>
  <c r="H1145" i="10"/>
  <c r="H1191" i="10"/>
  <c r="H1233" i="10"/>
  <c r="H1281" i="10"/>
  <c r="H1323" i="10"/>
  <c r="H1365" i="10"/>
  <c r="H1407" i="10"/>
  <c r="H1449" i="10"/>
  <c r="H1497" i="10"/>
  <c r="H1539" i="10"/>
  <c r="H1581" i="10"/>
  <c r="H1623" i="10"/>
  <c r="H1665" i="10"/>
  <c r="H1713" i="10"/>
  <c r="H518" i="10"/>
  <c r="H764" i="10"/>
  <c r="H915" i="10"/>
  <c r="H1055" i="10"/>
  <c r="H1176" i="10"/>
  <c r="H1248" i="10"/>
  <c r="H1312" i="10"/>
  <c r="H1374" i="10"/>
  <c r="H1438" i="10"/>
  <c r="H1510" i="10"/>
  <c r="H1572" i="10"/>
  <c r="H1636" i="10"/>
  <c r="H461" i="10"/>
  <c r="H746" i="10"/>
  <c r="H919" i="10"/>
  <c r="H1056" i="10"/>
  <c r="H1164" i="10"/>
  <c r="H1241" i="10"/>
  <c r="H1303" i="10"/>
  <c r="H1375" i="10"/>
  <c r="H1439" i="10"/>
  <c r="H1501" i="10"/>
  <c r="H1565" i="10"/>
  <c r="H1627" i="10"/>
  <c r="H600" i="10"/>
  <c r="H798" i="10"/>
  <c r="H949" i="10"/>
  <c r="H1080" i="10"/>
  <c r="H1182" i="10"/>
  <c r="H1261" i="10"/>
  <c r="H1325" i="10"/>
  <c r="H1387" i="10"/>
  <c r="H1451" i="10"/>
  <c r="H1513" i="10"/>
  <c r="H1585" i="10"/>
  <c r="H1649" i="10"/>
  <c r="H1711" i="10"/>
  <c r="H1764" i="10"/>
  <c r="H1815" i="10"/>
  <c r="H1872" i="10"/>
  <c r="H1923" i="10"/>
  <c r="H1973" i="10"/>
  <c r="H364" i="10"/>
  <c r="H713" i="10"/>
  <c r="H885" i="10"/>
  <c r="H1029" i="10"/>
  <c r="H1142" i="10"/>
  <c r="H1228" i="10"/>
  <c r="H1290" i="10"/>
  <c r="H1362" i="10"/>
  <c r="H1426" i="10"/>
  <c r="H1488" i="10"/>
  <c r="H1552" i="10"/>
  <c r="H1614" i="10"/>
  <c r="H1686" i="10"/>
  <c r="H162" i="10"/>
  <c r="H217" i="10"/>
  <c r="H136" i="10"/>
  <c r="H619" i="10"/>
  <c r="H203" i="10"/>
  <c r="H455" i="10"/>
  <c r="H670" i="10"/>
  <c r="H856" i="10"/>
  <c r="H1054" i="10"/>
  <c r="H116" i="10"/>
  <c r="H399" i="10"/>
  <c r="H575" i="10"/>
  <c r="H410" i="10"/>
  <c r="H701" i="10"/>
  <c r="H866" i="10"/>
  <c r="H1025" i="10"/>
  <c r="H279" i="10"/>
  <c r="H609" i="10"/>
  <c r="H781" i="10"/>
  <c r="H932" i="10"/>
  <c r="H432" i="10"/>
  <c r="H753" i="10"/>
  <c r="H991" i="10"/>
  <c r="H1169" i="10"/>
  <c r="H460" i="10"/>
  <c r="H287" i="10"/>
  <c r="H692" i="10"/>
  <c r="H930" i="10"/>
  <c r="H1065" i="10"/>
  <c r="H1143" i="10"/>
  <c r="H1196" i="10"/>
  <c r="H1250" i="10"/>
  <c r="H1304" i="10"/>
  <c r="H1358" i="10"/>
  <c r="H1406" i="10"/>
  <c r="H1460" i="10"/>
  <c r="H1508" i="10"/>
  <c r="H1568" i="10"/>
  <c r="H1616" i="10"/>
  <c r="H1664" i="10"/>
  <c r="H1718" i="10"/>
  <c r="H1766" i="10"/>
  <c r="H1826" i="10"/>
  <c r="H1874" i="10"/>
  <c r="H1928" i="10"/>
  <c r="H1976" i="10"/>
  <c r="H130" i="10"/>
  <c r="H447" i="10"/>
  <c r="H603" i="10"/>
  <c r="H717" i="10"/>
  <c r="H804" i="10"/>
  <c r="H890" i="10"/>
  <c r="H977" i="10"/>
  <c r="H1041" i="10"/>
  <c r="H1101" i="10"/>
  <c r="H1152" i="10"/>
  <c r="H1197" i="10"/>
  <c r="H1245" i="10"/>
  <c r="H1287" i="10"/>
  <c r="H1329" i="10"/>
  <c r="H1371" i="10"/>
  <c r="H1413" i="10"/>
  <c r="H1461" i="10"/>
  <c r="H1503" i="10"/>
  <c r="H1545" i="10"/>
  <c r="H1587" i="10"/>
  <c r="H1629" i="10"/>
  <c r="H1677" i="10"/>
  <c r="H1719" i="10"/>
  <c r="H570" i="10"/>
  <c r="H786" i="10"/>
  <c r="H937" i="10"/>
  <c r="H1088" i="10"/>
  <c r="H1188" i="10"/>
  <c r="H1258" i="10"/>
  <c r="H1320" i="10"/>
  <c r="H1384" i="10"/>
  <c r="H1456" i="10"/>
  <c r="H1518" i="10"/>
  <c r="H1582" i="10"/>
  <c r="H1644" i="10"/>
  <c r="H528" i="10"/>
  <c r="H789" i="10"/>
  <c r="H941" i="10"/>
  <c r="H1073" i="10"/>
  <c r="H1177" i="10"/>
  <c r="H1249" i="10"/>
  <c r="H1321" i="10"/>
  <c r="H1385" i="10"/>
  <c r="H1447" i="10"/>
  <c r="H1511" i="10"/>
  <c r="H1573" i="10"/>
  <c r="H122" i="10"/>
  <c r="H648" i="10"/>
  <c r="H819" i="10"/>
  <c r="H971" i="10"/>
  <c r="H1098" i="10"/>
  <c r="H1206" i="10"/>
  <c r="H1271" i="10"/>
  <c r="H1333" i="10"/>
  <c r="H1397" i="10"/>
  <c r="H1459" i="10"/>
  <c r="H1531" i="10"/>
  <c r="H1595" i="10"/>
  <c r="H1657" i="10"/>
  <c r="H1721" i="10"/>
  <c r="H1771" i="10"/>
  <c r="H1829" i="10"/>
  <c r="H1879" i="10"/>
  <c r="H1930" i="10"/>
  <c r="H1980" i="10"/>
  <c r="H431" i="10"/>
  <c r="H756" i="10"/>
  <c r="H907" i="10"/>
  <c r="H1047" i="10"/>
  <c r="H1157" i="10"/>
  <c r="H1236" i="10"/>
  <c r="H1308" i="10"/>
  <c r="H1372" i="10"/>
  <c r="H1434" i="10"/>
  <c r="H1498" i="10"/>
  <c r="H1560" i="10"/>
  <c r="H1632" i="10"/>
  <c r="H1696" i="10"/>
  <c r="H1751" i="10"/>
  <c r="H1801" i="10"/>
  <c r="H1852" i="10"/>
  <c r="H1909" i="10"/>
  <c r="H1960" i="10"/>
  <c r="H1983" i="10"/>
  <c r="H1906" i="10"/>
  <c r="H1831" i="10"/>
  <c r="H1745" i="10"/>
  <c r="H1655" i="10"/>
  <c r="H1471" i="10"/>
  <c r="H1283" i="10"/>
  <c r="H1016" i="10"/>
  <c r="H40" i="10"/>
  <c r="H1936" i="10"/>
  <c r="H1861" i="10"/>
  <c r="H1785" i="10"/>
  <c r="H1708" i="10"/>
  <c r="H1548" i="10"/>
  <c r="H1360" i="10"/>
  <c r="H1153" i="10"/>
  <c r="H750" i="10"/>
  <c r="H1968" i="10"/>
  <c r="H1882" i="10"/>
  <c r="H1805" i="10"/>
  <c r="H1731" i="10"/>
  <c r="H1625" i="10"/>
  <c r="H1435" i="10"/>
  <c r="H1219" i="10"/>
  <c r="H870" i="10"/>
  <c r="H1986" i="10"/>
  <c r="H1912" i="10"/>
  <c r="H1835" i="10"/>
  <c r="H1749" i="10"/>
  <c r="H1662" i="10"/>
  <c r="H1486" i="10"/>
  <c r="H1296" i="10"/>
  <c r="H1043" i="10"/>
  <c r="H215" i="10"/>
  <c r="H1932" i="10"/>
  <c r="H1855" i="10"/>
  <c r="H1781" i="10"/>
  <c r="H1699" i="10"/>
  <c r="H1535" i="10"/>
  <c r="H1345" i="10"/>
  <c r="H1131" i="10"/>
  <c r="H719" i="10"/>
  <c r="H1086" i="10"/>
  <c r="H1427" i="10"/>
  <c r="H1673" i="10"/>
  <c r="H1803" i="10"/>
  <c r="H1920" i="10"/>
  <c r="H728" i="10"/>
  <c r="H1270" i="10"/>
  <c r="H1540" i="10"/>
  <c r="H1739" i="10"/>
  <c r="H1857" i="10"/>
  <c r="H1977" i="10"/>
  <c r="H1051" i="10"/>
  <c r="H1381" i="10"/>
  <c r="H1663" i="10"/>
  <c r="H1795" i="10"/>
  <c r="H1913" i="10"/>
  <c r="H675" i="10"/>
  <c r="H1224" i="10"/>
  <c r="H1522" i="10"/>
  <c r="H1732" i="10"/>
  <c r="H1849" i="10"/>
  <c r="H1969" i="10"/>
  <c r="H891" i="10"/>
  <c r="H1337" i="10"/>
  <c r="H1633" i="10"/>
  <c r="H1776" i="10"/>
  <c r="H1896" i="10"/>
  <c r="H1996" i="10"/>
  <c r="H1888" i="10"/>
  <c r="H1787" i="10"/>
  <c r="H1642" i="10"/>
  <c r="H1254" i="10"/>
  <c r="H1987" i="10"/>
  <c r="H1667" i="10"/>
  <c r="H1279" i="10"/>
  <c r="H238" i="10"/>
  <c r="H1267" i="10"/>
  <c r="H1654" i="10"/>
  <c r="H1266" i="10"/>
  <c r="H53" i="10"/>
  <c r="H1467" i="10"/>
  <c r="H1209" i="10"/>
  <c r="H813" i="10"/>
  <c r="H1934" i="10"/>
  <c r="H1622" i="10"/>
  <c r="H1316" i="10"/>
  <c r="H714" i="10"/>
  <c r="H458" i="10"/>
  <c r="H873" i="10"/>
  <c r="H1066" i="10"/>
  <c r="H154" i="10"/>
  <c r="H1110" i="10"/>
  <c r="H1926" i="10"/>
  <c r="H1733" i="10"/>
  <c r="H1809" i="10"/>
  <c r="H1786" i="10"/>
  <c r="H811" i="10"/>
  <c r="H1293" i="10"/>
  <c r="H1083" i="10"/>
  <c r="H158" i="10"/>
  <c r="H1174" i="10"/>
  <c r="H1453" i="10"/>
  <c r="H1715" i="10"/>
  <c r="H1812" i="10"/>
  <c r="H1942" i="10"/>
  <c r="H793" i="10"/>
  <c r="H1324" i="10"/>
  <c r="H1594" i="10"/>
  <c r="H1770" i="10"/>
  <c r="H1869" i="10"/>
  <c r="H1998" i="10"/>
  <c r="H1103" i="10"/>
  <c r="H1463" i="10"/>
  <c r="H1679" i="10"/>
  <c r="H1817" i="10"/>
  <c r="H1925" i="10"/>
  <c r="H815" i="10"/>
  <c r="H1278" i="10"/>
  <c r="H1602" i="10"/>
  <c r="H1741" i="10"/>
  <c r="H1871" i="10"/>
  <c r="H1979" i="10"/>
  <c r="H1069" i="10"/>
  <c r="H1363" i="10"/>
  <c r="H1669" i="10"/>
  <c r="H1788" i="10"/>
  <c r="H1918" i="10"/>
  <c r="H1967" i="10"/>
  <c r="H1866" i="10"/>
  <c r="H1758" i="10"/>
  <c r="H1578" i="10"/>
  <c r="H1171" i="10"/>
  <c r="H1937" i="10"/>
  <c r="H1603" i="10"/>
  <c r="H1217" i="10"/>
  <c r="H1591" i="10"/>
  <c r="H1189" i="10"/>
  <c r="H1590" i="10"/>
  <c r="H1200" i="10"/>
  <c r="H1683" i="10"/>
  <c r="H1425" i="10"/>
  <c r="H1159" i="10"/>
  <c r="H727" i="10"/>
  <c r="H1880" i="10"/>
  <c r="H1574" i="10"/>
  <c r="H1262" i="10"/>
  <c r="H323" i="10"/>
  <c r="H939" i="10"/>
  <c r="H715" i="10"/>
  <c r="H868" i="10"/>
  <c r="H229" i="10"/>
  <c r="H615" i="10"/>
  <c r="H1210" i="10"/>
  <c r="H1507" i="10"/>
  <c r="H1726" i="10"/>
  <c r="H1846" i="10"/>
  <c r="H1963" i="10"/>
  <c r="H923" i="10"/>
  <c r="H1350" i="10"/>
  <c r="H1645" i="10"/>
  <c r="H1782" i="10"/>
  <c r="H1900" i="10"/>
  <c r="H284" i="10"/>
  <c r="H1186" i="10"/>
  <c r="H1489" i="10"/>
  <c r="H1717" i="10"/>
  <c r="H1839" i="10"/>
  <c r="H1947" i="10"/>
  <c r="H879" i="10"/>
  <c r="H1332" i="10"/>
  <c r="H1630" i="10"/>
  <c r="H1775" i="10"/>
  <c r="H1883" i="10"/>
  <c r="H2001" i="10"/>
  <c r="H1117" i="10"/>
  <c r="H1445" i="10"/>
  <c r="H1697" i="10"/>
  <c r="H1810" i="10"/>
  <c r="H1927" i="10"/>
  <c r="H1953" i="10"/>
  <c r="H1845" i="10"/>
  <c r="H1744" i="10"/>
  <c r="H1506" i="10"/>
  <c r="H1064" i="10"/>
  <c r="H1887" i="10"/>
  <c r="H1541" i="10"/>
  <c r="H1127" i="10"/>
  <c r="H1519" i="10"/>
  <c r="H1091" i="10"/>
  <c r="H1528" i="10"/>
  <c r="H1105" i="10"/>
  <c r="H1641" i="10"/>
  <c r="H1377" i="10"/>
  <c r="H1109" i="10"/>
  <c r="H639" i="10"/>
  <c r="H1832" i="10"/>
  <c r="H1520" i="10"/>
  <c r="H1208" i="10"/>
  <c r="H479" i="10"/>
  <c r="H788" i="10"/>
  <c r="H424" i="10"/>
  <c r="H676" i="10"/>
  <c r="H174" i="10"/>
  <c r="H1680" i="10"/>
  <c r="H1255" i="10"/>
  <c r="H1971" i="10"/>
  <c r="H1380" i="10"/>
  <c r="H841" i="10"/>
  <c r="H783" i="10"/>
  <c r="H1265" i="10"/>
  <c r="H1589" i="10"/>
  <c r="H1738" i="10"/>
  <c r="H1867" i="10"/>
  <c r="H1975" i="10"/>
  <c r="H1094" i="10"/>
  <c r="H1378" i="10"/>
  <c r="H1674" i="10"/>
  <c r="H1792" i="10"/>
  <c r="H1921" i="10"/>
  <c r="H660" i="10"/>
  <c r="H1273" i="10"/>
  <c r="H1517" i="10"/>
  <c r="H1740" i="10"/>
  <c r="H1848" i="10"/>
  <c r="H1978" i="10"/>
  <c r="H944" i="10"/>
  <c r="H1386" i="10"/>
  <c r="H1651" i="10"/>
  <c r="H1797" i="10"/>
  <c r="H1905" i="10"/>
  <c r="H564" i="10"/>
  <c r="H1160" i="10"/>
  <c r="H1499" i="10"/>
  <c r="H1709" i="10"/>
  <c r="H1841" i="10"/>
  <c r="H1939" i="10"/>
  <c r="H1938" i="10"/>
  <c r="H1837" i="10"/>
  <c r="H1737" i="10"/>
  <c r="H1444" i="10"/>
  <c r="H929" i="10"/>
  <c r="H1836" i="10"/>
  <c r="H1477" i="10"/>
  <c r="H992" i="10"/>
  <c r="H1457" i="10"/>
  <c r="H962" i="10"/>
  <c r="H1464" i="10"/>
  <c r="H980" i="10"/>
  <c r="H1593" i="10"/>
  <c r="H1335" i="10"/>
  <c r="H1050" i="10"/>
  <c r="H472" i="10"/>
  <c r="H1784" i="10"/>
  <c r="H1466" i="10"/>
  <c r="H1151" i="10"/>
  <c r="H1175" i="10"/>
  <c r="H621" i="10"/>
  <c r="H587" i="10"/>
  <c r="H470" i="10"/>
  <c r="H1725" i="10"/>
  <c r="J67" i="10"/>
  <c r="J787" i="10"/>
  <c r="L865" i="10"/>
  <c r="M865" i="10" s="1"/>
  <c r="L1466" i="10"/>
  <c r="M1466" i="10" s="1"/>
  <c r="L1286" i="10"/>
  <c r="M1286" i="10" s="1"/>
  <c r="H1734" i="10"/>
  <c r="H901" i="10"/>
  <c r="H1811" i="10"/>
  <c r="H1396" i="10"/>
  <c r="H1950" i="10"/>
  <c r="H1124" i="10"/>
  <c r="H1204" i="10"/>
  <c r="H1876" i="10"/>
  <c r="H1558" i="10"/>
  <c r="H771" i="10"/>
  <c r="H1864" i="10"/>
  <c r="H1368" i="10"/>
  <c r="H1941" i="10"/>
  <c r="H1684" i="10"/>
  <c r="H590" i="10"/>
  <c r="H1789" i="10"/>
  <c r="H1929" i="10"/>
  <c r="H1530" i="10"/>
  <c r="H407" i="10"/>
  <c r="H1756" i="10"/>
  <c r="H1984" i="10"/>
  <c r="H1854" i="10"/>
  <c r="H1234" i="10"/>
  <c r="H1885" i="10"/>
  <c r="H3" i="10"/>
  <c r="H1314" i="10"/>
  <c r="H1919" i="10"/>
  <c r="H2" i="10"/>
  <c r="L1651" i="10"/>
  <c r="M1651" i="10" s="1"/>
  <c r="L799" i="10"/>
  <c r="M799" i="10" s="1"/>
  <c r="L289" i="10"/>
  <c r="M289" i="10" s="1"/>
  <c r="L427" i="10"/>
  <c r="M427" i="10" s="1"/>
  <c r="L1601" i="10"/>
  <c r="M1601" i="10" s="1"/>
  <c r="L493" i="10"/>
  <c r="M493" i="10" s="1"/>
  <c r="L1643" i="10"/>
  <c r="M1643" i="10" s="1"/>
  <c r="L1672" i="10"/>
  <c r="M1672" i="10" s="1"/>
  <c r="L1983" i="10"/>
  <c r="M1983" i="10" s="1"/>
  <c r="L43" i="10"/>
  <c r="M43" i="10" s="1"/>
  <c r="L139" i="10"/>
  <c r="M139" i="10" s="1"/>
  <c r="L1681" i="10"/>
  <c r="M1681" i="10" s="1"/>
  <c r="L1746" i="10"/>
  <c r="M1746" i="10" s="1"/>
  <c r="J1836" i="10"/>
  <c r="L847" i="10"/>
  <c r="M847" i="10" s="1"/>
  <c r="L928" i="10"/>
  <c r="M928" i="10" s="1"/>
  <c r="L1834" i="10"/>
  <c r="M1834" i="10" s="1"/>
  <c r="L1375" i="10"/>
  <c r="M1375" i="10" s="1"/>
  <c r="L1679" i="10"/>
  <c r="M1679" i="10" s="1"/>
  <c r="L1825" i="10"/>
  <c r="M1825" i="10" s="1"/>
  <c r="L307" i="10"/>
  <c r="M307" i="10" s="1"/>
  <c r="L412" i="10"/>
  <c r="M412" i="10" s="1"/>
  <c r="L1153" i="10"/>
  <c r="M1153" i="10" s="1"/>
  <c r="L379" i="10"/>
  <c r="M379" i="10" s="1"/>
  <c r="L715" i="10"/>
  <c r="M715" i="10" s="1"/>
  <c r="L1536" i="10"/>
  <c r="M1536" i="10" s="1"/>
  <c r="L103" i="10"/>
  <c r="M103" i="10" s="1"/>
  <c r="L1755" i="10"/>
  <c r="M1755" i="10" s="1"/>
  <c r="L1684" i="10"/>
  <c r="M1684" i="10" s="1"/>
  <c r="L1985" i="10"/>
  <c r="M1985" i="10" s="1"/>
  <c r="L151" i="10"/>
  <c r="M151" i="10" s="1"/>
  <c r="L349" i="10"/>
  <c r="M349" i="10" s="1"/>
  <c r="L1207" i="10"/>
  <c r="M1207" i="10" s="1"/>
  <c r="L1704" i="10"/>
  <c r="M1704" i="10" s="1"/>
  <c r="L1670" i="10"/>
  <c r="M1670" i="10" s="1"/>
  <c r="L1790" i="10"/>
  <c r="M1790" i="10" s="1"/>
  <c r="L853" i="10"/>
  <c r="M853" i="10" s="1"/>
  <c r="L1297" i="10"/>
  <c r="M1297" i="10" s="1"/>
  <c r="J1997" i="10"/>
  <c r="L1620" i="10"/>
  <c r="M1620" i="10" s="1"/>
  <c r="L1545" i="10"/>
  <c r="M1545" i="10" s="1"/>
  <c r="L1520" i="10"/>
  <c r="M1520" i="10" s="1"/>
  <c r="L1696" i="10"/>
  <c r="M1696" i="10" s="1"/>
  <c r="L268" i="10"/>
  <c r="M268" i="10" s="1"/>
  <c r="L619" i="10"/>
  <c r="M619" i="10" s="1"/>
  <c r="L1817" i="10"/>
  <c r="M1817" i="10" s="1"/>
  <c r="L1944" i="10"/>
  <c r="M1944" i="10" s="1"/>
  <c r="L667" i="10"/>
  <c r="M667" i="10" s="1"/>
  <c r="L1585" i="10"/>
  <c r="M1585" i="10" s="1"/>
  <c r="L1562" i="10"/>
  <c r="M1562" i="10" s="1"/>
  <c r="L883" i="10"/>
  <c r="M883" i="10" s="1"/>
  <c r="L1870" i="10"/>
  <c r="M1870" i="10" s="1"/>
  <c r="L385" i="10"/>
  <c r="M385" i="10" s="1"/>
  <c r="L133" i="10"/>
  <c r="M133" i="10" s="1"/>
  <c r="L1237" i="10"/>
  <c r="M1237" i="10" s="1"/>
  <c r="L1791" i="10"/>
  <c r="M1791" i="10" s="1"/>
  <c r="J1715" i="10"/>
  <c r="L844" i="10"/>
  <c r="M844" i="10" s="1"/>
  <c r="J1171" i="10"/>
  <c r="L1740" i="10"/>
  <c r="M1740" i="10" s="1"/>
  <c r="L25" i="10"/>
  <c r="M25" i="10" s="1"/>
  <c r="L301" i="10"/>
  <c r="M301" i="10" s="1"/>
  <c r="L745" i="10"/>
  <c r="M745" i="10" s="1"/>
  <c r="L433" i="10"/>
  <c r="M433" i="10" s="1"/>
  <c r="L1885" i="10"/>
  <c r="M1885" i="10" s="1"/>
  <c r="L295" i="10"/>
  <c r="M295" i="10" s="1"/>
  <c r="L625" i="10"/>
  <c r="M625" i="10" s="1"/>
  <c r="L961" i="10"/>
  <c r="M961" i="10" s="1"/>
  <c r="L511" i="10"/>
  <c r="M511" i="10" s="1"/>
  <c r="L859" i="10"/>
  <c r="M859" i="10" s="1"/>
  <c r="L1411" i="10"/>
  <c r="M1411" i="10" s="1"/>
  <c r="L211" i="10"/>
  <c r="M211" i="10" s="1"/>
  <c r="L1840" i="10"/>
  <c r="M1840" i="10" s="1"/>
  <c r="L115" i="10"/>
  <c r="M115" i="10" s="1"/>
  <c r="L1564" i="10"/>
  <c r="M1564" i="10" s="1"/>
  <c r="L841" i="10"/>
  <c r="M841" i="10" s="1"/>
  <c r="L1948" i="10"/>
  <c r="M1948" i="10" s="1"/>
  <c r="L751" i="10"/>
  <c r="M751" i="10" s="1"/>
  <c r="L37" i="10"/>
  <c r="M37" i="10" s="1"/>
  <c r="L661" i="10"/>
  <c r="M661" i="10" s="1"/>
  <c r="L1117" i="10"/>
  <c r="M1117" i="10" s="1"/>
  <c r="L481" i="10"/>
  <c r="M481" i="10" s="1"/>
  <c r="L1843" i="10"/>
  <c r="M1843" i="10" s="1"/>
  <c r="L1891" i="10"/>
  <c r="M1891" i="10" s="1"/>
  <c r="L913" i="10"/>
  <c r="M913" i="10" s="1"/>
  <c r="L1339" i="10"/>
  <c r="M1339" i="10" s="1"/>
  <c r="L1577" i="10"/>
  <c r="M1577" i="10" s="1"/>
  <c r="L1538" i="10"/>
  <c r="M1538" i="10" s="1"/>
  <c r="L229" i="10"/>
  <c r="M229" i="10" s="1"/>
  <c r="L589" i="10"/>
  <c r="M589" i="10" s="1"/>
  <c r="L1510" i="10"/>
  <c r="M1510" i="10" s="1"/>
  <c r="L1484" i="10"/>
  <c r="M1484" i="10" s="1"/>
  <c r="L577" i="10"/>
  <c r="M577" i="10" s="1"/>
  <c r="L613" i="10"/>
  <c r="M613" i="10" s="1"/>
  <c r="L1051" i="10"/>
  <c r="M1051" i="10" s="1"/>
  <c r="L1633" i="10"/>
  <c r="M1633" i="10" s="1"/>
  <c r="L775" i="10"/>
  <c r="M775" i="10" s="1"/>
  <c r="J227" i="10"/>
  <c r="L227" i="10"/>
  <c r="M227" i="10" s="1"/>
  <c r="J1409" i="10"/>
  <c r="L1409" i="10"/>
  <c r="M1409" i="10" s="1"/>
  <c r="J737" i="10"/>
  <c r="L737" i="10"/>
  <c r="M737" i="10" s="1"/>
  <c r="J1001" i="10"/>
  <c r="L1001" i="10"/>
  <c r="M1001" i="10" s="1"/>
  <c r="J1145" i="10"/>
  <c r="L1145" i="10"/>
  <c r="M1145" i="10" s="1"/>
  <c r="J1259" i="10"/>
  <c r="L1259" i="10"/>
  <c r="M1259" i="10" s="1"/>
  <c r="J8" i="10"/>
  <c r="L8" i="10"/>
  <c r="M8" i="10" s="1"/>
  <c r="J44" i="10"/>
  <c r="L44" i="10"/>
  <c r="M44" i="10" s="1"/>
  <c r="J80" i="10"/>
  <c r="L80" i="10"/>
  <c r="M80" i="10" s="1"/>
  <c r="J116" i="10"/>
  <c r="L116" i="10"/>
  <c r="M116" i="10" s="1"/>
  <c r="J152" i="10"/>
  <c r="L152" i="10"/>
  <c r="M152" i="10" s="1"/>
  <c r="J188" i="10"/>
  <c r="L188" i="10"/>
  <c r="M188" i="10" s="1"/>
  <c r="J224" i="10"/>
  <c r="L224" i="10"/>
  <c r="M224" i="10" s="1"/>
  <c r="J260" i="10"/>
  <c r="L260" i="10"/>
  <c r="M260" i="10" s="1"/>
  <c r="J296" i="10"/>
  <c r="L296" i="10"/>
  <c r="M296" i="10" s="1"/>
  <c r="J332" i="10"/>
  <c r="L332" i="10"/>
  <c r="M332" i="10" s="1"/>
  <c r="J368" i="10"/>
  <c r="L368" i="10"/>
  <c r="M368" i="10" s="1"/>
  <c r="J404" i="10"/>
  <c r="L404" i="10"/>
  <c r="M404" i="10" s="1"/>
  <c r="J440" i="10"/>
  <c r="L440" i="10"/>
  <c r="M440" i="10" s="1"/>
  <c r="J476" i="10"/>
  <c r="L476" i="10"/>
  <c r="M476" i="10" s="1"/>
  <c r="J512" i="10"/>
  <c r="L512" i="10"/>
  <c r="M512" i="10" s="1"/>
  <c r="J548" i="10"/>
  <c r="L548" i="10"/>
  <c r="M548" i="10" s="1"/>
  <c r="J590" i="10"/>
  <c r="L590" i="10"/>
  <c r="M590" i="10" s="1"/>
  <c r="J626" i="10"/>
  <c r="L626" i="10"/>
  <c r="M626" i="10" s="1"/>
  <c r="J662" i="10"/>
  <c r="L662" i="10"/>
  <c r="M662" i="10" s="1"/>
  <c r="J698" i="10"/>
  <c r="L698" i="10"/>
  <c r="M698" i="10" s="1"/>
  <c r="J734" i="10"/>
  <c r="L734" i="10"/>
  <c r="M734" i="10" s="1"/>
  <c r="J770" i="10"/>
  <c r="L770" i="10"/>
  <c r="M770" i="10" s="1"/>
  <c r="J812" i="10"/>
  <c r="L812" i="10"/>
  <c r="M812" i="10" s="1"/>
  <c r="J848" i="10"/>
  <c r="L848" i="10"/>
  <c r="M848" i="10" s="1"/>
  <c r="J884" i="10"/>
  <c r="L884" i="10"/>
  <c r="M884" i="10" s="1"/>
  <c r="J926" i="10"/>
  <c r="L926" i="10"/>
  <c r="M926" i="10" s="1"/>
  <c r="J962" i="10"/>
  <c r="L962" i="10"/>
  <c r="M962" i="10" s="1"/>
  <c r="J998" i="10"/>
  <c r="L998" i="10"/>
  <c r="M998" i="10" s="1"/>
  <c r="J1058" i="10"/>
  <c r="L1058" i="10"/>
  <c r="M1058" i="10" s="1"/>
  <c r="J1130" i="10"/>
  <c r="L1130" i="10"/>
  <c r="M1130" i="10" s="1"/>
  <c r="J1202" i="10"/>
  <c r="L1202" i="10"/>
  <c r="M1202" i="10" s="1"/>
  <c r="J1274" i="10"/>
  <c r="L1274" i="10"/>
  <c r="M1274" i="10" s="1"/>
  <c r="J1328" i="10"/>
  <c r="L1328" i="10"/>
  <c r="M1328" i="10" s="1"/>
  <c r="J1364" i="10"/>
  <c r="L1364" i="10"/>
  <c r="M1364" i="10" s="1"/>
  <c r="J1400" i="10"/>
  <c r="L1400" i="10"/>
  <c r="M1400" i="10" s="1"/>
  <c r="J809" i="10"/>
  <c r="L809" i="10"/>
  <c r="M809" i="10" s="1"/>
  <c r="J1029" i="10"/>
  <c r="L1029" i="10"/>
  <c r="M1029" i="10" s="1"/>
  <c r="J1099" i="10"/>
  <c r="L1099" i="10"/>
  <c r="M1099" i="10" s="1"/>
  <c r="J1170" i="10"/>
  <c r="L1170" i="10"/>
  <c r="M1170" i="10" s="1"/>
  <c r="J1239" i="10"/>
  <c r="L1239" i="10"/>
  <c r="M1239" i="10" s="1"/>
  <c r="J1309" i="10"/>
  <c r="L1309" i="10"/>
  <c r="M1309" i="10" s="1"/>
  <c r="J1380" i="10"/>
  <c r="L1380" i="10"/>
  <c r="M1380" i="10" s="1"/>
  <c r="J209" i="10"/>
  <c r="L209" i="10"/>
  <c r="M209" i="10" s="1"/>
  <c r="J59" i="10"/>
  <c r="L59" i="10"/>
  <c r="M59" i="10" s="1"/>
  <c r="J197" i="10"/>
  <c r="L197" i="10"/>
  <c r="M197" i="10" s="1"/>
  <c r="J383" i="10"/>
  <c r="L383" i="10"/>
  <c r="M383" i="10" s="1"/>
  <c r="J539" i="10"/>
  <c r="L539" i="10"/>
  <c r="M539" i="10" s="1"/>
  <c r="J593" i="10"/>
  <c r="L593" i="10"/>
  <c r="M593" i="10" s="1"/>
  <c r="J707" i="10"/>
  <c r="L707" i="10"/>
  <c r="M707" i="10" s="1"/>
  <c r="J803" i="10"/>
  <c r="L803" i="10"/>
  <c r="M803" i="10" s="1"/>
  <c r="J869" i="10"/>
  <c r="L869" i="10"/>
  <c r="M869" i="10" s="1"/>
  <c r="J947" i="10"/>
  <c r="L947" i="10"/>
  <c r="M947" i="10" s="1"/>
  <c r="J1127" i="10"/>
  <c r="L1127" i="10"/>
  <c r="M1127" i="10" s="1"/>
  <c r="J1253" i="10"/>
  <c r="L1253" i="10"/>
  <c r="M1253" i="10" s="1"/>
  <c r="J35" i="10"/>
  <c r="L35" i="10"/>
  <c r="M35" i="10" s="1"/>
  <c r="J215" i="10"/>
  <c r="L215" i="10"/>
  <c r="M215" i="10" s="1"/>
  <c r="J299" i="10"/>
  <c r="L299" i="10"/>
  <c r="M299" i="10" s="1"/>
  <c r="J371" i="10"/>
  <c r="L371" i="10"/>
  <c r="M371" i="10" s="1"/>
  <c r="J491" i="10"/>
  <c r="L491" i="10"/>
  <c r="M491" i="10" s="1"/>
  <c r="J773" i="10"/>
  <c r="L773" i="10"/>
  <c r="M773" i="10" s="1"/>
  <c r="J971" i="10"/>
  <c r="L971" i="10"/>
  <c r="M971" i="10" s="1"/>
  <c r="J1241" i="10"/>
  <c r="L1241" i="10"/>
  <c r="M1241" i="10" s="1"/>
  <c r="J1355" i="10"/>
  <c r="L1355" i="10"/>
  <c r="M1355" i="10" s="1"/>
  <c r="J34" i="10"/>
  <c r="L34" i="10"/>
  <c r="M34" i="10" s="1"/>
  <c r="J76" i="10"/>
  <c r="L76" i="10"/>
  <c r="M76" i="10" s="1"/>
  <c r="J112" i="10"/>
  <c r="L112" i="10"/>
  <c r="M112" i="10" s="1"/>
  <c r="J148" i="10"/>
  <c r="L148" i="10"/>
  <c r="M148" i="10" s="1"/>
  <c r="J184" i="10"/>
  <c r="L184" i="10"/>
  <c r="M184" i="10" s="1"/>
  <c r="J220" i="10"/>
  <c r="L220" i="10"/>
  <c r="M220" i="10" s="1"/>
  <c r="J256" i="10"/>
  <c r="L256" i="10"/>
  <c r="M256" i="10" s="1"/>
  <c r="J298" i="10"/>
  <c r="L298" i="10"/>
  <c r="M298" i="10" s="1"/>
  <c r="J334" i="10"/>
  <c r="L334" i="10"/>
  <c r="M334" i="10" s="1"/>
  <c r="J376" i="10"/>
  <c r="L376" i="10"/>
  <c r="M376" i="10" s="1"/>
  <c r="J418" i="10"/>
  <c r="L418" i="10"/>
  <c r="M418" i="10" s="1"/>
  <c r="J454" i="10"/>
  <c r="L454" i="10"/>
  <c r="M454" i="10" s="1"/>
  <c r="J490" i="10"/>
  <c r="L490" i="10"/>
  <c r="M490" i="10" s="1"/>
  <c r="J532" i="10"/>
  <c r="L532" i="10"/>
  <c r="M532" i="10" s="1"/>
  <c r="J574" i="10"/>
  <c r="L574" i="10"/>
  <c r="M574" i="10" s="1"/>
  <c r="J610" i="10"/>
  <c r="L610" i="10"/>
  <c r="M610" i="10" s="1"/>
  <c r="J652" i="10"/>
  <c r="L652" i="10"/>
  <c r="M652" i="10" s="1"/>
  <c r="J688" i="10"/>
  <c r="L688" i="10"/>
  <c r="M688" i="10" s="1"/>
  <c r="J730" i="10"/>
  <c r="L730" i="10"/>
  <c r="M730" i="10" s="1"/>
  <c r="J766" i="10"/>
  <c r="L766" i="10"/>
  <c r="M766" i="10" s="1"/>
  <c r="J808" i="10"/>
  <c r="L808" i="10"/>
  <c r="M808" i="10" s="1"/>
  <c r="J850" i="10"/>
  <c r="L850" i="10"/>
  <c r="M850" i="10" s="1"/>
  <c r="J886" i="10"/>
  <c r="L886" i="10"/>
  <c r="M886" i="10" s="1"/>
  <c r="J922" i="10"/>
  <c r="L922" i="10"/>
  <c r="M922" i="10" s="1"/>
  <c r="J964" i="10"/>
  <c r="L964" i="10"/>
  <c r="M964" i="10" s="1"/>
  <c r="J1006" i="10"/>
  <c r="L1006" i="10"/>
  <c r="M1006" i="10" s="1"/>
  <c r="J1042" i="10"/>
  <c r="L1042" i="10"/>
  <c r="J1078" i="10"/>
  <c r="L1078" i="10"/>
  <c r="M1078" i="10" s="1"/>
  <c r="J1120" i="10"/>
  <c r="L1120" i="10"/>
  <c r="M1120" i="10" s="1"/>
  <c r="J1156" i="10"/>
  <c r="L1156" i="10"/>
  <c r="M1156" i="10" s="1"/>
  <c r="J1192" i="10"/>
  <c r="L1192" i="10"/>
  <c r="M1192" i="10" s="1"/>
  <c r="J1228" i="10"/>
  <c r="L1228" i="10"/>
  <c r="M1228" i="10" s="1"/>
  <c r="J1264" i="10"/>
  <c r="L1264" i="10"/>
  <c r="M1264" i="10" s="1"/>
  <c r="J1300" i="10"/>
  <c r="L1300" i="10"/>
  <c r="M1300" i="10" s="1"/>
  <c r="J1336" i="10"/>
  <c r="L1336" i="10"/>
  <c r="M1336" i="10" s="1"/>
  <c r="J1372" i="10"/>
  <c r="L1372" i="10"/>
  <c r="M1372" i="10" s="1"/>
  <c r="J1414" i="10"/>
  <c r="L1414" i="10"/>
  <c r="M1414" i="10" s="1"/>
  <c r="J959" i="10"/>
  <c r="L959" i="10"/>
  <c r="M959" i="10" s="1"/>
  <c r="J1161" i="10"/>
  <c r="L1161" i="10"/>
  <c r="M1161" i="10" s="1"/>
  <c r="J1221" i="10"/>
  <c r="L1221" i="10"/>
  <c r="M1221" i="10" s="1"/>
  <c r="J1303" i="10"/>
  <c r="L1303" i="10"/>
  <c r="M1303" i="10" s="1"/>
  <c r="J1371" i="10"/>
  <c r="L1371" i="10"/>
  <c r="M1371" i="10" s="1"/>
  <c r="J53" i="10"/>
  <c r="L53" i="10"/>
  <c r="M53" i="10" s="1"/>
  <c r="J179" i="10"/>
  <c r="L179" i="10"/>
  <c r="M179" i="10" s="1"/>
  <c r="J389" i="10"/>
  <c r="L389" i="10"/>
  <c r="M389" i="10" s="1"/>
  <c r="J467" i="10"/>
  <c r="L467" i="10"/>
  <c r="M467" i="10" s="1"/>
  <c r="J629" i="10"/>
  <c r="L629" i="10"/>
  <c r="M629" i="10" s="1"/>
  <c r="J983" i="10"/>
  <c r="L983" i="10"/>
  <c r="M983" i="10" s="1"/>
  <c r="J1271" i="10"/>
  <c r="L1271" i="10"/>
  <c r="M1271" i="10" s="1"/>
  <c r="J359" i="10"/>
  <c r="L359" i="10"/>
  <c r="M359" i="10" s="1"/>
  <c r="J857" i="10"/>
  <c r="L857" i="10"/>
  <c r="M857" i="10" s="1"/>
  <c r="J1187" i="10"/>
  <c r="L1187" i="10"/>
  <c r="M1187" i="10" s="1"/>
  <c r="J1278" i="10"/>
  <c r="L1278" i="10"/>
  <c r="M1278" i="10" s="1"/>
  <c r="J1279" i="10"/>
  <c r="L1279" i="10"/>
  <c r="M1279" i="10" s="1"/>
  <c r="J1398" i="10"/>
  <c r="L1398" i="10"/>
  <c r="M1398" i="10" s="1"/>
  <c r="J1546" i="10"/>
  <c r="L1546" i="10"/>
  <c r="M1546" i="10" s="1"/>
  <c r="J1565" i="10"/>
  <c r="L1565" i="10"/>
  <c r="M1565" i="10" s="1"/>
  <c r="J1567" i="10"/>
  <c r="L1567" i="10"/>
  <c r="M1567" i="10" s="1"/>
  <c r="J1725" i="10"/>
  <c r="L1725" i="10"/>
  <c r="M1725" i="10" s="1"/>
  <c r="J1689" i="10"/>
  <c r="L1689" i="10"/>
  <c r="M1689" i="10" s="1"/>
  <c r="J1796" i="10"/>
  <c r="L1796" i="10"/>
  <c r="J1811" i="10"/>
  <c r="L1811" i="10"/>
  <c r="M1811" i="10" s="1"/>
  <c r="J1892" i="10"/>
  <c r="L1892" i="10"/>
  <c r="M1892" i="10" s="1"/>
  <c r="J1707" i="10"/>
  <c r="L1707" i="10"/>
  <c r="M1707" i="10" s="1"/>
  <c r="J1797" i="10"/>
  <c r="L1797" i="10"/>
  <c r="M1797" i="10" s="1"/>
  <c r="J1821" i="10"/>
  <c r="L1821" i="10"/>
  <c r="M1821" i="10" s="1"/>
  <c r="J1966" i="10"/>
  <c r="L1966" i="10"/>
  <c r="M1966" i="10" s="1"/>
  <c r="J1551" i="10"/>
  <c r="L1551" i="10"/>
  <c r="M1551" i="10" s="1"/>
  <c r="J1504" i="10"/>
  <c r="L1504" i="10"/>
  <c r="M1504" i="10" s="1"/>
  <c r="J1548" i="10"/>
  <c r="L1548" i="10"/>
  <c r="M1548" i="10" s="1"/>
  <c r="J1583" i="10"/>
  <c r="L1583" i="10"/>
  <c r="M1583" i="10" s="1"/>
  <c r="J1630" i="10"/>
  <c r="L1630" i="10"/>
  <c r="M1630" i="10" s="1"/>
  <c r="J1587" i="10"/>
  <c r="L1587" i="10"/>
  <c r="M1587" i="10" s="1"/>
  <c r="J1882" i="10"/>
  <c r="L1882" i="10"/>
  <c r="M1882" i="10" s="1"/>
  <c r="J1935" i="10"/>
  <c r="L1935" i="10"/>
  <c r="M1935" i="10" s="1"/>
  <c r="J1994" i="10"/>
  <c r="L1994" i="10"/>
  <c r="M1994" i="10" s="1"/>
  <c r="J1433" i="10"/>
  <c r="L1433" i="10"/>
  <c r="M1433" i="10" s="1"/>
  <c r="J1451" i="10"/>
  <c r="L1451" i="10"/>
  <c r="M1451" i="10" s="1"/>
  <c r="J1469" i="10"/>
  <c r="L1469" i="10"/>
  <c r="M1469" i="10" s="1"/>
  <c r="J1487" i="10"/>
  <c r="L1487" i="10"/>
  <c r="M1487" i="10" s="1"/>
  <c r="J1108" i="10"/>
  <c r="L1108" i="10"/>
  <c r="M1108" i="10" s="1"/>
  <c r="J129" i="10"/>
  <c r="L129" i="10"/>
  <c r="M129" i="10" s="1"/>
  <c r="J417" i="10"/>
  <c r="L417" i="10"/>
  <c r="M417" i="10" s="1"/>
  <c r="J489" i="10"/>
  <c r="L489" i="10"/>
  <c r="M489" i="10" s="1"/>
  <c r="J801" i="10"/>
  <c r="L801" i="10"/>
  <c r="M801" i="10" s="1"/>
  <c r="J1774" i="10"/>
  <c r="L1774" i="10"/>
  <c r="M1774" i="10" s="1"/>
  <c r="J1803" i="10"/>
  <c r="L1803" i="10"/>
  <c r="M1803" i="10" s="1"/>
  <c r="J3" i="10"/>
  <c r="L3" i="10"/>
  <c r="M3" i="10" s="1"/>
  <c r="J327" i="10"/>
  <c r="L327" i="10"/>
  <c r="M327" i="10" s="1"/>
  <c r="J675" i="10"/>
  <c r="L675" i="10"/>
  <c r="M675" i="10" s="1"/>
  <c r="J897" i="10"/>
  <c r="L897" i="10"/>
  <c r="M897" i="10" s="1"/>
  <c r="J1444" i="10"/>
  <c r="L1444" i="10"/>
  <c r="M1444" i="10" s="1"/>
  <c r="J1498" i="10"/>
  <c r="L1498" i="10"/>
  <c r="M1498" i="10" s="1"/>
  <c r="J641" i="10"/>
  <c r="L641" i="10"/>
  <c r="M641" i="10" s="1"/>
  <c r="J449" i="10"/>
  <c r="L449" i="10"/>
  <c r="M449" i="10" s="1"/>
  <c r="J749" i="10"/>
  <c r="L749" i="10"/>
  <c r="M749" i="10" s="1"/>
  <c r="J1031" i="10"/>
  <c r="L1031" i="10"/>
  <c r="M1031" i="10" s="1"/>
  <c r="J1163" i="10"/>
  <c r="L1163" i="10"/>
  <c r="M1163" i="10" s="1"/>
  <c r="J1277" i="10"/>
  <c r="L1277" i="10"/>
  <c r="M1277" i="10" s="1"/>
  <c r="J14" i="10"/>
  <c r="L14" i="10"/>
  <c r="M14" i="10" s="1"/>
  <c r="J50" i="10"/>
  <c r="L50" i="10"/>
  <c r="M50" i="10" s="1"/>
  <c r="J86" i="10"/>
  <c r="L86" i="10"/>
  <c r="M86" i="10" s="1"/>
  <c r="J122" i="10"/>
  <c r="L122" i="10"/>
  <c r="M122" i="10" s="1"/>
  <c r="J158" i="10"/>
  <c r="L158" i="10"/>
  <c r="M158" i="10" s="1"/>
  <c r="J194" i="10"/>
  <c r="L194" i="10"/>
  <c r="M194" i="10" s="1"/>
  <c r="J230" i="10"/>
  <c r="L230" i="10"/>
  <c r="M230" i="10" s="1"/>
  <c r="J266" i="10"/>
  <c r="L266" i="10"/>
  <c r="M266" i="10" s="1"/>
  <c r="J302" i="10"/>
  <c r="L302" i="10"/>
  <c r="M302" i="10" s="1"/>
  <c r="J338" i="10"/>
  <c r="L338" i="10"/>
  <c r="M338" i="10" s="1"/>
  <c r="J374" i="10"/>
  <c r="L374" i="10"/>
  <c r="M374" i="10" s="1"/>
  <c r="J410" i="10"/>
  <c r="L410" i="10"/>
  <c r="M410" i="10" s="1"/>
  <c r="J446" i="10"/>
  <c r="L446" i="10"/>
  <c r="M446" i="10" s="1"/>
  <c r="J482" i="10"/>
  <c r="L482" i="10"/>
  <c r="M482" i="10" s="1"/>
  <c r="J518" i="10"/>
  <c r="L518" i="10"/>
  <c r="M518" i="10" s="1"/>
  <c r="J554" i="10"/>
  <c r="L554" i="10"/>
  <c r="M554" i="10" s="1"/>
  <c r="J596" i="10"/>
  <c r="L596" i="10"/>
  <c r="M596" i="10" s="1"/>
  <c r="J632" i="10"/>
  <c r="L632" i="10"/>
  <c r="M632" i="10" s="1"/>
  <c r="J668" i="10"/>
  <c r="L668" i="10"/>
  <c r="M668" i="10" s="1"/>
  <c r="J704" i="10"/>
  <c r="L704" i="10"/>
  <c r="M704" i="10" s="1"/>
  <c r="J740" i="10"/>
  <c r="L740" i="10"/>
  <c r="M740" i="10" s="1"/>
  <c r="J776" i="10"/>
  <c r="L776" i="10"/>
  <c r="M776" i="10" s="1"/>
  <c r="J818" i="10"/>
  <c r="L818" i="10"/>
  <c r="M818" i="10" s="1"/>
  <c r="J854" i="10"/>
  <c r="L854" i="10"/>
  <c r="M854" i="10" s="1"/>
  <c r="J890" i="10"/>
  <c r="L890" i="10"/>
  <c r="M890" i="10" s="1"/>
  <c r="J932" i="10"/>
  <c r="L932" i="10"/>
  <c r="M932" i="10" s="1"/>
  <c r="J968" i="10"/>
  <c r="L968" i="10"/>
  <c r="M968" i="10" s="1"/>
  <c r="J1004" i="10"/>
  <c r="L1004" i="10"/>
  <c r="M1004" i="10" s="1"/>
  <c r="J1064" i="10"/>
  <c r="L1064" i="10"/>
  <c r="M1064" i="10" s="1"/>
  <c r="J1136" i="10"/>
  <c r="L1136" i="10"/>
  <c r="M1136" i="10" s="1"/>
  <c r="J1208" i="10"/>
  <c r="L1208" i="10"/>
  <c r="M1208" i="10" s="1"/>
  <c r="J1280" i="10"/>
  <c r="L1280" i="10"/>
  <c r="M1280" i="10" s="1"/>
  <c r="J1334" i="10"/>
  <c r="L1334" i="10"/>
  <c r="M1334" i="10" s="1"/>
  <c r="J1370" i="10"/>
  <c r="L1370" i="10"/>
  <c r="M1370" i="10" s="1"/>
  <c r="J1406" i="10"/>
  <c r="L1406" i="10"/>
  <c r="M1406" i="10" s="1"/>
  <c r="J977" i="10"/>
  <c r="L977" i="10"/>
  <c r="M977" i="10" s="1"/>
  <c r="J1039" i="10"/>
  <c r="L1039" i="10"/>
  <c r="M1039" i="10" s="1"/>
  <c r="J1110" i="10"/>
  <c r="L1110" i="10"/>
  <c r="M1110" i="10" s="1"/>
  <c r="J1189" i="10"/>
  <c r="L1189" i="10"/>
  <c r="M1189" i="10" s="1"/>
  <c r="J1260" i="10"/>
  <c r="L1260" i="10"/>
  <c r="M1260" i="10" s="1"/>
  <c r="J1321" i="10"/>
  <c r="L1321" i="10"/>
  <c r="M1321" i="10" s="1"/>
  <c r="J1389" i="10"/>
  <c r="L1389" i="10"/>
  <c r="M1389" i="10" s="1"/>
  <c r="J263" i="10"/>
  <c r="L263" i="10"/>
  <c r="M263" i="10" s="1"/>
  <c r="J71" i="10"/>
  <c r="L71" i="10"/>
  <c r="M71" i="10" s="1"/>
  <c r="J239" i="10"/>
  <c r="L239" i="10"/>
  <c r="M239" i="10" s="1"/>
  <c r="J443" i="10"/>
  <c r="L443" i="10"/>
  <c r="M443" i="10" s="1"/>
  <c r="J551" i="10"/>
  <c r="L551" i="10"/>
  <c r="M551" i="10" s="1"/>
  <c r="J605" i="10"/>
  <c r="L605" i="10"/>
  <c r="M605" i="10" s="1"/>
  <c r="J713" i="10"/>
  <c r="L713" i="10"/>
  <c r="M713" i="10" s="1"/>
  <c r="J821" i="10"/>
  <c r="L821" i="10"/>
  <c r="M821" i="10" s="1"/>
  <c r="J881" i="10"/>
  <c r="L881" i="10"/>
  <c r="M881" i="10" s="1"/>
  <c r="J1013" i="10"/>
  <c r="L1013" i="10"/>
  <c r="M1013" i="10" s="1"/>
  <c r="J1151" i="10"/>
  <c r="L1151" i="10"/>
  <c r="M1151" i="10" s="1"/>
  <c r="J1349" i="10"/>
  <c r="L1349" i="10"/>
  <c r="M1349" i="10" s="1"/>
  <c r="J47" i="10"/>
  <c r="L47" i="10"/>
  <c r="M47" i="10" s="1"/>
  <c r="J221" i="10"/>
  <c r="L221" i="10"/>
  <c r="M221" i="10" s="1"/>
  <c r="J317" i="10"/>
  <c r="L317" i="10"/>
  <c r="M317" i="10" s="1"/>
  <c r="J401" i="10"/>
  <c r="L401" i="10"/>
  <c r="M401" i="10" s="1"/>
  <c r="J623" i="10"/>
  <c r="L623" i="10"/>
  <c r="M623" i="10" s="1"/>
  <c r="J845" i="10"/>
  <c r="L845" i="10"/>
  <c r="M845" i="10" s="1"/>
  <c r="J1025" i="10"/>
  <c r="L1025" i="10"/>
  <c r="M1025" i="10" s="1"/>
  <c r="J1265" i="10"/>
  <c r="L1265" i="10"/>
  <c r="M1265" i="10" s="1"/>
  <c r="J4" i="10"/>
  <c r="L4" i="10"/>
  <c r="M4" i="10" s="1"/>
  <c r="J40" i="10"/>
  <c r="L40" i="10"/>
  <c r="M40" i="10" s="1"/>
  <c r="J82" i="10"/>
  <c r="L82" i="10"/>
  <c r="M82" i="10" s="1"/>
  <c r="J118" i="10"/>
  <c r="L118" i="10"/>
  <c r="M118" i="10" s="1"/>
  <c r="J154" i="10"/>
  <c r="L154" i="10"/>
  <c r="M154" i="10" s="1"/>
  <c r="J190" i="10"/>
  <c r="L190" i="10"/>
  <c r="M190" i="10" s="1"/>
  <c r="J226" i="10"/>
  <c r="L226" i="10"/>
  <c r="M226" i="10" s="1"/>
  <c r="J262" i="10"/>
  <c r="L262" i="10"/>
  <c r="M262" i="10" s="1"/>
  <c r="J304" i="10"/>
  <c r="L304" i="10"/>
  <c r="M304" i="10" s="1"/>
  <c r="J340" i="10"/>
  <c r="L340" i="10"/>
  <c r="M340" i="10" s="1"/>
  <c r="J382" i="10"/>
  <c r="L382" i="10"/>
  <c r="M382" i="10" s="1"/>
  <c r="J424" i="10"/>
  <c r="L424" i="10"/>
  <c r="M424" i="10" s="1"/>
  <c r="J460" i="10"/>
  <c r="L460" i="10"/>
  <c r="M460" i="10" s="1"/>
  <c r="J502" i="10"/>
  <c r="L502" i="10"/>
  <c r="M502" i="10" s="1"/>
  <c r="J538" i="10"/>
  <c r="L538" i="10"/>
  <c r="M538" i="10" s="1"/>
  <c r="J580" i="10"/>
  <c r="L580" i="10"/>
  <c r="M580" i="10" s="1"/>
  <c r="J616" i="10"/>
  <c r="L616" i="10"/>
  <c r="M616" i="10" s="1"/>
  <c r="J658" i="10"/>
  <c r="L658" i="10"/>
  <c r="M658" i="10" s="1"/>
  <c r="J694" i="10"/>
  <c r="L694" i="10"/>
  <c r="M694" i="10" s="1"/>
  <c r="J736" i="10"/>
  <c r="L736" i="10"/>
  <c r="M736" i="10" s="1"/>
  <c r="J772" i="10"/>
  <c r="L772" i="10"/>
  <c r="M772" i="10" s="1"/>
  <c r="J814" i="10"/>
  <c r="L814" i="10"/>
  <c r="M814" i="10" s="1"/>
  <c r="J856" i="10"/>
  <c r="L856" i="10"/>
  <c r="M856" i="10" s="1"/>
  <c r="J892" i="10"/>
  <c r="L892" i="10"/>
  <c r="M892" i="10" s="1"/>
  <c r="J934" i="10"/>
  <c r="L934" i="10"/>
  <c r="M934" i="10" s="1"/>
  <c r="J970" i="10"/>
  <c r="L970" i="10"/>
  <c r="M970" i="10" s="1"/>
  <c r="J1012" i="10"/>
  <c r="L1012" i="10"/>
  <c r="M1012" i="10" s="1"/>
  <c r="J1048" i="10"/>
  <c r="L1048" i="10"/>
  <c r="M1048" i="10" s="1"/>
  <c r="J1084" i="10"/>
  <c r="L1084" i="10"/>
  <c r="M1084" i="10" s="1"/>
  <c r="J1126" i="10"/>
  <c r="L1126" i="10"/>
  <c r="M1126" i="10" s="1"/>
  <c r="J1162" i="10"/>
  <c r="L1162" i="10"/>
  <c r="M1162" i="10" s="1"/>
  <c r="J1198" i="10"/>
  <c r="L1198" i="10"/>
  <c r="M1198" i="10" s="1"/>
  <c r="J1234" i="10"/>
  <c r="L1234" i="10"/>
  <c r="M1234" i="10" s="1"/>
  <c r="J1270" i="10"/>
  <c r="L1270" i="10"/>
  <c r="M1270" i="10" s="1"/>
  <c r="J1306" i="10"/>
  <c r="L1306" i="10"/>
  <c r="M1306" i="10" s="1"/>
  <c r="J1342" i="10"/>
  <c r="L1342" i="10"/>
  <c r="M1342" i="10" s="1"/>
  <c r="J1378" i="10"/>
  <c r="L1378" i="10"/>
  <c r="M1378" i="10" s="1"/>
  <c r="J1071" i="10"/>
  <c r="L1071" i="10"/>
  <c r="M1071" i="10" s="1"/>
  <c r="J1173" i="10"/>
  <c r="L1173" i="10"/>
  <c r="M1173" i="10" s="1"/>
  <c r="J1243" i="10"/>
  <c r="L1243" i="10"/>
  <c r="M1243" i="10" s="1"/>
  <c r="J1314" i="10"/>
  <c r="L1314" i="10"/>
  <c r="M1314" i="10" s="1"/>
  <c r="J1383" i="10"/>
  <c r="L1383" i="10"/>
  <c r="M1383" i="10" s="1"/>
  <c r="J77" i="10"/>
  <c r="L77" i="10"/>
  <c r="M77" i="10" s="1"/>
  <c r="J269" i="10"/>
  <c r="L269" i="10"/>
  <c r="M269" i="10" s="1"/>
  <c r="J407" i="10"/>
  <c r="L407" i="10"/>
  <c r="M407" i="10" s="1"/>
  <c r="J485" i="10"/>
  <c r="L485" i="10"/>
  <c r="M485" i="10" s="1"/>
  <c r="J647" i="10"/>
  <c r="L647" i="10"/>
  <c r="M647" i="10" s="1"/>
  <c r="J995" i="10"/>
  <c r="L995" i="10"/>
  <c r="M995" i="10" s="1"/>
  <c r="J1307" i="10"/>
  <c r="L1307" i="10"/>
  <c r="M1307" i="10" s="1"/>
  <c r="J527" i="10"/>
  <c r="L527" i="10"/>
  <c r="M527" i="10" s="1"/>
  <c r="J989" i="10"/>
  <c r="L989" i="10"/>
  <c r="M989" i="10" s="1"/>
  <c r="J1301" i="10"/>
  <c r="L1301" i="10"/>
  <c r="M1301" i="10" s="1"/>
  <c r="J1362" i="10"/>
  <c r="L1362" i="10"/>
  <c r="M1362" i="10" s="1"/>
  <c r="J1308" i="10"/>
  <c r="L1308" i="10"/>
  <c r="M1308" i="10" s="1"/>
  <c r="J1417" i="10"/>
  <c r="L1417" i="10"/>
  <c r="M1417" i="10" s="1"/>
  <c r="J1557" i="10"/>
  <c r="L1557" i="10"/>
  <c r="M1557" i="10" s="1"/>
  <c r="J1516" i="10"/>
  <c r="L1516" i="10"/>
  <c r="M1516" i="10" s="1"/>
  <c r="J1648" i="10"/>
  <c r="L1648" i="10"/>
  <c r="M1648" i="10" s="1"/>
  <c r="J1743" i="10"/>
  <c r="L1743" i="10"/>
  <c r="M1743" i="10" s="1"/>
  <c r="J1752" i="10"/>
  <c r="L1752" i="10"/>
  <c r="M1752" i="10" s="1"/>
  <c r="J1932" i="10"/>
  <c r="L1932" i="10"/>
  <c r="M1932" i="10" s="1"/>
  <c r="J1833" i="10"/>
  <c r="L1833" i="10"/>
  <c r="M1833" i="10" s="1"/>
  <c r="J1747" i="10"/>
  <c r="L1747" i="10"/>
  <c r="M1747" i="10" s="1"/>
  <c r="J1775" i="10"/>
  <c r="L1775" i="10"/>
  <c r="M1775" i="10" s="1"/>
  <c r="J1788" i="10"/>
  <c r="L1788" i="10"/>
  <c r="M1788" i="10" s="1"/>
  <c r="J1967" i="10"/>
  <c r="L1967" i="10"/>
  <c r="M1967" i="10" s="1"/>
  <c r="J1640" i="10"/>
  <c r="L1640" i="10"/>
  <c r="M1640" i="10" s="1"/>
  <c r="J695" i="10"/>
  <c r="L695" i="10"/>
  <c r="M695" i="10" s="1"/>
  <c r="J611" i="10"/>
  <c r="L611" i="10"/>
  <c r="M611" i="10" s="1"/>
  <c r="J779" i="10"/>
  <c r="L779" i="10"/>
  <c r="M779" i="10" s="1"/>
  <c r="J1055" i="10"/>
  <c r="L1055" i="10"/>
  <c r="M1055" i="10" s="1"/>
  <c r="J1181" i="10"/>
  <c r="L1181" i="10"/>
  <c r="M1181" i="10" s="1"/>
  <c r="J1295" i="10"/>
  <c r="L1295" i="10"/>
  <c r="M1295" i="10" s="1"/>
  <c r="J20" i="10"/>
  <c r="L20" i="10"/>
  <c r="M20" i="10" s="1"/>
  <c r="J56" i="10"/>
  <c r="L56" i="10"/>
  <c r="M56" i="10" s="1"/>
  <c r="J92" i="10"/>
  <c r="L92" i="10"/>
  <c r="M92" i="10" s="1"/>
  <c r="J128" i="10"/>
  <c r="L128" i="10"/>
  <c r="M128" i="10" s="1"/>
  <c r="J164" i="10"/>
  <c r="L164" i="10"/>
  <c r="M164" i="10" s="1"/>
  <c r="J200" i="10"/>
  <c r="L200" i="10"/>
  <c r="M200" i="10" s="1"/>
  <c r="J236" i="10"/>
  <c r="L236" i="10"/>
  <c r="M236" i="10" s="1"/>
  <c r="J272" i="10"/>
  <c r="L272" i="10"/>
  <c r="M272" i="10" s="1"/>
  <c r="J308" i="10"/>
  <c r="L308" i="10"/>
  <c r="M308" i="10" s="1"/>
  <c r="J344" i="10"/>
  <c r="L344" i="10"/>
  <c r="M344" i="10" s="1"/>
  <c r="J380" i="10"/>
  <c r="L380" i="10"/>
  <c r="M380" i="10" s="1"/>
  <c r="J416" i="10"/>
  <c r="L416" i="10"/>
  <c r="M416" i="10" s="1"/>
  <c r="J452" i="10"/>
  <c r="L452" i="10"/>
  <c r="M452" i="10" s="1"/>
  <c r="J488" i="10"/>
  <c r="L488" i="10"/>
  <c r="M488" i="10" s="1"/>
  <c r="J524" i="10"/>
  <c r="L524" i="10"/>
  <c r="M524" i="10" s="1"/>
  <c r="J560" i="10"/>
  <c r="L560" i="10"/>
  <c r="M560" i="10" s="1"/>
  <c r="J602" i="10"/>
  <c r="L602" i="10"/>
  <c r="M602" i="10" s="1"/>
  <c r="J638" i="10"/>
  <c r="L638" i="10"/>
  <c r="M638" i="10" s="1"/>
  <c r="J674" i="10"/>
  <c r="L674" i="10"/>
  <c r="M674" i="10" s="1"/>
  <c r="J710" i="10"/>
  <c r="L710" i="10"/>
  <c r="M710" i="10" s="1"/>
  <c r="J746" i="10"/>
  <c r="L746" i="10"/>
  <c r="M746" i="10" s="1"/>
  <c r="J782" i="10"/>
  <c r="L782" i="10"/>
  <c r="M782" i="10" s="1"/>
  <c r="J824" i="10"/>
  <c r="L824" i="10"/>
  <c r="M824" i="10" s="1"/>
  <c r="J860" i="10"/>
  <c r="L860" i="10"/>
  <c r="M860" i="10" s="1"/>
  <c r="J896" i="10"/>
  <c r="L896" i="10"/>
  <c r="M896" i="10" s="1"/>
  <c r="J938" i="10"/>
  <c r="L938" i="10"/>
  <c r="M938" i="10" s="1"/>
  <c r="J974" i="10"/>
  <c r="L974" i="10"/>
  <c r="M974" i="10" s="1"/>
  <c r="J1010" i="10"/>
  <c r="L1010" i="10"/>
  <c r="M1010" i="10" s="1"/>
  <c r="J1082" i="10"/>
  <c r="L1082" i="10"/>
  <c r="M1082" i="10" s="1"/>
  <c r="J1154" i="10"/>
  <c r="L1154" i="10"/>
  <c r="M1154" i="10" s="1"/>
  <c r="J1226" i="10"/>
  <c r="L1226" i="10"/>
  <c r="M1226" i="10" s="1"/>
  <c r="J1298" i="10"/>
  <c r="L1298" i="10"/>
  <c r="M1298" i="10" s="1"/>
  <c r="J1340" i="10"/>
  <c r="L1340" i="10"/>
  <c r="M1340" i="10" s="1"/>
  <c r="J1376" i="10"/>
  <c r="L1376" i="10"/>
  <c r="M1376" i="10" s="1"/>
  <c r="J1412" i="10"/>
  <c r="L1412" i="10"/>
  <c r="M1412" i="10" s="1"/>
  <c r="J987" i="10"/>
  <c r="L987" i="10"/>
  <c r="M987" i="10" s="1"/>
  <c r="J1050" i="10"/>
  <c r="L1050" i="10"/>
  <c r="M1050" i="10" s="1"/>
  <c r="J1119" i="10"/>
  <c r="L1119" i="10"/>
  <c r="M1119" i="10" s="1"/>
  <c r="J1200" i="10"/>
  <c r="L1200" i="10"/>
  <c r="M1200" i="10" s="1"/>
  <c r="J1269" i="10"/>
  <c r="L1269" i="10"/>
  <c r="M1269" i="10" s="1"/>
  <c r="J1332" i="10"/>
  <c r="L1332" i="10"/>
  <c r="M1332" i="10" s="1"/>
  <c r="J1399" i="10"/>
  <c r="L1399" i="10"/>
  <c r="M1399" i="10" s="1"/>
  <c r="J677" i="10"/>
  <c r="L677" i="10"/>
  <c r="M677" i="10" s="1"/>
  <c r="J131" i="10"/>
  <c r="L131" i="10"/>
  <c r="M131" i="10" s="1"/>
  <c r="J251" i="10"/>
  <c r="L251" i="10"/>
  <c r="M251" i="10" s="1"/>
  <c r="J479" i="10"/>
  <c r="L479" i="10"/>
  <c r="M479" i="10" s="1"/>
  <c r="J557" i="10"/>
  <c r="L557" i="10"/>
  <c r="M557" i="10" s="1"/>
  <c r="J617" i="10"/>
  <c r="L617" i="10"/>
  <c r="M617" i="10" s="1"/>
  <c r="J731" i="10"/>
  <c r="L731" i="10"/>
  <c r="M731" i="10" s="1"/>
  <c r="J833" i="10"/>
  <c r="L833" i="10"/>
  <c r="M833" i="10" s="1"/>
  <c r="J893" i="10"/>
  <c r="L893" i="10"/>
  <c r="M893" i="10" s="1"/>
  <c r="J1037" i="10"/>
  <c r="L1037" i="10"/>
  <c r="M1037" i="10" s="1"/>
  <c r="J1169" i="10"/>
  <c r="L1169" i="10"/>
  <c r="M1169" i="10" s="1"/>
  <c r="J1283" i="10"/>
  <c r="L1283" i="10"/>
  <c r="M1283" i="10" s="1"/>
  <c r="J113" i="10"/>
  <c r="L113" i="10"/>
  <c r="M113" i="10" s="1"/>
  <c r="J233" i="10"/>
  <c r="L233" i="10"/>
  <c r="M233" i="10" s="1"/>
  <c r="J329" i="10"/>
  <c r="L329" i="10"/>
  <c r="M329" i="10" s="1"/>
  <c r="J419" i="10"/>
  <c r="L419" i="10"/>
  <c r="M419" i="10" s="1"/>
  <c r="J653" i="10"/>
  <c r="L653" i="10"/>
  <c r="M653" i="10" s="1"/>
  <c r="J875" i="10"/>
  <c r="L875" i="10"/>
  <c r="M875" i="10" s="1"/>
  <c r="J1043" i="10"/>
  <c r="L1043" i="10"/>
  <c r="M1043" i="10" s="1"/>
  <c r="J1289" i="10"/>
  <c r="L1289" i="10"/>
  <c r="M1289" i="10" s="1"/>
  <c r="J10" i="10"/>
  <c r="L10" i="10"/>
  <c r="M10" i="10" s="1"/>
  <c r="J46" i="10"/>
  <c r="L46" i="10"/>
  <c r="M46" i="10" s="1"/>
  <c r="J88" i="10"/>
  <c r="L88" i="10"/>
  <c r="M88" i="10" s="1"/>
  <c r="J124" i="10"/>
  <c r="L124" i="10"/>
  <c r="M124" i="10" s="1"/>
  <c r="J160" i="10"/>
  <c r="L160" i="10"/>
  <c r="M160" i="10" s="1"/>
  <c r="J196" i="10"/>
  <c r="L196" i="10"/>
  <c r="M196" i="10" s="1"/>
  <c r="J232" i="10"/>
  <c r="L232" i="10"/>
  <c r="M232" i="10" s="1"/>
  <c r="J274" i="10"/>
  <c r="L274" i="10"/>
  <c r="M274" i="10" s="1"/>
  <c r="J310" i="10"/>
  <c r="L310" i="10"/>
  <c r="M310" i="10" s="1"/>
  <c r="J346" i="10"/>
  <c r="L346" i="10"/>
  <c r="M346" i="10" s="1"/>
  <c r="J388" i="10"/>
  <c r="L388" i="10"/>
  <c r="M388" i="10" s="1"/>
  <c r="J430" i="10"/>
  <c r="L430" i="10"/>
  <c r="M430" i="10" s="1"/>
  <c r="J466" i="10"/>
  <c r="L466" i="10"/>
  <c r="M466" i="10" s="1"/>
  <c r="J508" i="10"/>
  <c r="L508" i="10"/>
  <c r="M508" i="10" s="1"/>
  <c r="J544" i="10"/>
  <c r="L544" i="10"/>
  <c r="M544" i="10" s="1"/>
  <c r="J586" i="10"/>
  <c r="L586" i="10"/>
  <c r="M586" i="10" s="1"/>
  <c r="J622" i="10"/>
  <c r="L622" i="10"/>
  <c r="M622" i="10" s="1"/>
  <c r="J664" i="10"/>
  <c r="L664" i="10"/>
  <c r="M664" i="10" s="1"/>
  <c r="J706" i="10"/>
  <c r="L706" i="10"/>
  <c r="M706" i="10" s="1"/>
  <c r="J742" i="10"/>
  <c r="L742" i="10"/>
  <c r="M742" i="10" s="1"/>
  <c r="J778" i="10"/>
  <c r="L778" i="10"/>
  <c r="M778" i="10" s="1"/>
  <c r="J820" i="10"/>
  <c r="L820" i="10"/>
  <c r="M820" i="10" s="1"/>
  <c r="J862" i="10"/>
  <c r="L862" i="10"/>
  <c r="M862" i="10" s="1"/>
  <c r="J898" i="10"/>
  <c r="L898" i="10"/>
  <c r="M898" i="10" s="1"/>
  <c r="J940" i="10"/>
  <c r="L940" i="10"/>
  <c r="M940" i="10" s="1"/>
  <c r="J976" i="10"/>
  <c r="L976" i="10"/>
  <c r="M976" i="10" s="1"/>
  <c r="J1018" i="10"/>
  <c r="L1018" i="10"/>
  <c r="M1018" i="10" s="1"/>
  <c r="J1054" i="10"/>
  <c r="L1054" i="10"/>
  <c r="M1054" i="10" s="1"/>
  <c r="J1090" i="10"/>
  <c r="L1090" i="10"/>
  <c r="M1090" i="10" s="1"/>
  <c r="J1132" i="10"/>
  <c r="L1132" i="10"/>
  <c r="M1132" i="10" s="1"/>
  <c r="J1168" i="10"/>
  <c r="L1168" i="10"/>
  <c r="M1168" i="10" s="1"/>
  <c r="J1204" i="10"/>
  <c r="L1204" i="10"/>
  <c r="M1204" i="10" s="1"/>
  <c r="J1240" i="10"/>
  <c r="L1240" i="10"/>
  <c r="M1240" i="10" s="1"/>
  <c r="J1276" i="10"/>
  <c r="L1276" i="10"/>
  <c r="M1276" i="10" s="1"/>
  <c r="J1312" i="10"/>
  <c r="L1312" i="10"/>
  <c r="M1312" i="10" s="1"/>
  <c r="J1348" i="10"/>
  <c r="L1348" i="10"/>
  <c r="M1348" i="10" s="1"/>
  <c r="J1390" i="10"/>
  <c r="L1390" i="10"/>
  <c r="M1390" i="10" s="1"/>
  <c r="J2" i="10"/>
  <c r="L2" i="10"/>
  <c r="M2" i="10" s="1"/>
  <c r="J1104" i="10"/>
  <c r="L1104" i="10"/>
  <c r="M1104" i="10" s="1"/>
  <c r="J1183" i="10"/>
  <c r="L1183" i="10"/>
  <c r="M1183" i="10" s="1"/>
  <c r="J1254" i="10"/>
  <c r="L1254" i="10"/>
  <c r="M1254" i="10" s="1"/>
  <c r="J1326" i="10"/>
  <c r="L1326" i="10"/>
  <c r="M1326" i="10" s="1"/>
  <c r="J1392" i="10"/>
  <c r="L1392" i="10"/>
  <c r="M1392" i="10" s="1"/>
  <c r="J89" i="10"/>
  <c r="L89" i="10"/>
  <c r="M89" i="10" s="1"/>
  <c r="J287" i="10"/>
  <c r="L287" i="10"/>
  <c r="M287" i="10" s="1"/>
  <c r="J413" i="10"/>
  <c r="L413" i="10"/>
  <c r="M413" i="10" s="1"/>
  <c r="J497" i="10"/>
  <c r="L497" i="10"/>
  <c r="M497" i="10" s="1"/>
  <c r="J761" i="10"/>
  <c r="L761" i="10"/>
  <c r="M761" i="10" s="1"/>
  <c r="J1007" i="10"/>
  <c r="L1007" i="10"/>
  <c r="M1007" i="10" s="1"/>
  <c r="J1337" i="10"/>
  <c r="L1337" i="10"/>
  <c r="M1337" i="10" s="1"/>
  <c r="J827" i="10"/>
  <c r="L827" i="10"/>
  <c r="M827" i="10" s="1"/>
  <c r="J1049" i="10"/>
  <c r="L1049" i="10"/>
  <c r="M1049" i="10" s="1"/>
  <c r="J1367" i="10"/>
  <c r="L1367" i="10"/>
  <c r="M1367" i="10" s="1"/>
  <c r="J1377" i="10"/>
  <c r="L1377" i="10"/>
  <c r="M1377" i="10" s="1"/>
  <c r="J1327" i="10"/>
  <c r="L1327" i="10"/>
  <c r="M1327" i="10" s="1"/>
  <c r="J1338" i="10"/>
  <c r="L1338" i="10"/>
  <c r="M1338" i="10" s="1"/>
  <c r="J1534" i="10"/>
  <c r="L1534" i="10"/>
  <c r="M1534" i="10" s="1"/>
  <c r="J1576" i="10"/>
  <c r="L1576" i="10"/>
  <c r="M1576" i="10" s="1"/>
  <c r="J1611" i="10"/>
  <c r="L1611" i="10"/>
  <c r="M1611" i="10" s="1"/>
  <c r="J1594" i="10"/>
  <c r="L1594" i="10"/>
  <c r="M1594" i="10" s="1"/>
  <c r="J1639" i="10"/>
  <c r="L1639" i="10"/>
  <c r="M1639" i="10" s="1"/>
  <c r="J1793" i="10"/>
  <c r="L1793" i="10"/>
  <c r="M1793" i="10" s="1"/>
  <c r="J1911" i="10"/>
  <c r="L1911" i="10"/>
  <c r="M1911" i="10" s="1"/>
  <c r="J1993" i="10"/>
  <c r="L1993" i="10"/>
  <c r="M1993" i="10" s="1"/>
  <c r="J1896" i="10"/>
  <c r="L1896" i="10"/>
  <c r="M1896" i="10" s="1"/>
  <c r="J1757" i="10"/>
  <c r="L1757" i="10"/>
  <c r="M1757" i="10" s="1"/>
  <c r="J1869" i="10"/>
  <c r="L1869" i="10"/>
  <c r="M1869" i="10" s="1"/>
  <c r="J1770" i="10"/>
  <c r="L1770" i="10"/>
  <c r="M1770" i="10" s="1"/>
  <c r="J1784" i="10"/>
  <c r="L1784" i="10"/>
  <c r="M1784" i="10" s="1"/>
  <c r="J1676" i="10"/>
  <c r="L1676" i="10"/>
  <c r="M1676" i="10" s="1"/>
  <c r="J1675" i="10"/>
  <c r="L1675" i="10"/>
  <c r="M1675" i="10" s="1"/>
  <c r="J1794" i="10"/>
  <c r="L1794" i="10"/>
  <c r="M1794" i="10" s="1"/>
  <c r="J65" i="10"/>
  <c r="L65" i="10"/>
  <c r="M65" i="10" s="1"/>
  <c r="J1019" i="10"/>
  <c r="L1019" i="10"/>
  <c r="M1019" i="10" s="1"/>
  <c r="J671" i="10"/>
  <c r="L671" i="10"/>
  <c r="M671" i="10" s="1"/>
  <c r="J797" i="10"/>
  <c r="L797" i="10"/>
  <c r="M797" i="10" s="1"/>
  <c r="J1079" i="10"/>
  <c r="L1079" i="10"/>
  <c r="M1079" i="10" s="1"/>
  <c r="J1199" i="10"/>
  <c r="L1199" i="10"/>
  <c r="M1199" i="10" s="1"/>
  <c r="J1319" i="10"/>
  <c r="L1319" i="10"/>
  <c r="M1319" i="10" s="1"/>
  <c r="J26" i="10"/>
  <c r="L26" i="10"/>
  <c r="M26" i="10" s="1"/>
  <c r="J62" i="10"/>
  <c r="L62" i="10"/>
  <c r="M62" i="10" s="1"/>
  <c r="J98" i="10"/>
  <c r="L98" i="10"/>
  <c r="M98" i="10" s="1"/>
  <c r="J134" i="10"/>
  <c r="L134" i="10"/>
  <c r="M134" i="10" s="1"/>
  <c r="J170" i="10"/>
  <c r="L170" i="10"/>
  <c r="M170" i="10" s="1"/>
  <c r="J206" i="10"/>
  <c r="L206" i="10"/>
  <c r="M206" i="10" s="1"/>
  <c r="J242" i="10"/>
  <c r="L242" i="10"/>
  <c r="M242" i="10" s="1"/>
  <c r="J278" i="10"/>
  <c r="L278" i="10"/>
  <c r="M278" i="10" s="1"/>
  <c r="J314" i="10"/>
  <c r="L314" i="10"/>
  <c r="M314" i="10" s="1"/>
  <c r="J350" i="10"/>
  <c r="L350" i="10"/>
  <c r="M350" i="10" s="1"/>
  <c r="J386" i="10"/>
  <c r="L386" i="10"/>
  <c r="M386" i="10" s="1"/>
  <c r="J422" i="10"/>
  <c r="L422" i="10"/>
  <c r="M422" i="10" s="1"/>
  <c r="J458" i="10"/>
  <c r="L458" i="10"/>
  <c r="M458" i="10" s="1"/>
  <c r="J494" i="10"/>
  <c r="L494" i="10"/>
  <c r="M494" i="10" s="1"/>
  <c r="J530" i="10"/>
  <c r="L530" i="10"/>
  <c r="M530" i="10" s="1"/>
  <c r="J566" i="10"/>
  <c r="L566" i="10"/>
  <c r="M566" i="10" s="1"/>
  <c r="J608" i="10"/>
  <c r="L608" i="10"/>
  <c r="M608" i="10" s="1"/>
  <c r="J644" i="10"/>
  <c r="L644" i="10"/>
  <c r="M644" i="10" s="1"/>
  <c r="J680" i="10"/>
  <c r="L680" i="10"/>
  <c r="M680" i="10" s="1"/>
  <c r="J716" i="10"/>
  <c r="L716" i="10"/>
  <c r="M716" i="10" s="1"/>
  <c r="J752" i="10"/>
  <c r="L752" i="10"/>
  <c r="M752" i="10" s="1"/>
  <c r="J794" i="10"/>
  <c r="L794" i="10"/>
  <c r="M794" i="10" s="1"/>
  <c r="J830" i="10"/>
  <c r="L830" i="10"/>
  <c r="M830" i="10" s="1"/>
  <c r="J866" i="10"/>
  <c r="L866" i="10"/>
  <c r="M866" i="10" s="1"/>
  <c r="J902" i="10"/>
  <c r="L902" i="10"/>
  <c r="M902" i="10" s="1"/>
  <c r="J944" i="10"/>
  <c r="L944" i="10"/>
  <c r="M944" i="10" s="1"/>
  <c r="J980" i="10"/>
  <c r="L980" i="10"/>
  <c r="M980" i="10" s="1"/>
  <c r="J1016" i="10"/>
  <c r="L1016" i="10"/>
  <c r="M1016" i="10" s="1"/>
  <c r="J1094" i="10"/>
  <c r="L1094" i="10"/>
  <c r="M1094" i="10" s="1"/>
  <c r="J1166" i="10"/>
  <c r="L1166" i="10"/>
  <c r="M1166" i="10" s="1"/>
  <c r="J1238" i="10"/>
  <c r="L1238" i="10"/>
  <c r="M1238" i="10" s="1"/>
  <c r="J1310" i="10"/>
  <c r="L1310" i="10"/>
  <c r="M1310" i="10" s="1"/>
  <c r="J1346" i="10"/>
  <c r="L1346" i="10"/>
  <c r="M1346" i="10" s="1"/>
  <c r="J1382" i="10"/>
  <c r="L1382" i="10"/>
  <c r="M1382" i="10" s="1"/>
  <c r="J1418" i="10"/>
  <c r="L1418" i="10"/>
  <c r="M1418" i="10" s="1"/>
  <c r="J997" i="10"/>
  <c r="L997" i="10"/>
  <c r="M997" i="10" s="1"/>
  <c r="J1059" i="10"/>
  <c r="L1059" i="10"/>
  <c r="M1059" i="10" s="1"/>
  <c r="J1129" i="10"/>
  <c r="L1129" i="10"/>
  <c r="M1129" i="10" s="1"/>
  <c r="J1211" i="10"/>
  <c r="L1211" i="10"/>
  <c r="M1211" i="10" s="1"/>
  <c r="J1281" i="10"/>
  <c r="L1281" i="10"/>
  <c r="M1281" i="10" s="1"/>
  <c r="J1344" i="10"/>
  <c r="L1344" i="10"/>
  <c r="M1344" i="10" s="1"/>
  <c r="J1410" i="10"/>
  <c r="L1410" i="10"/>
  <c r="M1410" i="10" s="1"/>
  <c r="J11" i="10"/>
  <c r="L11" i="10"/>
  <c r="M11" i="10" s="1"/>
  <c r="J143" i="10"/>
  <c r="L143" i="10"/>
  <c r="M143" i="10" s="1"/>
  <c r="J257" i="10"/>
  <c r="L257" i="10"/>
  <c r="M257" i="10" s="1"/>
  <c r="J503" i="10"/>
  <c r="L503" i="10"/>
  <c r="M503" i="10" s="1"/>
  <c r="J563" i="10"/>
  <c r="L563" i="10"/>
  <c r="M563" i="10" s="1"/>
  <c r="J635" i="10"/>
  <c r="L635" i="10"/>
  <c r="M635" i="10" s="1"/>
  <c r="J755" i="10"/>
  <c r="L755" i="10"/>
  <c r="M755" i="10" s="1"/>
  <c r="J839" i="10"/>
  <c r="L839" i="10"/>
  <c r="M839" i="10" s="1"/>
  <c r="J911" i="10"/>
  <c r="L911" i="10"/>
  <c r="M911" i="10" s="1"/>
  <c r="J1061" i="10"/>
  <c r="L1061" i="10"/>
  <c r="M1061" i="10" s="1"/>
  <c r="J1193" i="10"/>
  <c r="L1193" i="10"/>
  <c r="M1193" i="10" s="1"/>
  <c r="J1391" i="10"/>
  <c r="L1391" i="10"/>
  <c r="M1391" i="10" s="1"/>
  <c r="J125" i="10"/>
  <c r="L125" i="10"/>
  <c r="M125" i="10" s="1"/>
  <c r="J275" i="10"/>
  <c r="L275" i="10"/>
  <c r="M275" i="10" s="1"/>
  <c r="J335" i="10"/>
  <c r="L335" i="10"/>
  <c r="M335" i="10" s="1"/>
  <c r="J431" i="10"/>
  <c r="L431" i="10"/>
  <c r="M431" i="10" s="1"/>
  <c r="J665" i="10"/>
  <c r="L665" i="10"/>
  <c r="M665" i="10" s="1"/>
  <c r="J905" i="10"/>
  <c r="L905" i="10"/>
  <c r="M905" i="10" s="1"/>
  <c r="J1133" i="10"/>
  <c r="L1133" i="10"/>
  <c r="M1133" i="10" s="1"/>
  <c r="J1313" i="10"/>
  <c r="L1313" i="10"/>
  <c r="M1313" i="10" s="1"/>
  <c r="J16" i="10"/>
  <c r="L16" i="10"/>
  <c r="M16" i="10" s="1"/>
  <c r="J58" i="10"/>
  <c r="L58" i="10"/>
  <c r="M58" i="10" s="1"/>
  <c r="J94" i="10"/>
  <c r="L94" i="10"/>
  <c r="M94" i="10" s="1"/>
  <c r="J130" i="10"/>
  <c r="L130" i="10"/>
  <c r="M130" i="10" s="1"/>
  <c r="J166" i="10"/>
  <c r="L166" i="10"/>
  <c r="M166" i="10" s="1"/>
  <c r="J202" i="10"/>
  <c r="L202" i="10"/>
  <c r="M202" i="10" s="1"/>
  <c r="J238" i="10"/>
  <c r="L238" i="10"/>
  <c r="M238" i="10" s="1"/>
  <c r="J280" i="10"/>
  <c r="L280" i="10"/>
  <c r="M280" i="10" s="1"/>
  <c r="J316" i="10"/>
  <c r="L316" i="10"/>
  <c r="M316" i="10" s="1"/>
  <c r="J358" i="10"/>
  <c r="L358" i="10"/>
  <c r="M358" i="10" s="1"/>
  <c r="J394" i="10"/>
  <c r="L394" i="10"/>
  <c r="M394" i="10" s="1"/>
  <c r="J436" i="10"/>
  <c r="L436" i="10"/>
  <c r="M436" i="10" s="1"/>
  <c r="J472" i="10"/>
  <c r="L472" i="10"/>
  <c r="M472" i="10" s="1"/>
  <c r="J514" i="10"/>
  <c r="L514" i="10"/>
  <c r="M514" i="10" s="1"/>
  <c r="J550" i="10"/>
  <c r="L550" i="10"/>
  <c r="M550" i="10" s="1"/>
  <c r="J592" i="10"/>
  <c r="L592" i="10"/>
  <c r="M592" i="10" s="1"/>
  <c r="J628" i="10"/>
  <c r="L628" i="10"/>
  <c r="M628" i="10" s="1"/>
  <c r="J670" i="10"/>
  <c r="L670" i="10"/>
  <c r="M670" i="10" s="1"/>
  <c r="J712" i="10"/>
  <c r="L712" i="10"/>
  <c r="M712" i="10" s="1"/>
  <c r="J748" i="10"/>
  <c r="L748" i="10"/>
  <c r="M748" i="10" s="1"/>
  <c r="J790" i="10"/>
  <c r="L790" i="10"/>
  <c r="M790" i="10" s="1"/>
  <c r="J826" i="10"/>
  <c r="L826" i="10"/>
  <c r="M826" i="10" s="1"/>
  <c r="J868" i="10"/>
  <c r="L868" i="10"/>
  <c r="M868" i="10" s="1"/>
  <c r="J904" i="10"/>
  <c r="L904" i="10"/>
  <c r="M904" i="10" s="1"/>
  <c r="J946" i="10"/>
  <c r="L946" i="10"/>
  <c r="M946" i="10" s="1"/>
  <c r="J982" i="10"/>
  <c r="L982" i="10"/>
  <c r="M982" i="10" s="1"/>
  <c r="J1024" i="10"/>
  <c r="L1024" i="10"/>
  <c r="M1024" i="10" s="1"/>
  <c r="J1060" i="10"/>
  <c r="L1060" i="10"/>
  <c r="M1060" i="10" s="1"/>
  <c r="J1096" i="10"/>
  <c r="L1096" i="10"/>
  <c r="M1096" i="10" s="1"/>
  <c r="J1138" i="10"/>
  <c r="L1138" i="10"/>
  <c r="M1138" i="10" s="1"/>
  <c r="J1174" i="10"/>
  <c r="L1174" i="10"/>
  <c r="M1174" i="10" s="1"/>
  <c r="J1210" i="10"/>
  <c r="L1210" i="10"/>
  <c r="M1210" i="10" s="1"/>
  <c r="J1246" i="10"/>
  <c r="L1246" i="10"/>
  <c r="M1246" i="10" s="1"/>
  <c r="J1282" i="10"/>
  <c r="L1282" i="10"/>
  <c r="M1282" i="10" s="1"/>
  <c r="J1318" i="10"/>
  <c r="L1318" i="10"/>
  <c r="M1318" i="10" s="1"/>
  <c r="J1354" i="10"/>
  <c r="L1354" i="10"/>
  <c r="M1354" i="10" s="1"/>
  <c r="J1396" i="10"/>
  <c r="L1396" i="10"/>
  <c r="M1396" i="10" s="1"/>
  <c r="J377" i="10"/>
  <c r="L377" i="10"/>
  <c r="M377" i="10" s="1"/>
  <c r="J1123" i="10"/>
  <c r="L1123" i="10"/>
  <c r="M1123" i="10" s="1"/>
  <c r="J1194" i="10"/>
  <c r="L1194" i="10"/>
  <c r="M1194" i="10" s="1"/>
  <c r="J1263" i="10"/>
  <c r="L1263" i="10"/>
  <c r="M1263" i="10" s="1"/>
  <c r="J1335" i="10"/>
  <c r="L1335" i="10"/>
  <c r="M1335" i="10" s="1"/>
  <c r="J1404" i="10"/>
  <c r="L1404" i="10"/>
  <c r="M1404" i="10" s="1"/>
  <c r="J95" i="10"/>
  <c r="L95" i="10"/>
  <c r="M95" i="10" s="1"/>
  <c r="J305" i="10"/>
  <c r="L305" i="10"/>
  <c r="M305" i="10" s="1"/>
  <c r="J425" i="10"/>
  <c r="L425" i="10"/>
  <c r="M425" i="10" s="1"/>
  <c r="J515" i="10"/>
  <c r="L515" i="10"/>
  <c r="M515" i="10" s="1"/>
  <c r="J887" i="10"/>
  <c r="L887" i="10"/>
  <c r="M887" i="10" s="1"/>
  <c r="J1073" i="10"/>
  <c r="L1073" i="10"/>
  <c r="M1073" i="10" s="1"/>
  <c r="J1361" i="10"/>
  <c r="L1361" i="10"/>
  <c r="M1361" i="10" s="1"/>
  <c r="J941" i="10"/>
  <c r="L941" i="10"/>
  <c r="M941" i="10" s="1"/>
  <c r="J1091" i="10"/>
  <c r="L1091" i="10"/>
  <c r="M1091" i="10" s="1"/>
  <c r="J1403" i="10"/>
  <c r="L1403" i="10"/>
  <c r="M1403" i="10" s="1"/>
  <c r="J1395" i="10"/>
  <c r="L1395" i="10"/>
  <c r="M1395" i="10" s="1"/>
  <c r="J1345" i="10"/>
  <c r="L1345" i="10"/>
  <c r="M1345" i="10" s="1"/>
  <c r="J1374" i="10"/>
  <c r="L1374" i="10"/>
  <c r="M1374" i="10" s="1"/>
  <c r="J1503" i="10"/>
  <c r="L1503" i="10"/>
  <c r="M1503" i="10" s="1"/>
  <c r="J1552" i="10"/>
  <c r="L1552" i="10"/>
  <c r="M1552" i="10" s="1"/>
  <c r="J1636" i="10"/>
  <c r="L1636" i="10"/>
  <c r="M1636" i="10" s="1"/>
  <c r="J1621" i="10"/>
  <c r="L1621" i="10"/>
  <c r="M1621" i="10" s="1"/>
  <c r="J1706" i="10"/>
  <c r="L1706" i="10"/>
  <c r="M1706" i="10" s="1"/>
  <c r="J1947" i="10"/>
  <c r="L1947" i="10"/>
  <c r="M1947" i="10" s="1"/>
  <c r="J1860" i="10"/>
  <c r="L1860" i="10"/>
  <c r="M1860" i="10" s="1"/>
  <c r="J1593" i="10"/>
  <c r="L1593" i="10"/>
  <c r="M1593" i="10" s="1"/>
  <c r="J1716" i="10"/>
  <c r="L1716" i="10"/>
  <c r="M1716" i="10" s="1"/>
  <c r="J1511" i="10"/>
  <c r="L1511" i="10"/>
  <c r="M1511" i="10" s="1"/>
  <c r="J1542" i="10"/>
  <c r="L1542" i="10"/>
  <c r="M1542" i="10" s="1"/>
  <c r="J1688" i="10"/>
  <c r="L1688" i="10"/>
  <c r="M1688" i="10" s="1"/>
  <c r="J1780" i="10"/>
  <c r="L1780" i="10"/>
  <c r="M1780" i="10" s="1"/>
  <c r="J1917" i="10"/>
  <c r="L1917" i="10"/>
  <c r="M1917" i="10" s="1"/>
  <c r="J119" i="10"/>
  <c r="L119" i="10"/>
  <c r="M119" i="10" s="1"/>
  <c r="J1139" i="10"/>
  <c r="L1139" i="10"/>
  <c r="M1139" i="10" s="1"/>
  <c r="J701" i="10"/>
  <c r="L701" i="10"/>
  <c r="M701" i="10" s="1"/>
  <c r="J815" i="10"/>
  <c r="L815" i="10"/>
  <c r="M815" i="10" s="1"/>
  <c r="J1097" i="10"/>
  <c r="L1097" i="10"/>
  <c r="M1097" i="10" s="1"/>
  <c r="J1229" i="10"/>
  <c r="L1229" i="10"/>
  <c r="M1229" i="10" s="1"/>
  <c r="J1385" i="10"/>
  <c r="L1385" i="10"/>
  <c r="M1385" i="10" s="1"/>
  <c r="J32" i="10"/>
  <c r="L32" i="10"/>
  <c r="M32" i="10" s="1"/>
  <c r="J68" i="10"/>
  <c r="L68" i="10"/>
  <c r="M68" i="10" s="1"/>
  <c r="J104" i="10"/>
  <c r="L104" i="10"/>
  <c r="M104" i="10" s="1"/>
  <c r="J140" i="10"/>
  <c r="L140" i="10"/>
  <c r="M140" i="10" s="1"/>
  <c r="J176" i="10"/>
  <c r="L176" i="10"/>
  <c r="M176" i="10" s="1"/>
  <c r="J212" i="10"/>
  <c r="L212" i="10"/>
  <c r="M212" i="10" s="1"/>
  <c r="J248" i="10"/>
  <c r="L248" i="10"/>
  <c r="M248" i="10" s="1"/>
  <c r="J284" i="10"/>
  <c r="L284" i="10"/>
  <c r="M284" i="10" s="1"/>
  <c r="J320" i="10"/>
  <c r="L320" i="10"/>
  <c r="M320" i="10" s="1"/>
  <c r="J356" i="10"/>
  <c r="L356" i="10"/>
  <c r="M356" i="10" s="1"/>
  <c r="J392" i="10"/>
  <c r="L392" i="10"/>
  <c r="M392" i="10" s="1"/>
  <c r="J428" i="10"/>
  <c r="L428" i="10"/>
  <c r="M428" i="10" s="1"/>
  <c r="J464" i="10"/>
  <c r="L464" i="10"/>
  <c r="M464" i="10" s="1"/>
  <c r="J500" i="10"/>
  <c r="L500" i="10"/>
  <c r="M500" i="10" s="1"/>
  <c r="J536" i="10"/>
  <c r="L536" i="10"/>
  <c r="M536" i="10" s="1"/>
  <c r="J572" i="10"/>
  <c r="L572" i="10"/>
  <c r="M572" i="10" s="1"/>
  <c r="J614" i="10"/>
  <c r="L614" i="10"/>
  <c r="M614" i="10" s="1"/>
  <c r="J650" i="10"/>
  <c r="L650" i="10"/>
  <c r="M650" i="10" s="1"/>
  <c r="J686" i="10"/>
  <c r="L686" i="10"/>
  <c r="M686" i="10" s="1"/>
  <c r="J722" i="10"/>
  <c r="L722" i="10"/>
  <c r="M722" i="10" s="1"/>
  <c r="J758" i="10"/>
  <c r="L758" i="10"/>
  <c r="M758" i="10" s="1"/>
  <c r="J800" i="10"/>
  <c r="L800" i="10"/>
  <c r="M800" i="10" s="1"/>
  <c r="J836" i="10"/>
  <c r="L836" i="10"/>
  <c r="M836" i="10" s="1"/>
  <c r="J872" i="10"/>
  <c r="L872" i="10"/>
  <c r="M872" i="10" s="1"/>
  <c r="J908" i="10"/>
  <c r="L908" i="10"/>
  <c r="M908" i="10" s="1"/>
  <c r="J950" i="10"/>
  <c r="L950" i="10"/>
  <c r="M950" i="10" s="1"/>
  <c r="J986" i="10"/>
  <c r="L986" i="10"/>
  <c r="M986" i="10" s="1"/>
  <c r="J1028" i="10"/>
  <c r="L1028" i="10"/>
  <c r="M1028" i="10" s="1"/>
  <c r="J1100" i="10"/>
  <c r="L1100" i="10"/>
  <c r="M1100" i="10" s="1"/>
  <c r="J1172" i="10"/>
  <c r="L1172" i="10"/>
  <c r="M1172" i="10" s="1"/>
  <c r="J1244" i="10"/>
  <c r="L1244" i="10"/>
  <c r="M1244" i="10" s="1"/>
  <c r="J1316" i="10"/>
  <c r="L1316" i="10"/>
  <c r="M1316" i="10" s="1"/>
  <c r="J1352" i="10"/>
  <c r="L1352" i="10"/>
  <c r="M1352" i="10" s="1"/>
  <c r="J1388" i="10"/>
  <c r="L1388" i="10"/>
  <c r="M1388" i="10" s="1"/>
  <c r="J395" i="10"/>
  <c r="L395" i="10"/>
  <c r="M395" i="10" s="1"/>
  <c r="J1009" i="10"/>
  <c r="L1009" i="10"/>
  <c r="M1009" i="10" s="1"/>
  <c r="J1069" i="10"/>
  <c r="L1069" i="10"/>
  <c r="M1069" i="10" s="1"/>
  <c r="J1140" i="10"/>
  <c r="L1140" i="10"/>
  <c r="M1140" i="10" s="1"/>
  <c r="J1219" i="10"/>
  <c r="L1219" i="10"/>
  <c r="M1219" i="10" s="1"/>
  <c r="J1290" i="10"/>
  <c r="L1290" i="10"/>
  <c r="M1290" i="10" s="1"/>
  <c r="J1356" i="10"/>
  <c r="L1356" i="10"/>
  <c r="M1356" i="10" s="1"/>
  <c r="J101" i="10"/>
  <c r="L101" i="10"/>
  <c r="M101" i="10" s="1"/>
  <c r="J29" i="10"/>
  <c r="L29" i="10"/>
  <c r="M29" i="10" s="1"/>
  <c r="J149" i="10"/>
  <c r="L149" i="10"/>
  <c r="M149" i="10" s="1"/>
  <c r="J311" i="10"/>
  <c r="L311" i="10"/>
  <c r="M311" i="10" s="1"/>
  <c r="J521" i="10"/>
  <c r="L521" i="10"/>
  <c r="M521" i="10" s="1"/>
  <c r="J575" i="10"/>
  <c r="L575" i="10"/>
  <c r="M575" i="10" s="1"/>
  <c r="J683" i="10"/>
  <c r="L683" i="10"/>
  <c r="M683" i="10" s="1"/>
  <c r="J767" i="10"/>
  <c r="L767" i="10"/>
  <c r="M767" i="10" s="1"/>
  <c r="J851" i="10"/>
  <c r="L851" i="10"/>
  <c r="M851" i="10" s="1"/>
  <c r="J917" i="10"/>
  <c r="L917" i="10"/>
  <c r="M917" i="10" s="1"/>
  <c r="J1085" i="10"/>
  <c r="L1085" i="10"/>
  <c r="M1085" i="10" s="1"/>
  <c r="J1217" i="10"/>
  <c r="L1217" i="10"/>
  <c r="M1217" i="10" s="1"/>
  <c r="J5" i="10"/>
  <c r="L5" i="10"/>
  <c r="M5" i="10" s="1"/>
  <c r="J161" i="10"/>
  <c r="L161" i="10"/>
  <c r="M161" i="10" s="1"/>
  <c r="J281" i="10"/>
  <c r="L281" i="10"/>
  <c r="M281" i="10" s="1"/>
  <c r="J353" i="10"/>
  <c r="L353" i="10"/>
  <c r="M353" i="10" s="1"/>
  <c r="J455" i="10"/>
  <c r="L455" i="10"/>
  <c r="M455" i="10" s="1"/>
  <c r="J725" i="10"/>
  <c r="L725" i="10"/>
  <c r="M725" i="10" s="1"/>
  <c r="J923" i="10"/>
  <c r="L923" i="10"/>
  <c r="M923" i="10" s="1"/>
  <c r="J1175" i="10"/>
  <c r="L1175" i="10"/>
  <c r="M1175" i="10" s="1"/>
  <c r="J1325" i="10"/>
  <c r="L1325" i="10"/>
  <c r="M1325" i="10" s="1"/>
  <c r="J22" i="10"/>
  <c r="L22" i="10"/>
  <c r="M22" i="10" s="1"/>
  <c r="J64" i="10"/>
  <c r="L64" i="10"/>
  <c r="M64" i="10" s="1"/>
  <c r="J100" i="10"/>
  <c r="L100" i="10"/>
  <c r="M100" i="10" s="1"/>
  <c r="J136" i="10"/>
  <c r="L136" i="10"/>
  <c r="M136" i="10" s="1"/>
  <c r="J172" i="10"/>
  <c r="L172" i="10"/>
  <c r="M172" i="10" s="1"/>
  <c r="J208" i="10"/>
  <c r="L208" i="10"/>
  <c r="M208" i="10" s="1"/>
  <c r="J244" i="10"/>
  <c r="L244" i="10"/>
  <c r="M244" i="10" s="1"/>
  <c r="J286" i="10"/>
  <c r="L286" i="10"/>
  <c r="M286" i="10" s="1"/>
  <c r="J322" i="10"/>
  <c r="L322" i="10"/>
  <c r="M322" i="10" s="1"/>
  <c r="J364" i="10"/>
  <c r="L364" i="10"/>
  <c r="M364" i="10" s="1"/>
  <c r="J400" i="10"/>
  <c r="L400" i="10"/>
  <c r="M400" i="10" s="1"/>
  <c r="J442" i="10"/>
  <c r="L442" i="10"/>
  <c r="M442" i="10" s="1"/>
  <c r="J478" i="10"/>
  <c r="L478" i="10"/>
  <c r="M478" i="10" s="1"/>
  <c r="J520" i="10"/>
  <c r="L520" i="10"/>
  <c r="M520" i="10" s="1"/>
  <c r="J562" i="10"/>
  <c r="L562" i="10"/>
  <c r="M562" i="10" s="1"/>
  <c r="J598" i="10"/>
  <c r="L598" i="10"/>
  <c r="M598" i="10" s="1"/>
  <c r="J634" i="10"/>
  <c r="L634" i="10"/>
  <c r="M634" i="10" s="1"/>
  <c r="J676" i="10"/>
  <c r="L676" i="10"/>
  <c r="M676" i="10" s="1"/>
  <c r="J718" i="10"/>
  <c r="L718" i="10"/>
  <c r="M718" i="10" s="1"/>
  <c r="J754" i="10"/>
  <c r="L754" i="10"/>
  <c r="M754" i="10" s="1"/>
  <c r="J796" i="10"/>
  <c r="L796" i="10"/>
  <c r="M796" i="10" s="1"/>
  <c r="J832" i="10"/>
  <c r="L832" i="10"/>
  <c r="M832" i="10" s="1"/>
  <c r="J874" i="10"/>
  <c r="L874" i="10"/>
  <c r="M874" i="10" s="1"/>
  <c r="J910" i="10"/>
  <c r="L910" i="10"/>
  <c r="M910" i="10" s="1"/>
  <c r="J952" i="10"/>
  <c r="L952" i="10"/>
  <c r="M952" i="10" s="1"/>
  <c r="J994" i="10"/>
  <c r="L994" i="10"/>
  <c r="M994" i="10" s="1"/>
  <c r="J1030" i="10"/>
  <c r="L1030" i="10"/>
  <c r="M1030" i="10" s="1"/>
  <c r="J1066" i="10"/>
  <c r="L1066" i="10"/>
  <c r="M1066" i="10" s="1"/>
  <c r="J1102" i="10"/>
  <c r="L1102" i="10"/>
  <c r="M1102" i="10" s="1"/>
  <c r="J1144" i="10"/>
  <c r="L1144" i="10"/>
  <c r="M1144" i="10" s="1"/>
  <c r="J1180" i="10"/>
  <c r="L1180" i="10"/>
  <c r="M1180" i="10" s="1"/>
  <c r="J1216" i="10"/>
  <c r="L1216" i="10"/>
  <c r="M1216" i="10" s="1"/>
  <c r="J1252" i="10"/>
  <c r="L1252" i="10"/>
  <c r="M1252" i="10" s="1"/>
  <c r="J1288" i="10"/>
  <c r="L1288" i="10"/>
  <c r="M1288" i="10" s="1"/>
  <c r="J1324" i="10"/>
  <c r="L1324" i="10"/>
  <c r="M1324" i="10" s="1"/>
  <c r="J1360" i="10"/>
  <c r="L1360" i="10"/>
  <c r="M1360" i="10" s="1"/>
  <c r="J1402" i="10"/>
  <c r="L1402" i="10"/>
  <c r="M1402" i="10" s="1"/>
  <c r="J545" i="10"/>
  <c r="L545" i="10"/>
  <c r="M545" i="10" s="1"/>
  <c r="J1134" i="10"/>
  <c r="L1134" i="10"/>
  <c r="M1134" i="10" s="1"/>
  <c r="J1203" i="10"/>
  <c r="L1203" i="10"/>
  <c r="M1203" i="10" s="1"/>
  <c r="J1273" i="10"/>
  <c r="L1273" i="10"/>
  <c r="M1273" i="10" s="1"/>
  <c r="J1347" i="10"/>
  <c r="L1347" i="10"/>
  <c r="M1347" i="10" s="1"/>
  <c r="J1413" i="10"/>
  <c r="L1413" i="10"/>
  <c r="M1413" i="10" s="1"/>
  <c r="J107" i="10"/>
  <c r="L107" i="10"/>
  <c r="M107" i="10" s="1"/>
  <c r="J323" i="10"/>
  <c r="L323" i="10"/>
  <c r="M323" i="10" s="1"/>
  <c r="J437" i="10"/>
  <c r="L437" i="10"/>
  <c r="M437" i="10" s="1"/>
  <c r="J569" i="10"/>
  <c r="L569" i="10"/>
  <c r="M569" i="10" s="1"/>
  <c r="J935" i="10"/>
  <c r="L935" i="10"/>
  <c r="M935" i="10" s="1"/>
  <c r="J1103" i="10"/>
  <c r="L1103" i="10"/>
  <c r="M1103" i="10" s="1"/>
  <c r="J1379" i="10"/>
  <c r="L1379" i="10"/>
  <c r="M1379" i="10" s="1"/>
  <c r="J1067" i="10"/>
  <c r="L1067" i="10"/>
  <c r="M1067" i="10" s="1"/>
  <c r="J1121" i="10"/>
  <c r="L1121" i="10"/>
  <c r="M1121" i="10" s="1"/>
  <c r="J1249" i="10"/>
  <c r="L1249" i="10"/>
  <c r="M1249" i="10" s="1"/>
  <c r="J1416" i="10"/>
  <c r="L1416" i="10"/>
  <c r="M1416" i="10" s="1"/>
  <c r="J1363" i="10"/>
  <c r="L1363" i="10"/>
  <c r="M1363" i="10" s="1"/>
  <c r="J1387" i="10"/>
  <c r="L1387" i="10"/>
  <c r="M1387" i="10" s="1"/>
  <c r="J1509" i="10"/>
  <c r="L1509" i="10"/>
  <c r="M1509" i="10" s="1"/>
  <c r="J1558" i="10"/>
  <c r="L1558" i="10"/>
  <c r="M1558" i="10" s="1"/>
  <c r="J1615" i="10"/>
  <c r="L1615" i="10"/>
  <c r="M1615" i="10" s="1"/>
  <c r="J1698" i="10"/>
  <c r="L1698" i="10"/>
  <c r="M1698" i="10" s="1"/>
  <c r="J1692" i="10"/>
  <c r="L1692" i="10"/>
  <c r="M1692" i="10" s="1"/>
  <c r="J1851" i="10"/>
  <c r="L1851" i="10"/>
  <c r="M1851" i="10" s="1"/>
  <c r="J1758" i="10"/>
  <c r="L1758" i="10"/>
  <c r="M1758" i="10" s="1"/>
  <c r="J1922" i="10"/>
  <c r="L1922" i="10"/>
  <c r="M1922" i="10" s="1"/>
  <c r="J1820" i="10"/>
  <c r="L1820" i="10"/>
  <c r="M1820" i="10" s="1"/>
  <c r="J1957" i="10"/>
  <c r="L1957" i="10"/>
  <c r="M1957" i="10" s="1"/>
  <c r="J1742" i="10"/>
  <c r="L1742" i="10"/>
  <c r="M1742" i="10" s="1"/>
  <c r="J1929" i="10"/>
  <c r="L1929" i="10"/>
  <c r="M1929" i="10" s="1"/>
  <c r="J1584" i="10"/>
  <c r="L1584" i="10"/>
  <c r="M1584" i="10" s="1"/>
  <c r="J1614" i="10"/>
  <c r="L1614" i="10"/>
  <c r="M1614" i="10" s="1"/>
  <c r="J1667" i="10"/>
  <c r="L1667" i="10"/>
  <c r="M1667" i="10" s="1"/>
  <c r="J1734" i="10"/>
  <c r="L1734" i="10"/>
  <c r="M1734" i="10" s="1"/>
  <c r="J1512" i="10"/>
  <c r="L1512" i="10"/>
  <c r="M1512" i="10" s="1"/>
  <c r="J1543" i="10"/>
  <c r="L1543" i="10"/>
  <c r="M1543" i="10" s="1"/>
  <c r="J1581" i="10"/>
  <c r="L1581" i="10"/>
  <c r="M1581" i="10" s="1"/>
  <c r="J1624" i="10"/>
  <c r="L1624" i="10"/>
  <c r="M1624" i="10" s="1"/>
  <c r="J1753" i="10"/>
  <c r="L1753" i="10"/>
  <c r="M1753" i="10" s="1"/>
  <c r="J1515" i="10"/>
  <c r="L1515" i="10"/>
  <c r="M1515" i="10" s="1"/>
  <c r="J1560" i="10"/>
  <c r="L1560" i="10"/>
  <c r="M1560" i="10" s="1"/>
  <c r="J1609" i="10"/>
  <c r="L1609" i="10"/>
  <c r="M1609" i="10" s="1"/>
  <c r="J1650" i="10"/>
  <c r="L1650" i="10"/>
  <c r="M1650" i="10" s="1"/>
  <c r="J1570" i="10"/>
  <c r="L1570" i="10"/>
  <c r="M1570" i="10" s="1"/>
  <c r="J1644" i="10"/>
  <c r="L1644" i="10"/>
  <c r="M1644" i="10" s="1"/>
  <c r="J1697" i="10"/>
  <c r="L1697" i="10"/>
  <c r="M1697" i="10" s="1"/>
  <c r="J1323" i="10"/>
  <c r="L1323" i="10"/>
  <c r="M1323" i="10" s="1"/>
  <c r="J173" i="10"/>
  <c r="L173" i="10"/>
  <c r="M173" i="10" s="1"/>
  <c r="J1331" i="10"/>
  <c r="L1331" i="10"/>
  <c r="M1331" i="10" s="1"/>
  <c r="J719" i="10"/>
  <c r="L719" i="10"/>
  <c r="M719" i="10" s="1"/>
  <c r="J899" i="10"/>
  <c r="L899" i="10"/>
  <c r="M899" i="10" s="1"/>
  <c r="J1115" i="10"/>
  <c r="L1115" i="10"/>
  <c r="M1115" i="10" s="1"/>
  <c r="J1247" i="10"/>
  <c r="L1247" i="10"/>
  <c r="M1247" i="10" s="1"/>
  <c r="J1415" i="10"/>
  <c r="L1415" i="10"/>
  <c r="M1415" i="10" s="1"/>
  <c r="J38" i="10"/>
  <c r="L38" i="10"/>
  <c r="M38" i="10" s="1"/>
  <c r="J74" i="10"/>
  <c r="L74" i="10"/>
  <c r="M74" i="10" s="1"/>
  <c r="J110" i="10"/>
  <c r="L110" i="10"/>
  <c r="M110" i="10" s="1"/>
  <c r="J146" i="10"/>
  <c r="L146" i="10"/>
  <c r="M146" i="10" s="1"/>
  <c r="J182" i="10"/>
  <c r="L182" i="10"/>
  <c r="M182" i="10" s="1"/>
  <c r="J218" i="10"/>
  <c r="L218" i="10"/>
  <c r="M218" i="10" s="1"/>
  <c r="J254" i="10"/>
  <c r="L254" i="10"/>
  <c r="M254" i="10" s="1"/>
  <c r="J290" i="10"/>
  <c r="L290" i="10"/>
  <c r="M290" i="10" s="1"/>
  <c r="J326" i="10"/>
  <c r="L326" i="10"/>
  <c r="M326" i="10" s="1"/>
  <c r="J362" i="10"/>
  <c r="L362" i="10"/>
  <c r="M362" i="10" s="1"/>
  <c r="J398" i="10"/>
  <c r="L398" i="10"/>
  <c r="M398" i="10" s="1"/>
  <c r="J434" i="10"/>
  <c r="L434" i="10"/>
  <c r="M434" i="10" s="1"/>
  <c r="J470" i="10"/>
  <c r="L470" i="10"/>
  <c r="M470" i="10" s="1"/>
  <c r="J506" i="10"/>
  <c r="L506" i="10"/>
  <c r="M506" i="10" s="1"/>
  <c r="J542" i="10"/>
  <c r="L542" i="10"/>
  <c r="M542" i="10" s="1"/>
  <c r="J584" i="10"/>
  <c r="L584" i="10"/>
  <c r="M584" i="10" s="1"/>
  <c r="J620" i="10"/>
  <c r="L620" i="10"/>
  <c r="M620" i="10" s="1"/>
  <c r="J656" i="10"/>
  <c r="L656" i="10"/>
  <c r="M656" i="10" s="1"/>
  <c r="J692" i="10"/>
  <c r="L692" i="10"/>
  <c r="M692" i="10" s="1"/>
  <c r="J728" i="10"/>
  <c r="L728" i="10"/>
  <c r="M728" i="10" s="1"/>
  <c r="J764" i="10"/>
  <c r="L764" i="10"/>
  <c r="M764" i="10" s="1"/>
  <c r="J806" i="10"/>
  <c r="L806" i="10"/>
  <c r="M806" i="10" s="1"/>
  <c r="J842" i="10"/>
  <c r="L842" i="10"/>
  <c r="M842" i="10" s="1"/>
  <c r="J878" i="10"/>
  <c r="L878" i="10"/>
  <c r="M878" i="10" s="1"/>
  <c r="J914" i="10"/>
  <c r="L914" i="10"/>
  <c r="M914" i="10" s="1"/>
  <c r="J956" i="10"/>
  <c r="L956" i="10"/>
  <c r="M956" i="10" s="1"/>
  <c r="J992" i="10"/>
  <c r="L992" i="10"/>
  <c r="M992" i="10" s="1"/>
  <c r="J1046" i="10"/>
  <c r="L1046" i="10"/>
  <c r="M1046" i="10" s="1"/>
  <c r="J1118" i="10"/>
  <c r="L1118" i="10"/>
  <c r="M1118" i="10" s="1"/>
  <c r="J1190" i="10"/>
  <c r="L1190" i="10"/>
  <c r="M1190" i="10" s="1"/>
  <c r="J1262" i="10"/>
  <c r="L1262" i="10"/>
  <c r="M1262" i="10" s="1"/>
  <c r="J1322" i="10"/>
  <c r="L1322" i="10"/>
  <c r="M1322" i="10" s="1"/>
  <c r="J1358" i="10"/>
  <c r="L1358" i="10"/>
  <c r="M1358" i="10" s="1"/>
  <c r="J1394" i="10"/>
  <c r="L1394" i="10"/>
  <c r="M1394" i="10" s="1"/>
  <c r="J509" i="10"/>
  <c r="L509" i="10"/>
  <c r="M509" i="10" s="1"/>
  <c r="J1020" i="10"/>
  <c r="L1020" i="10"/>
  <c r="M1020" i="10" s="1"/>
  <c r="J1077" i="10"/>
  <c r="L1077" i="10"/>
  <c r="M1077" i="10" s="1"/>
  <c r="J1159" i="10"/>
  <c r="L1159" i="10"/>
  <c r="M1159" i="10" s="1"/>
  <c r="J1230" i="10"/>
  <c r="L1230" i="10"/>
  <c r="M1230" i="10" s="1"/>
  <c r="J1299" i="10"/>
  <c r="L1299" i="10"/>
  <c r="M1299" i="10" s="1"/>
  <c r="J1368" i="10"/>
  <c r="L1368" i="10"/>
  <c r="M1368" i="10" s="1"/>
  <c r="J155" i="10"/>
  <c r="L155" i="10"/>
  <c r="M155" i="10" s="1"/>
  <c r="J41" i="10"/>
  <c r="L41" i="10"/>
  <c r="M41" i="10" s="1"/>
  <c r="J185" i="10"/>
  <c r="L185" i="10"/>
  <c r="M185" i="10" s="1"/>
  <c r="J347" i="10"/>
  <c r="L347" i="10"/>
  <c r="M347" i="10" s="1"/>
  <c r="J533" i="10"/>
  <c r="L533" i="10"/>
  <c r="M533" i="10" s="1"/>
  <c r="J587" i="10"/>
  <c r="L587" i="10"/>
  <c r="M587" i="10" s="1"/>
  <c r="J689" i="10"/>
  <c r="L689" i="10"/>
  <c r="M689" i="10" s="1"/>
  <c r="J785" i="10"/>
  <c r="L785" i="10"/>
  <c r="M785" i="10" s="1"/>
  <c r="J863" i="10"/>
  <c r="L863" i="10"/>
  <c r="M863" i="10" s="1"/>
  <c r="J929" i="10"/>
  <c r="L929" i="10"/>
  <c r="M929" i="10" s="1"/>
  <c r="J1109" i="10"/>
  <c r="L1109" i="10"/>
  <c r="M1109" i="10" s="1"/>
  <c r="J1235" i="10"/>
  <c r="L1235" i="10"/>
  <c r="M1235" i="10" s="1"/>
  <c r="J23" i="10"/>
  <c r="L23" i="10"/>
  <c r="M23" i="10" s="1"/>
  <c r="J203" i="10"/>
  <c r="L203" i="10"/>
  <c r="M203" i="10" s="1"/>
  <c r="J293" i="10"/>
  <c r="L293" i="10"/>
  <c r="M293" i="10" s="1"/>
  <c r="J365" i="10"/>
  <c r="L365" i="10"/>
  <c r="M365" i="10" s="1"/>
  <c r="J473" i="10"/>
  <c r="L473" i="10"/>
  <c r="M473" i="10" s="1"/>
  <c r="J743" i="10"/>
  <c r="L743" i="10"/>
  <c r="M743" i="10" s="1"/>
  <c r="J953" i="10"/>
  <c r="L953" i="10"/>
  <c r="M953" i="10" s="1"/>
  <c r="J1205" i="10"/>
  <c r="L1205" i="10"/>
  <c r="M1205" i="10" s="1"/>
  <c r="J1343" i="10"/>
  <c r="L1343" i="10"/>
  <c r="M1343" i="10" s="1"/>
  <c r="J28" i="10"/>
  <c r="L28" i="10"/>
  <c r="M28" i="10" s="1"/>
  <c r="J70" i="10"/>
  <c r="L70" i="10"/>
  <c r="M70" i="10" s="1"/>
  <c r="J106" i="10"/>
  <c r="L106" i="10"/>
  <c r="M106" i="10" s="1"/>
  <c r="J142" i="10"/>
  <c r="L142" i="10"/>
  <c r="M142" i="10" s="1"/>
  <c r="J178" i="10"/>
  <c r="L178" i="10"/>
  <c r="M178" i="10" s="1"/>
  <c r="J214" i="10"/>
  <c r="L214" i="10"/>
  <c r="M214" i="10" s="1"/>
  <c r="J250" i="10"/>
  <c r="L250" i="10"/>
  <c r="M250" i="10" s="1"/>
  <c r="J292" i="10"/>
  <c r="L292" i="10"/>
  <c r="M292" i="10" s="1"/>
  <c r="J328" i="10"/>
  <c r="L328" i="10"/>
  <c r="M328" i="10" s="1"/>
  <c r="J370" i="10"/>
  <c r="L370" i="10"/>
  <c r="M370" i="10" s="1"/>
  <c r="J406" i="10"/>
  <c r="L406" i="10"/>
  <c r="M406" i="10" s="1"/>
  <c r="J448" i="10"/>
  <c r="L448" i="10"/>
  <c r="M448" i="10" s="1"/>
  <c r="J484" i="10"/>
  <c r="L484" i="10"/>
  <c r="M484" i="10" s="1"/>
  <c r="J526" i="10"/>
  <c r="L526" i="10"/>
  <c r="M526" i="10" s="1"/>
  <c r="J568" i="10"/>
  <c r="L568" i="10"/>
  <c r="M568" i="10" s="1"/>
  <c r="J604" i="10"/>
  <c r="L604" i="10"/>
  <c r="M604" i="10" s="1"/>
  <c r="J646" i="10"/>
  <c r="L646" i="10"/>
  <c r="M646" i="10" s="1"/>
  <c r="J682" i="10"/>
  <c r="L682" i="10"/>
  <c r="M682" i="10" s="1"/>
  <c r="J724" i="10"/>
  <c r="L724" i="10"/>
  <c r="M724" i="10" s="1"/>
  <c r="J760" i="10"/>
  <c r="L760" i="10"/>
  <c r="M760" i="10" s="1"/>
  <c r="J802" i="10"/>
  <c r="L802" i="10"/>
  <c r="M802" i="10" s="1"/>
  <c r="J1527" i="10"/>
  <c r="L1527" i="10"/>
  <c r="M1527" i="10" s="1"/>
  <c r="J1549" i="10"/>
  <c r="L1549" i="10"/>
  <c r="M1549" i="10" s="1"/>
  <c r="J1563" i="10"/>
  <c r="L1563" i="10"/>
  <c r="M1563" i="10" s="1"/>
  <c r="J1642" i="10"/>
  <c r="L1642" i="10"/>
  <c r="M1642" i="10" s="1"/>
  <c r="J1723" i="10"/>
  <c r="L1723" i="10"/>
  <c r="M1723" i="10" s="1"/>
  <c r="J1923" i="10"/>
  <c r="L1923" i="10"/>
  <c r="M1923" i="10" s="1"/>
  <c r="J1928" i="10"/>
  <c r="L1928" i="10"/>
  <c r="M1928" i="10" s="1"/>
  <c r="J1751" i="10"/>
  <c r="L1751" i="10"/>
  <c r="M1751" i="10" s="1"/>
  <c r="J1886" i="10"/>
  <c r="L1886" i="10"/>
  <c r="M1886" i="10" s="1"/>
  <c r="J1623" i="10"/>
  <c r="L1623" i="10"/>
  <c r="M1623" i="10" s="1"/>
  <c r="J1514" i="10"/>
  <c r="L1514" i="10"/>
  <c r="M1514" i="10" s="1"/>
  <c r="J1547" i="10"/>
  <c r="L1547" i="10"/>
  <c r="M1547" i="10" s="1"/>
  <c r="J1582" i="10"/>
  <c r="L1582" i="10"/>
  <c r="M1582" i="10" s="1"/>
  <c r="J1529" i="10"/>
  <c r="L1529" i="10"/>
  <c r="M1529" i="10" s="1"/>
  <c r="J1568" i="10"/>
  <c r="L1568" i="10"/>
  <c r="M1568" i="10" s="1"/>
  <c r="J1657" i="10"/>
  <c r="L1657" i="10"/>
  <c r="M1657" i="10" s="1"/>
  <c r="J1652" i="10"/>
  <c r="L1652" i="10"/>
  <c r="M1652" i="10" s="1"/>
  <c r="J1850" i="10"/>
  <c r="L1850" i="10"/>
  <c r="M1850" i="10" s="1"/>
  <c r="J1879" i="10"/>
  <c r="L1879" i="10"/>
  <c r="M1879" i="10" s="1"/>
  <c r="J1978" i="10"/>
  <c r="L1978" i="10"/>
  <c r="M1978" i="10" s="1"/>
  <c r="J117" i="10"/>
  <c r="L117" i="10"/>
  <c r="M117" i="10" s="1"/>
  <c r="J477" i="10"/>
  <c r="L477" i="10"/>
  <c r="M477" i="10" s="1"/>
  <c r="J789" i="10"/>
  <c r="L789" i="10"/>
  <c r="M789" i="10" s="1"/>
  <c r="J1017" i="10"/>
  <c r="L1017" i="10"/>
  <c r="M1017" i="10" s="1"/>
  <c r="J1426" i="10"/>
  <c r="L1426" i="10"/>
  <c r="M1426" i="10" s="1"/>
  <c r="J838" i="10"/>
  <c r="L838" i="10"/>
  <c r="M838" i="10" s="1"/>
  <c r="J880" i="10"/>
  <c r="L880" i="10"/>
  <c r="M880" i="10" s="1"/>
  <c r="J916" i="10"/>
  <c r="L916" i="10"/>
  <c r="M916" i="10" s="1"/>
  <c r="J958" i="10"/>
  <c r="L958" i="10"/>
  <c r="M958" i="10" s="1"/>
  <c r="J1000" i="10"/>
  <c r="L1000" i="10"/>
  <c r="M1000" i="10" s="1"/>
  <c r="J1036" i="10"/>
  <c r="L1036" i="10"/>
  <c r="M1036" i="10" s="1"/>
  <c r="J1072" i="10"/>
  <c r="L1072" i="10"/>
  <c r="M1072" i="10" s="1"/>
  <c r="J1114" i="10"/>
  <c r="L1114" i="10"/>
  <c r="M1114" i="10" s="1"/>
  <c r="J1150" i="10"/>
  <c r="L1150" i="10"/>
  <c r="M1150" i="10" s="1"/>
  <c r="J1186" i="10"/>
  <c r="L1186" i="10"/>
  <c r="M1186" i="10" s="1"/>
  <c r="J1222" i="10"/>
  <c r="L1222" i="10"/>
  <c r="M1222" i="10" s="1"/>
  <c r="J1258" i="10"/>
  <c r="L1258" i="10"/>
  <c r="M1258" i="10" s="1"/>
  <c r="J1294" i="10"/>
  <c r="L1294" i="10"/>
  <c r="M1294" i="10" s="1"/>
  <c r="J1330" i="10"/>
  <c r="L1330" i="10"/>
  <c r="M1330" i="10" s="1"/>
  <c r="J1366" i="10"/>
  <c r="L1366" i="10"/>
  <c r="M1366" i="10" s="1"/>
  <c r="J1408" i="10"/>
  <c r="L1408" i="10"/>
  <c r="M1408" i="10" s="1"/>
  <c r="J791" i="10"/>
  <c r="L791" i="10"/>
  <c r="M791" i="10" s="1"/>
  <c r="J1152" i="10"/>
  <c r="L1152" i="10"/>
  <c r="M1152" i="10" s="1"/>
  <c r="J1213" i="10"/>
  <c r="L1213" i="10"/>
  <c r="M1213" i="10" s="1"/>
  <c r="J1284" i="10"/>
  <c r="L1284" i="10"/>
  <c r="M1284" i="10" s="1"/>
  <c r="J1359" i="10"/>
  <c r="L1359" i="10"/>
  <c r="M1359" i="10" s="1"/>
  <c r="J17" i="10"/>
  <c r="L17" i="10"/>
  <c r="M17" i="10" s="1"/>
  <c r="J167" i="10"/>
  <c r="L167" i="10"/>
  <c r="M167" i="10" s="1"/>
  <c r="J341" i="10"/>
  <c r="L341" i="10"/>
  <c r="M341" i="10" s="1"/>
  <c r="J461" i="10"/>
  <c r="L461" i="10"/>
  <c r="M461" i="10" s="1"/>
  <c r="J599" i="10"/>
  <c r="L599" i="10"/>
  <c r="M599" i="10" s="1"/>
  <c r="J965" i="10"/>
  <c r="L965" i="10"/>
  <c r="M965" i="10" s="1"/>
  <c r="J1223" i="10"/>
  <c r="L1223" i="10"/>
  <c r="M1223" i="10" s="1"/>
  <c r="J1397" i="10"/>
  <c r="L1397" i="10"/>
  <c r="M1397" i="10" s="1"/>
  <c r="J581" i="10"/>
  <c r="L581" i="10"/>
  <c r="M581" i="10" s="1"/>
  <c r="J1157" i="10"/>
  <c r="L1157" i="10"/>
  <c r="M1157" i="10" s="1"/>
  <c r="J1261" i="10"/>
  <c r="L1261" i="10"/>
  <c r="M1261" i="10" s="1"/>
  <c r="J1266" i="10"/>
  <c r="L1266" i="10"/>
  <c r="M1266" i="10" s="1"/>
  <c r="J1381" i="10"/>
  <c r="L1381" i="10"/>
  <c r="M1381" i="10" s="1"/>
  <c r="J1522" i="10"/>
  <c r="L1522" i="10"/>
  <c r="M1522" i="10" s="1"/>
  <c r="J1528" i="10"/>
  <c r="L1528" i="10"/>
  <c r="M1528" i="10" s="1"/>
  <c r="J1540" i="10"/>
  <c r="L1540" i="10"/>
  <c r="M1540" i="10" s="1"/>
  <c r="J1603" i="10"/>
  <c r="L1603" i="10"/>
  <c r="M1603" i="10" s="1"/>
  <c r="J1665" i="10"/>
  <c r="L1665" i="10"/>
  <c r="M1665" i="10" s="1"/>
  <c r="J1779" i="10"/>
  <c r="L1779" i="10"/>
  <c r="M1779" i="10" s="1"/>
  <c r="J1785" i="10"/>
  <c r="L1785" i="10"/>
  <c r="M1785" i="10" s="1"/>
  <c r="J1887" i="10"/>
  <c r="L1887" i="10"/>
  <c r="M1887" i="10" s="1"/>
  <c r="J1875" i="10"/>
  <c r="L1875" i="10"/>
  <c r="M1875" i="10" s="1"/>
  <c r="J1769" i="10"/>
  <c r="L1769" i="10"/>
  <c r="M1769" i="10" s="1"/>
  <c r="J1941" i="10"/>
  <c r="L1941" i="10"/>
  <c r="M1941" i="10" s="1"/>
  <c r="J1685" i="10"/>
  <c r="L1685" i="10"/>
  <c r="M1685" i="10" s="1"/>
  <c r="J1801" i="10"/>
  <c r="L1801" i="10"/>
  <c r="M1801" i="10" s="1"/>
  <c r="J1893" i="10"/>
  <c r="L1893" i="10"/>
  <c r="M1893" i="10" s="1"/>
  <c r="J1573" i="10"/>
  <c r="L1573" i="10"/>
  <c r="M1573" i="10" s="1"/>
  <c r="J1591" i="10"/>
  <c r="L1591" i="10"/>
  <c r="M1591" i="10" s="1"/>
  <c r="J1507" i="10"/>
  <c r="L1507" i="10"/>
  <c r="M1507" i="10" s="1"/>
  <c r="J1541" i="10"/>
  <c r="L1541" i="10"/>
  <c r="M1541" i="10" s="1"/>
  <c r="J1571" i="10"/>
  <c r="L1571" i="10"/>
  <c r="M1571" i="10" s="1"/>
  <c r="J1608" i="10"/>
  <c r="L1608" i="10"/>
  <c r="M1608" i="10" s="1"/>
  <c r="J1649" i="10"/>
  <c r="L1649" i="10"/>
  <c r="M1649" i="10" s="1"/>
  <c r="J1508" i="10"/>
  <c r="L1508" i="10"/>
  <c r="M1508" i="10" s="1"/>
  <c r="J1532" i="10"/>
  <c r="L1532" i="10"/>
  <c r="M1532" i="10" s="1"/>
  <c r="J1691" i="10"/>
  <c r="L1691" i="10"/>
  <c r="M1691" i="10" s="1"/>
  <c r="J1525" i="10"/>
  <c r="L1525" i="10"/>
  <c r="M1525" i="10" s="1"/>
  <c r="J1626" i="10"/>
  <c r="L1626" i="10"/>
  <c r="M1626" i="10" s="1"/>
  <c r="J1738" i="10"/>
  <c r="L1738" i="10"/>
  <c r="M1738" i="10" s="1"/>
  <c r="J1798" i="10"/>
  <c r="L1798" i="10"/>
  <c r="M1798" i="10" s="1"/>
  <c r="J1863" i="10"/>
  <c r="L1863" i="10"/>
  <c r="M1863" i="10" s="1"/>
  <c r="J1916" i="10"/>
  <c r="L1916" i="10"/>
  <c r="M1916" i="10" s="1"/>
  <c r="J1973" i="10"/>
  <c r="L1973" i="10"/>
  <c r="M1973" i="10" s="1"/>
  <c r="J93" i="10"/>
  <c r="L93" i="10"/>
  <c r="M93" i="10" s="1"/>
  <c r="J255" i="10"/>
  <c r="L255" i="10"/>
  <c r="M255" i="10" s="1"/>
  <c r="J453" i="10"/>
  <c r="L453" i="10"/>
  <c r="M453" i="10" s="1"/>
  <c r="J651" i="10"/>
  <c r="L651" i="10"/>
  <c r="M651" i="10" s="1"/>
  <c r="J837" i="10"/>
  <c r="L837" i="10"/>
  <c r="M837" i="10" s="1"/>
  <c r="J1053" i="10"/>
  <c r="L1053" i="10"/>
  <c r="M1053" i="10" s="1"/>
  <c r="J1191" i="10"/>
  <c r="L1191" i="10"/>
  <c r="M1191" i="10" s="1"/>
  <c r="J1631" i="10"/>
  <c r="L1631" i="10"/>
  <c r="M1631" i="10" s="1"/>
  <c r="J1654" i="10"/>
  <c r="L1654" i="10"/>
  <c r="M1654" i="10" s="1"/>
  <c r="J1771" i="10"/>
  <c r="L1771" i="10"/>
  <c r="M1771" i="10" s="1"/>
  <c r="J1899" i="10"/>
  <c r="L1899" i="10"/>
  <c r="M1899" i="10" s="1"/>
  <c r="J51" i="10"/>
  <c r="L51" i="10"/>
  <c r="M51" i="10" s="1"/>
  <c r="J177" i="10"/>
  <c r="L177" i="10"/>
  <c r="M177" i="10" s="1"/>
  <c r="J303" i="10"/>
  <c r="L303" i="10"/>
  <c r="M303" i="10" s="1"/>
  <c r="J537" i="10"/>
  <c r="L537" i="10"/>
  <c r="M537" i="10" s="1"/>
  <c r="J873" i="10"/>
  <c r="L873" i="10"/>
  <c r="M873" i="10" s="1"/>
  <c r="J1251" i="10"/>
  <c r="L1251" i="10"/>
  <c r="M1251" i="10" s="1"/>
  <c r="J1353" i="10"/>
  <c r="L1353" i="10"/>
  <c r="M1353" i="10" s="1"/>
  <c r="J1566" i="10"/>
  <c r="L1566" i="10"/>
  <c r="M1566" i="10" s="1"/>
  <c r="L1854" i="10"/>
  <c r="M1854" i="10" s="1"/>
  <c r="J1854" i="10"/>
  <c r="J1908" i="10"/>
  <c r="L1908" i="10"/>
  <c r="M1908" i="10" s="1"/>
  <c r="J1943" i="10"/>
  <c r="L1943" i="10"/>
  <c r="M1943" i="10" s="1"/>
  <c r="J1971" i="10"/>
  <c r="L1971" i="10"/>
  <c r="M1971" i="10" s="1"/>
  <c r="J1996" i="10"/>
  <c r="L1996" i="10"/>
  <c r="M1996" i="10" s="1"/>
  <c r="J75" i="10"/>
  <c r="L75" i="10"/>
  <c r="M75" i="10" s="1"/>
  <c r="J237" i="10"/>
  <c r="L237" i="10"/>
  <c r="M237" i="10" s="1"/>
  <c r="J399" i="10"/>
  <c r="L399" i="10"/>
  <c r="M399" i="10" s="1"/>
  <c r="J597" i="10"/>
  <c r="L597" i="10"/>
  <c r="M597" i="10" s="1"/>
  <c r="J747" i="10"/>
  <c r="L747" i="10"/>
  <c r="M747" i="10" s="1"/>
  <c r="J933" i="10"/>
  <c r="L933" i="10"/>
  <c r="M933" i="10" s="1"/>
  <c r="J1311" i="10"/>
  <c r="L1311" i="10"/>
  <c r="M1311" i="10" s="1"/>
  <c r="J1653" i="10"/>
  <c r="L1653" i="10"/>
  <c r="M1653" i="10" s="1"/>
  <c r="J1721" i="10"/>
  <c r="L1721" i="10"/>
  <c r="M1721" i="10" s="1"/>
  <c r="J1903" i="10"/>
  <c r="L1903" i="10"/>
  <c r="M1903" i="10" s="1"/>
  <c r="J123" i="10"/>
  <c r="L123" i="10"/>
  <c r="M123" i="10" s="1"/>
  <c r="J423" i="10"/>
  <c r="L423" i="10"/>
  <c r="M423" i="10" s="1"/>
  <c r="J495" i="10"/>
  <c r="L495" i="10"/>
  <c r="M495" i="10" s="1"/>
  <c r="J645" i="10"/>
  <c r="L645" i="10"/>
  <c r="M645" i="10" s="1"/>
  <c r="J819" i="10"/>
  <c r="L819" i="10"/>
  <c r="M819" i="10" s="1"/>
  <c r="J1047" i="10"/>
  <c r="L1047" i="10"/>
  <c r="M1047" i="10" s="1"/>
  <c r="J1401" i="10"/>
  <c r="L1401" i="10"/>
  <c r="M1401" i="10" s="1"/>
  <c r="J1474" i="10"/>
  <c r="L1474" i="10"/>
  <c r="M1474" i="10" s="1"/>
  <c r="J1712" i="10"/>
  <c r="L1712" i="10"/>
  <c r="M1712" i="10" s="1"/>
  <c r="J1789" i="10"/>
  <c r="L1789" i="10"/>
  <c r="M1789" i="10" s="1"/>
  <c r="J1807" i="10"/>
  <c r="L1807" i="10"/>
  <c r="M1807" i="10" s="1"/>
  <c r="J1819" i="10"/>
  <c r="L1819" i="10"/>
  <c r="M1819" i="10" s="1"/>
  <c r="J1901" i="10"/>
  <c r="L1901" i="10"/>
  <c r="M1901" i="10" s="1"/>
  <c r="J1933" i="10"/>
  <c r="L1933" i="10"/>
  <c r="M1933" i="10" s="1"/>
  <c r="J1959" i="10"/>
  <c r="L1959" i="10"/>
  <c r="M1959" i="10" s="1"/>
  <c r="J9" i="10"/>
  <c r="L9" i="10"/>
  <c r="M9" i="10" s="1"/>
  <c r="J321" i="10"/>
  <c r="L321" i="10"/>
  <c r="M321" i="10" s="1"/>
  <c r="J519" i="10"/>
  <c r="L519" i="10"/>
  <c r="M519" i="10" s="1"/>
  <c r="J693" i="10"/>
  <c r="L693" i="10"/>
  <c r="M693" i="10" s="1"/>
  <c r="J915" i="10"/>
  <c r="L915" i="10"/>
  <c r="M915" i="10" s="1"/>
  <c r="J999" i="10"/>
  <c r="L999" i="10"/>
  <c r="M999" i="10" s="1"/>
  <c r="J1143" i="10"/>
  <c r="L1143" i="10"/>
  <c r="M1143" i="10" s="1"/>
  <c r="J1432" i="10"/>
  <c r="L1432" i="10"/>
  <c r="M1432" i="10" s="1"/>
  <c r="J1572" i="10"/>
  <c r="L1572" i="10"/>
  <c r="M1572" i="10" s="1"/>
  <c r="J1727" i="10"/>
  <c r="L1727" i="10"/>
  <c r="M1727" i="10" s="1"/>
  <c r="J1533" i="10"/>
  <c r="L1533" i="10"/>
  <c r="M1533" i="10" s="1"/>
  <c r="J1604" i="10"/>
  <c r="L1604" i="10"/>
  <c r="M1604" i="10" s="1"/>
  <c r="J1539" i="10"/>
  <c r="L1539" i="10"/>
  <c r="M1539" i="10" s="1"/>
  <c r="J1632" i="10"/>
  <c r="L1632" i="10"/>
  <c r="M1632" i="10" s="1"/>
  <c r="J1673" i="10"/>
  <c r="L1673" i="10"/>
  <c r="M1673" i="10" s="1"/>
  <c r="J1659" i="10"/>
  <c r="L1659" i="10"/>
  <c r="M1659" i="10" s="1"/>
  <c r="J1711" i="10"/>
  <c r="L1711" i="10"/>
  <c r="M1711" i="10" s="1"/>
  <c r="J1849" i="10"/>
  <c r="L1849" i="10"/>
  <c r="M1849" i="10" s="1"/>
  <c r="J1878" i="10"/>
  <c r="L1878" i="10"/>
  <c r="M1878" i="10" s="1"/>
  <c r="J1930" i="10"/>
  <c r="L1930" i="10"/>
  <c r="M1930" i="10" s="1"/>
  <c r="J1427" i="10"/>
  <c r="L1427" i="10"/>
  <c r="M1427" i="10" s="1"/>
  <c r="J1445" i="10"/>
  <c r="L1445" i="10"/>
  <c r="M1445" i="10" s="1"/>
  <c r="J1463" i="10"/>
  <c r="L1463" i="10"/>
  <c r="M1463" i="10" s="1"/>
  <c r="J1481" i="10"/>
  <c r="L1481" i="10"/>
  <c r="M1481" i="10" s="1"/>
  <c r="J1499" i="10"/>
  <c r="L1499" i="10"/>
  <c r="M1499" i="10" s="1"/>
  <c r="J105" i="10"/>
  <c r="L105" i="10"/>
  <c r="M105" i="10" s="1"/>
  <c r="J267" i="10"/>
  <c r="L267" i="10"/>
  <c r="M267" i="10" s="1"/>
  <c r="J465" i="10"/>
  <c r="L465" i="10"/>
  <c r="M465" i="10" s="1"/>
  <c r="J1960" i="10"/>
  <c r="L1960" i="10"/>
  <c r="M1960" i="10" s="1"/>
  <c r="J1578" i="10"/>
  <c r="L1578" i="10"/>
  <c r="M1578" i="10" s="1"/>
  <c r="J1756" i="10"/>
  <c r="L1756" i="10"/>
  <c r="M1756" i="10" s="1"/>
  <c r="J1422" i="10"/>
  <c r="L1422" i="10"/>
  <c r="M1422" i="10" s="1"/>
  <c r="J1446" i="10"/>
  <c r="L1446" i="10"/>
  <c r="M1446" i="10" s="1"/>
  <c r="J1464" i="10"/>
  <c r="L1464" i="10"/>
  <c r="M1464" i="10" s="1"/>
  <c r="J1488" i="10"/>
  <c r="L1488" i="10"/>
  <c r="M1488" i="10" s="1"/>
  <c r="J1373" i="10"/>
  <c r="L1373" i="10"/>
  <c r="M1373" i="10" s="1"/>
  <c r="J189" i="10"/>
  <c r="L189" i="10"/>
  <c r="M189" i="10" s="1"/>
  <c r="J315" i="10"/>
  <c r="L315" i="10"/>
  <c r="M315" i="10" s="1"/>
  <c r="J549" i="10"/>
  <c r="L549" i="10"/>
  <c r="M549" i="10" s="1"/>
  <c r="J663" i="10"/>
  <c r="L663" i="10"/>
  <c r="M663" i="10" s="1"/>
  <c r="J885" i="10"/>
  <c r="L885" i="10"/>
  <c r="M885" i="10" s="1"/>
  <c r="J1107" i="10"/>
  <c r="L1107" i="10"/>
  <c r="M1107" i="10" s="1"/>
  <c r="J1209" i="10"/>
  <c r="L1209" i="10"/>
  <c r="M1209" i="10" s="1"/>
  <c r="J1555" i="10"/>
  <c r="L1555" i="10"/>
  <c r="M1555" i="10" s="1"/>
  <c r="J1829" i="10"/>
  <c r="L1829" i="10"/>
  <c r="M1829" i="10" s="1"/>
  <c r="J1674" i="10"/>
  <c r="L1674" i="10"/>
  <c r="M1674" i="10" s="1"/>
  <c r="J1718" i="10"/>
  <c r="L1718" i="10"/>
  <c r="M1718" i="10" s="1"/>
  <c r="J1855" i="10"/>
  <c r="L1855" i="10"/>
  <c r="M1855" i="10" s="1"/>
  <c r="J1881" i="10"/>
  <c r="L1881" i="10"/>
  <c r="M1881" i="10" s="1"/>
  <c r="J1952" i="10"/>
  <c r="L1952" i="10"/>
  <c r="M1952" i="10" s="1"/>
  <c r="J1980" i="10"/>
  <c r="L1980" i="10"/>
  <c r="M1980" i="10" s="1"/>
  <c r="J411" i="10"/>
  <c r="L411" i="10"/>
  <c r="M411" i="10" s="1"/>
  <c r="J609" i="10"/>
  <c r="L609" i="10"/>
  <c r="M609" i="10" s="1"/>
  <c r="J759" i="10"/>
  <c r="L759" i="10"/>
  <c r="M759" i="10" s="1"/>
  <c r="J945" i="10"/>
  <c r="L945" i="10"/>
  <c r="M945" i="10" s="1"/>
  <c r="J1095" i="10"/>
  <c r="L1095" i="10"/>
  <c r="M1095" i="10" s="1"/>
  <c r="J1420" i="10"/>
  <c r="L1420" i="10"/>
  <c r="M1420" i="10" s="1"/>
  <c r="J1480" i="10"/>
  <c r="L1480" i="10"/>
  <c r="M1480" i="10" s="1"/>
  <c r="J1828" i="10"/>
  <c r="L1828" i="10"/>
  <c r="M1828" i="10" s="1"/>
  <c r="J1852" i="10"/>
  <c r="L1852" i="10"/>
  <c r="M1852" i="10" s="1"/>
  <c r="J135" i="10"/>
  <c r="L135" i="10"/>
  <c r="M135" i="10" s="1"/>
  <c r="J435" i="10"/>
  <c r="L435" i="10"/>
  <c r="M435" i="10" s="1"/>
  <c r="J657" i="10"/>
  <c r="L657" i="10"/>
  <c r="M657" i="10" s="1"/>
  <c r="J831" i="10"/>
  <c r="L831" i="10"/>
  <c r="M831" i="10" s="1"/>
  <c r="J1197" i="10"/>
  <c r="L1197" i="10"/>
  <c r="M1197" i="10" s="1"/>
  <c r="J1598" i="10"/>
  <c r="L1598" i="10"/>
  <c r="M1598" i="10" s="1"/>
  <c r="J1686" i="10"/>
  <c r="L1686" i="10"/>
  <c r="M1686" i="10" s="1"/>
  <c r="J1826" i="10"/>
  <c r="L1826" i="10"/>
  <c r="M1826" i="10" s="1"/>
  <c r="J1904" i="10"/>
  <c r="L1904" i="10"/>
  <c r="M1904" i="10" s="1"/>
  <c r="J1936" i="10"/>
  <c r="L1936" i="10"/>
  <c r="M1936" i="10" s="1"/>
  <c r="J1976" i="10"/>
  <c r="L1976" i="10"/>
  <c r="M1976" i="10" s="1"/>
  <c r="J578" i="10"/>
  <c r="L578" i="10"/>
  <c r="M578" i="10" s="1"/>
  <c r="J21" i="10"/>
  <c r="L21" i="10"/>
  <c r="M21" i="10" s="1"/>
  <c r="J333" i="10"/>
  <c r="L333" i="10"/>
  <c r="M333" i="10" s="1"/>
  <c r="J531" i="10"/>
  <c r="L531" i="10"/>
  <c r="M531" i="10" s="1"/>
  <c r="J855" i="10"/>
  <c r="L855" i="10"/>
  <c r="M855" i="10" s="1"/>
  <c r="J927" i="10"/>
  <c r="L927" i="10"/>
  <c r="M927" i="10" s="1"/>
  <c r="J1155" i="10"/>
  <c r="L1155" i="10"/>
  <c r="M1155" i="10" s="1"/>
  <c r="J1215" i="10"/>
  <c r="L1215" i="10"/>
  <c r="M1215" i="10" s="1"/>
  <c r="J1492" i="10"/>
  <c r="L1492" i="10"/>
  <c r="M1492" i="10" s="1"/>
  <c r="J1990" i="10"/>
  <c r="L1990" i="10"/>
  <c r="M1990" i="10" s="1"/>
  <c r="J1179" i="10"/>
  <c r="L1179" i="10"/>
  <c r="M1179" i="10" s="1"/>
  <c r="J1517" i="10"/>
  <c r="L1517" i="10"/>
  <c r="M1517" i="10" s="1"/>
  <c r="J1866" i="10"/>
  <c r="L1866" i="10"/>
  <c r="M1866" i="10" s="1"/>
  <c r="J1888" i="10"/>
  <c r="L1888" i="10"/>
  <c r="M1888" i="10" s="1"/>
  <c r="J1913" i="10"/>
  <c r="L1913" i="10"/>
  <c r="M1913" i="10" s="1"/>
  <c r="J1981" i="10"/>
  <c r="L1981" i="10"/>
  <c r="M1981" i="10" s="1"/>
  <c r="J621" i="10"/>
  <c r="L621" i="10"/>
  <c r="M621" i="10" s="1"/>
  <c r="J783" i="10"/>
  <c r="L783" i="10"/>
  <c r="M783" i="10" s="1"/>
  <c r="J957" i="10"/>
  <c r="L957" i="10"/>
  <c r="M957" i="10" s="1"/>
  <c r="J1149" i="10"/>
  <c r="L1149" i="10"/>
  <c r="M1149" i="10" s="1"/>
  <c r="J1553" i="10"/>
  <c r="L1553" i="10"/>
  <c r="M1553" i="10" s="1"/>
  <c r="J1865" i="10"/>
  <c r="L1865" i="10"/>
  <c r="M1865" i="10" s="1"/>
  <c r="J1877" i="10"/>
  <c r="L1877" i="10"/>
  <c r="M1877" i="10" s="1"/>
  <c r="J249" i="10"/>
  <c r="L249" i="10"/>
  <c r="M249" i="10" s="1"/>
  <c r="J447" i="10"/>
  <c r="L447" i="10"/>
  <c r="M447" i="10" s="1"/>
  <c r="J843" i="10"/>
  <c r="L843" i="10"/>
  <c r="M843" i="10" s="1"/>
  <c r="J1662" i="10"/>
  <c r="L1662" i="10"/>
  <c r="M1662" i="10" s="1"/>
  <c r="J1763" i="10"/>
  <c r="L1763" i="10"/>
  <c r="M1763" i="10" s="1"/>
  <c r="J1792" i="10"/>
  <c r="L1792" i="10"/>
  <c r="M1792" i="10" s="1"/>
  <c r="J1810" i="10"/>
  <c r="L1810" i="10"/>
  <c r="M1810" i="10" s="1"/>
  <c r="J1827" i="10"/>
  <c r="L1827" i="10"/>
  <c r="M1827" i="10" s="1"/>
  <c r="J1910" i="10"/>
  <c r="L1910" i="10"/>
  <c r="M1910" i="10" s="1"/>
  <c r="J1945" i="10"/>
  <c r="L1945" i="10"/>
  <c r="M1945" i="10" s="1"/>
  <c r="J1989" i="10"/>
  <c r="L1989" i="10"/>
  <c r="M1989" i="10" s="1"/>
  <c r="J33" i="10"/>
  <c r="L33" i="10"/>
  <c r="M33" i="10" s="1"/>
  <c r="J147" i="10"/>
  <c r="L147" i="10"/>
  <c r="M147" i="10" s="1"/>
  <c r="J273" i="10"/>
  <c r="L273" i="10"/>
  <c r="M273" i="10" s="1"/>
  <c r="J345" i="10"/>
  <c r="L345" i="10"/>
  <c r="M345" i="10" s="1"/>
  <c r="J543" i="10"/>
  <c r="L543" i="10"/>
  <c r="M543" i="10" s="1"/>
  <c r="J867" i="10"/>
  <c r="L867" i="10"/>
  <c r="M867" i="10" s="1"/>
  <c r="J1101" i="10"/>
  <c r="L1101" i="10"/>
  <c r="M1101" i="10" s="1"/>
  <c r="J1724" i="10"/>
  <c r="L1724" i="10"/>
  <c r="M1724" i="10" s="1"/>
  <c r="J1428" i="10"/>
  <c r="L1428" i="10"/>
  <c r="M1428" i="10" s="1"/>
  <c r="J1452" i="10"/>
  <c r="L1452" i="10"/>
  <c r="M1452" i="10" s="1"/>
  <c r="J1470" i="10"/>
  <c r="L1470" i="10"/>
  <c r="M1470" i="10" s="1"/>
  <c r="J1494" i="10"/>
  <c r="L1494" i="10"/>
  <c r="M1494" i="10" s="1"/>
  <c r="J15" i="10"/>
  <c r="L15" i="10"/>
  <c r="M15" i="10" s="1"/>
  <c r="J141" i="10"/>
  <c r="L141" i="10"/>
  <c r="M141" i="10" s="1"/>
  <c r="J351" i="10"/>
  <c r="L351" i="10"/>
  <c r="M351" i="10" s="1"/>
  <c r="J501" i="10"/>
  <c r="L501" i="10"/>
  <c r="M501" i="10" s="1"/>
  <c r="J687" i="10"/>
  <c r="L687" i="10"/>
  <c r="M687" i="10" s="1"/>
  <c r="J909" i="10"/>
  <c r="L909" i="10"/>
  <c r="M909" i="10" s="1"/>
  <c r="J1419" i="10"/>
  <c r="L1419" i="10"/>
  <c r="M1419" i="10" s="1"/>
  <c r="L1800" i="10"/>
  <c r="M1800" i="10" s="1"/>
  <c r="J1800" i="10"/>
  <c r="J1687" i="10"/>
  <c r="L1687" i="10"/>
  <c r="M1687" i="10" s="1"/>
  <c r="J1722" i="10"/>
  <c r="L1722" i="10"/>
  <c r="M1722" i="10" s="1"/>
  <c r="J1754" i="10"/>
  <c r="L1754" i="10"/>
  <c r="M1754" i="10" s="1"/>
  <c r="J1867" i="10"/>
  <c r="L1867" i="10"/>
  <c r="M1867" i="10" s="1"/>
  <c r="J1890" i="10"/>
  <c r="L1890" i="10"/>
  <c r="M1890" i="10" s="1"/>
  <c r="J1927" i="10"/>
  <c r="L1927" i="10"/>
  <c r="M1927" i="10" s="1"/>
  <c r="J1954" i="10"/>
  <c r="L1954" i="10"/>
  <c r="M1954" i="10" s="1"/>
  <c r="J1986" i="10"/>
  <c r="L1986" i="10"/>
  <c r="M1986" i="10" s="1"/>
  <c r="J201" i="10"/>
  <c r="L201" i="10"/>
  <c r="M201" i="10" s="1"/>
  <c r="J363" i="10"/>
  <c r="L363" i="10"/>
  <c r="M363" i="10" s="1"/>
  <c r="J561" i="10"/>
  <c r="L561" i="10"/>
  <c r="M561" i="10" s="1"/>
  <c r="J633" i="10"/>
  <c r="L633" i="10"/>
  <c r="M633" i="10" s="1"/>
  <c r="J711" i="10"/>
  <c r="L711" i="10"/>
  <c r="M711" i="10" s="1"/>
  <c r="J969" i="10"/>
  <c r="L969" i="10"/>
  <c r="M969" i="10" s="1"/>
  <c r="J1937" i="10"/>
  <c r="L1937" i="10"/>
  <c r="M1937" i="10" s="1"/>
  <c r="J1972" i="10"/>
  <c r="L1972" i="10"/>
  <c r="M1972" i="10" s="1"/>
  <c r="J87" i="10"/>
  <c r="L87" i="10"/>
  <c r="M87" i="10" s="1"/>
  <c r="J261" i="10"/>
  <c r="L261" i="10"/>
  <c r="M261" i="10" s="1"/>
  <c r="J459" i="10"/>
  <c r="L459" i="10"/>
  <c r="M459" i="10" s="1"/>
  <c r="J1011" i="10"/>
  <c r="L1011" i="10"/>
  <c r="M1011" i="10" s="1"/>
  <c r="J1456" i="10"/>
  <c r="L1456" i="10"/>
  <c r="M1456" i="10" s="1"/>
  <c r="J1660" i="10"/>
  <c r="L1660" i="10"/>
  <c r="M1660" i="10" s="1"/>
  <c r="J1708" i="10"/>
  <c r="L1708" i="10"/>
  <c r="M1708" i="10" s="1"/>
  <c r="J1720" i="10"/>
  <c r="L1720" i="10"/>
  <c r="M1720" i="10" s="1"/>
  <c r="J1861" i="10"/>
  <c r="L1861" i="10"/>
  <c r="M1861" i="10" s="1"/>
  <c r="J1919" i="10"/>
  <c r="L1919" i="10"/>
  <c r="M1919" i="10" s="1"/>
  <c r="J1998" i="10"/>
  <c r="L1998" i="10"/>
  <c r="M1998" i="10" s="1"/>
  <c r="J788" i="10"/>
  <c r="L788" i="10"/>
  <c r="M788" i="10" s="1"/>
  <c r="J45" i="10"/>
  <c r="L45" i="10"/>
  <c r="M45" i="10" s="1"/>
  <c r="J159" i="10"/>
  <c r="L159" i="10"/>
  <c r="M159" i="10" s="1"/>
  <c r="J285" i="10"/>
  <c r="L285" i="10"/>
  <c r="M285" i="10" s="1"/>
  <c r="J555" i="10"/>
  <c r="L555" i="10"/>
  <c r="M555" i="10" s="1"/>
  <c r="J879" i="10"/>
  <c r="L879" i="10"/>
  <c r="M879" i="10" s="1"/>
  <c r="J1113" i="10"/>
  <c r="L1113" i="10"/>
  <c r="M1113" i="10" s="1"/>
  <c r="J429" i="10"/>
  <c r="L429" i="10"/>
  <c r="M429" i="10" s="1"/>
  <c r="J813" i="10"/>
  <c r="L813" i="10"/>
  <c r="M813" i="10" s="1"/>
  <c r="J1486" i="10"/>
  <c r="L1486" i="10"/>
  <c r="M1486" i="10" s="1"/>
  <c r="J1625" i="10"/>
  <c r="L1625" i="10"/>
  <c r="M1625" i="10" s="1"/>
  <c r="J27" i="10"/>
  <c r="L27" i="10"/>
  <c r="M27" i="10" s="1"/>
  <c r="J153" i="10"/>
  <c r="L153" i="10"/>
  <c r="M153" i="10" s="1"/>
  <c r="J279" i="10"/>
  <c r="L279" i="10"/>
  <c r="M279" i="10" s="1"/>
  <c r="J513" i="10"/>
  <c r="L513" i="10"/>
  <c r="M513" i="10" s="1"/>
  <c r="J699" i="10"/>
  <c r="L699" i="10"/>
  <c r="M699" i="10" s="1"/>
  <c r="J849" i="10"/>
  <c r="L849" i="10"/>
  <c r="M849" i="10" s="1"/>
  <c r="J921" i="10"/>
  <c r="L921" i="10"/>
  <c r="M921" i="10" s="1"/>
  <c r="J1083" i="10"/>
  <c r="L1083" i="10"/>
  <c r="M1083" i="10" s="1"/>
  <c r="J1137" i="10"/>
  <c r="L1137" i="10"/>
  <c r="M1137" i="10" s="1"/>
  <c r="J1305" i="10"/>
  <c r="L1305" i="10"/>
  <c r="M1305" i="10" s="1"/>
  <c r="J1735" i="10"/>
  <c r="L1735" i="10"/>
  <c r="M1735" i="10" s="1"/>
  <c r="J1832" i="10"/>
  <c r="L1832" i="10"/>
  <c r="M1832" i="10" s="1"/>
  <c r="J1872" i="10"/>
  <c r="L1872" i="10"/>
  <c r="M1872" i="10" s="1"/>
  <c r="J1906" i="10"/>
  <c r="L1906" i="10"/>
  <c r="M1906" i="10" s="1"/>
  <c r="J1938" i="10"/>
  <c r="L1938" i="10"/>
  <c r="M1938" i="10" s="1"/>
  <c r="J1961" i="10"/>
  <c r="L1961" i="10"/>
  <c r="M1961" i="10" s="1"/>
  <c r="J1991" i="10"/>
  <c r="L1991" i="10"/>
  <c r="M1991" i="10" s="1"/>
  <c r="J213" i="10"/>
  <c r="L213" i="10"/>
  <c r="M213" i="10" s="1"/>
  <c r="J375" i="10"/>
  <c r="L375" i="10"/>
  <c r="M375" i="10" s="1"/>
  <c r="J573" i="10"/>
  <c r="L573" i="10"/>
  <c r="M573" i="10" s="1"/>
  <c r="J723" i="10"/>
  <c r="L723" i="10"/>
  <c r="M723" i="10" s="1"/>
  <c r="J981" i="10"/>
  <c r="L981" i="10"/>
  <c r="M981" i="10" s="1"/>
  <c r="J1438" i="10"/>
  <c r="L1438" i="10"/>
  <c r="M1438" i="10" s="1"/>
  <c r="J1556" i="10"/>
  <c r="L1556" i="10"/>
  <c r="M1556" i="10" s="1"/>
  <c r="J1637" i="10"/>
  <c r="L1637" i="10"/>
  <c r="M1637" i="10" s="1"/>
  <c r="J1699" i="10"/>
  <c r="L1699" i="10"/>
  <c r="M1699" i="10" s="1"/>
  <c r="J1739" i="10"/>
  <c r="L1739" i="10"/>
  <c r="M1739" i="10" s="1"/>
  <c r="J99" i="10"/>
  <c r="L99" i="10"/>
  <c r="M99" i="10" s="1"/>
  <c r="J471" i="10"/>
  <c r="L471" i="10"/>
  <c r="M471" i="10" s="1"/>
  <c r="J795" i="10"/>
  <c r="L795" i="10"/>
  <c r="M795" i="10" s="1"/>
  <c r="J1023" i="10"/>
  <c r="L1023" i="10"/>
  <c r="M1023" i="10" s="1"/>
  <c r="J1167" i="10"/>
  <c r="L1167" i="10"/>
  <c r="M1167" i="10" s="1"/>
  <c r="J1227" i="10"/>
  <c r="L1227" i="10"/>
  <c r="M1227" i="10" s="1"/>
  <c r="J1795" i="10"/>
  <c r="L1795" i="10"/>
  <c r="M1795" i="10" s="1"/>
  <c r="J1812" i="10"/>
  <c r="L1812" i="10"/>
  <c r="M1812" i="10" s="1"/>
  <c r="J1864" i="10"/>
  <c r="L1864" i="10"/>
  <c r="M1864" i="10" s="1"/>
  <c r="J1920" i="10"/>
  <c r="L1920" i="10"/>
  <c r="M1920" i="10" s="1"/>
  <c r="J1949" i="10"/>
  <c r="L1949" i="10"/>
  <c r="M1949" i="10" s="1"/>
  <c r="J1999" i="10"/>
  <c r="L1999" i="10"/>
  <c r="M1999" i="10" s="1"/>
  <c r="J171" i="10"/>
  <c r="L171" i="10"/>
  <c r="M171" i="10" s="1"/>
  <c r="J297" i="10"/>
  <c r="L297" i="10"/>
  <c r="M297" i="10" s="1"/>
  <c r="J669" i="10"/>
  <c r="L669" i="10"/>
  <c r="M669" i="10" s="1"/>
  <c r="J891" i="10"/>
  <c r="L891" i="10"/>
  <c r="M891" i="10" s="1"/>
  <c r="J1185" i="10"/>
  <c r="L1185" i="10"/>
  <c r="M1185" i="10" s="1"/>
  <c r="J1245" i="10"/>
  <c r="L1245" i="10"/>
  <c r="M1245" i="10" s="1"/>
  <c r="J1317" i="10"/>
  <c r="L1317" i="10"/>
  <c r="M1317" i="10" s="1"/>
  <c r="J1824" i="10"/>
  <c r="L1824" i="10"/>
  <c r="M1824" i="10" s="1"/>
  <c r="J741" i="10"/>
  <c r="L741" i="10"/>
  <c r="M741" i="10" s="1"/>
  <c r="J1602" i="10"/>
  <c r="L1602" i="10"/>
  <c r="M1602" i="10" s="1"/>
  <c r="J1561" i="10"/>
  <c r="L1561" i="10"/>
  <c r="M1561" i="10" s="1"/>
  <c r="L1680" i="10"/>
  <c r="M1680" i="10" s="1"/>
  <c r="J1680" i="10"/>
  <c r="J1661" i="10"/>
  <c r="L1661" i="10"/>
  <c r="M1661" i="10" s="1"/>
  <c r="J1656" i="10"/>
  <c r="L1656" i="10"/>
  <c r="M1656" i="10" s="1"/>
  <c r="J1761" i="10"/>
  <c r="L1761" i="10"/>
  <c r="M1761" i="10" s="1"/>
  <c r="J1776" i="10"/>
  <c r="L1776" i="10"/>
  <c r="M1776" i="10" s="1"/>
  <c r="J1759" i="10"/>
  <c r="L1759" i="10"/>
  <c r="M1759" i="10" s="1"/>
  <c r="J1845" i="10"/>
  <c r="L1845" i="10"/>
  <c r="M1845" i="10" s="1"/>
  <c r="J1975" i="10"/>
  <c r="L1975" i="10"/>
  <c r="M1975" i="10" s="1"/>
  <c r="J1905" i="10"/>
  <c r="L1905" i="10"/>
  <c r="M1905" i="10" s="1"/>
  <c r="J1815" i="10"/>
  <c r="L1815" i="10"/>
  <c r="M1815" i="10" s="1"/>
  <c r="J1912" i="10"/>
  <c r="L1912" i="10"/>
  <c r="M1912" i="10" s="1"/>
  <c r="J1842" i="10"/>
  <c r="L1842" i="10"/>
  <c r="M1842" i="10" s="1"/>
  <c r="J1984" i="10"/>
  <c r="L1984" i="10"/>
  <c r="M1984" i="10" s="1"/>
  <c r="J1590" i="10"/>
  <c r="L1590" i="10"/>
  <c r="M1590" i="10" s="1"/>
  <c r="J1629" i="10"/>
  <c r="L1629" i="10"/>
  <c r="M1629" i="10" s="1"/>
  <c r="J1505" i="10"/>
  <c r="L1505" i="10"/>
  <c r="M1505" i="10" s="1"/>
  <c r="J1521" i="10"/>
  <c r="L1521" i="10"/>
  <c r="M1521" i="10" s="1"/>
  <c r="J1559" i="10"/>
  <c r="L1559" i="10"/>
  <c r="M1559" i="10" s="1"/>
  <c r="J1607" i="10"/>
  <c r="L1607" i="10"/>
  <c r="M1607" i="10" s="1"/>
  <c r="J1645" i="10"/>
  <c r="L1645" i="10"/>
  <c r="M1645" i="10" s="1"/>
  <c r="J1595" i="10"/>
  <c r="L1595" i="10"/>
  <c r="M1595" i="10" s="1"/>
  <c r="J1619" i="10"/>
  <c r="L1619" i="10"/>
  <c r="M1619" i="10" s="1"/>
  <c r="J1690" i="10"/>
  <c r="L1690" i="10"/>
  <c r="M1690" i="10" s="1"/>
  <c r="J1588" i="10"/>
  <c r="L1588" i="10"/>
  <c r="M1588" i="10" s="1"/>
  <c r="J1519" i="10"/>
  <c r="L1519" i="10"/>
  <c r="M1519" i="10" s="1"/>
  <c r="J1606" i="10"/>
  <c r="L1606" i="10"/>
  <c r="M1606" i="10" s="1"/>
  <c r="J1655" i="10"/>
  <c r="L1655" i="10"/>
  <c r="M1655" i="10" s="1"/>
  <c r="J1719" i="10"/>
  <c r="L1719" i="10"/>
  <c r="M1719" i="10" s="1"/>
  <c r="J1702" i="10"/>
  <c r="L1702" i="10"/>
  <c r="M1702" i="10" s="1"/>
  <c r="J1749" i="10"/>
  <c r="L1749" i="10"/>
  <c r="M1749" i="10" s="1"/>
  <c r="J1772" i="10"/>
  <c r="L1772" i="10"/>
  <c r="M1772" i="10" s="1"/>
  <c r="J1806" i="10"/>
  <c r="L1806" i="10"/>
  <c r="M1806" i="10" s="1"/>
  <c r="J1837" i="10"/>
  <c r="L1837" i="10"/>
  <c r="M1837" i="10" s="1"/>
  <c r="J1898" i="10"/>
  <c r="L1898" i="10"/>
  <c r="M1898" i="10" s="1"/>
  <c r="J1968" i="10"/>
  <c r="L1968" i="10"/>
  <c r="M1968" i="10" s="1"/>
  <c r="J1421" i="10"/>
  <c r="L1421" i="10"/>
  <c r="M1421" i="10" s="1"/>
  <c r="J1439" i="10"/>
  <c r="L1439" i="10"/>
  <c r="M1439" i="10" s="1"/>
  <c r="J1457" i="10"/>
  <c r="L1457" i="10"/>
  <c r="M1457" i="10" s="1"/>
  <c r="J1475" i="10"/>
  <c r="L1475" i="10"/>
  <c r="M1475" i="10" s="1"/>
  <c r="J1493" i="10"/>
  <c r="L1493" i="10"/>
  <c r="M1493" i="10" s="1"/>
  <c r="J441" i="10"/>
  <c r="L441" i="10"/>
  <c r="M441" i="10" s="1"/>
  <c r="J825" i="10"/>
  <c r="L825" i="10"/>
  <c r="M825" i="10" s="1"/>
  <c r="J1041" i="10"/>
  <c r="L1041" i="10"/>
  <c r="M1041" i="10" s="1"/>
  <c r="J1233" i="10"/>
  <c r="L1233" i="10"/>
  <c r="M1233" i="10" s="1"/>
  <c r="J1554" i="10"/>
  <c r="L1554" i="10"/>
  <c r="M1554" i="10" s="1"/>
  <c r="J1823" i="10"/>
  <c r="L1823" i="10"/>
  <c r="M1823" i="10" s="1"/>
  <c r="J1434" i="10"/>
  <c r="L1434" i="10"/>
  <c r="M1434" i="10" s="1"/>
  <c r="J1458" i="10"/>
  <c r="L1458" i="10"/>
  <c r="M1458" i="10" s="1"/>
  <c r="J1482" i="10"/>
  <c r="L1482" i="10"/>
  <c r="M1482" i="10" s="1"/>
  <c r="J1500" i="10"/>
  <c r="L1500" i="10"/>
  <c r="M1500" i="10" s="1"/>
  <c r="J39" i="10"/>
  <c r="L39" i="10"/>
  <c r="M39" i="10" s="1"/>
  <c r="J165" i="10"/>
  <c r="L165" i="10"/>
  <c r="M165" i="10" s="1"/>
  <c r="J291" i="10"/>
  <c r="L291" i="10"/>
  <c r="M291" i="10" s="1"/>
  <c r="J525" i="10"/>
  <c r="L525" i="10"/>
  <c r="M525" i="10" s="1"/>
  <c r="J861" i="10"/>
  <c r="L861" i="10"/>
  <c r="M861" i="10" s="1"/>
  <c r="J1005" i="10"/>
  <c r="L1005" i="10"/>
  <c r="M1005" i="10" s="1"/>
  <c r="J1329" i="10"/>
  <c r="L1329" i="10"/>
  <c r="M1329" i="10" s="1"/>
  <c r="J1462" i="10"/>
  <c r="L1462" i="10"/>
  <c r="M1462" i="10" s="1"/>
  <c r="J1638" i="10"/>
  <c r="L1638" i="10"/>
  <c r="M1638" i="10" s="1"/>
  <c r="J1709" i="10"/>
  <c r="L1709" i="10"/>
  <c r="M1709" i="10" s="1"/>
  <c r="J1853" i="10"/>
  <c r="L1853" i="10"/>
  <c r="M1853" i="10" s="1"/>
  <c r="J1876" i="10"/>
  <c r="L1876" i="10"/>
  <c r="M1876" i="10" s="1"/>
  <c r="J1907" i="10"/>
  <c r="L1907" i="10"/>
  <c r="M1907" i="10" s="1"/>
  <c r="J1939" i="10"/>
  <c r="L1939" i="10"/>
  <c r="M1939" i="10" s="1"/>
  <c r="J1965" i="10"/>
  <c r="L1965" i="10"/>
  <c r="M1965" i="10" s="1"/>
  <c r="J63" i="10"/>
  <c r="L63" i="10"/>
  <c r="M63" i="10" s="1"/>
  <c r="J225" i="10"/>
  <c r="L225" i="10"/>
  <c r="M225" i="10" s="1"/>
  <c r="J387" i="10"/>
  <c r="L387" i="10"/>
  <c r="M387" i="10" s="1"/>
  <c r="J585" i="10"/>
  <c r="L585" i="10"/>
  <c r="M585" i="10" s="1"/>
  <c r="J735" i="10"/>
  <c r="L735" i="10"/>
  <c r="M735" i="10" s="1"/>
  <c r="J993" i="10"/>
  <c r="L993" i="10"/>
  <c r="M993" i="10" s="1"/>
  <c r="J1293" i="10"/>
  <c r="L1293" i="10"/>
  <c r="M1293" i="10" s="1"/>
  <c r="J1523" i="10"/>
  <c r="L1523" i="10"/>
  <c r="M1523" i="10" s="1"/>
  <c r="J1741" i="10"/>
  <c r="L1741" i="10"/>
  <c r="M1741" i="10" s="1"/>
  <c r="J1902" i="10"/>
  <c r="L1902" i="10"/>
  <c r="M1902" i="10" s="1"/>
  <c r="J1953" i="10"/>
  <c r="L1953" i="10"/>
  <c r="M1953" i="10" s="1"/>
  <c r="J111" i="10"/>
  <c r="L111" i="10"/>
  <c r="M111" i="10" s="1"/>
  <c r="J483" i="10"/>
  <c r="L483" i="10"/>
  <c r="M483" i="10" s="1"/>
  <c r="J807" i="10"/>
  <c r="L807" i="10"/>
  <c r="M807" i="10" s="1"/>
  <c r="J1035" i="10"/>
  <c r="L1035" i="10"/>
  <c r="M1035" i="10" s="1"/>
  <c r="J1125" i="10"/>
  <c r="L1125" i="10"/>
  <c r="M1125" i="10" s="1"/>
  <c r="J1365" i="10"/>
  <c r="L1365" i="10"/>
  <c r="M1365" i="10" s="1"/>
  <c r="J1762" i="10"/>
  <c r="L1762" i="10"/>
  <c r="M1762" i="10" s="1"/>
  <c r="J1799" i="10"/>
  <c r="L1799" i="10"/>
  <c r="M1799" i="10" s="1"/>
  <c r="J1677" i="10"/>
  <c r="L1677" i="10"/>
  <c r="M1677" i="10" s="1"/>
  <c r="J1818" i="10"/>
  <c r="L1818" i="10"/>
  <c r="M1818" i="10" s="1"/>
  <c r="J1874" i="10"/>
  <c r="L1874" i="10"/>
  <c r="M1874" i="10" s="1"/>
  <c r="J1921" i="10"/>
  <c r="L1921" i="10"/>
  <c r="M1921" i="10" s="1"/>
  <c r="J1956" i="10"/>
  <c r="L1956" i="10"/>
  <c r="M1956" i="10" s="1"/>
  <c r="J2000" i="10"/>
  <c r="L2000" i="10"/>
  <c r="M2000" i="10" s="1"/>
  <c r="J920" i="10"/>
  <c r="L920" i="10"/>
  <c r="M920" i="10" s="1"/>
  <c r="J183" i="10"/>
  <c r="L183" i="10"/>
  <c r="M183" i="10" s="1"/>
  <c r="J309" i="10"/>
  <c r="L309" i="10"/>
  <c r="M309" i="10" s="1"/>
  <c r="J507" i="10"/>
  <c r="L507" i="10"/>
  <c r="M507" i="10" s="1"/>
  <c r="J681" i="10"/>
  <c r="L681" i="10"/>
  <c r="M681" i="10" s="1"/>
  <c r="J903" i="10"/>
  <c r="L903" i="10"/>
  <c r="M903" i="10" s="1"/>
  <c r="J1257" i="10"/>
  <c r="L1257" i="10"/>
  <c r="M1257" i="10" s="1"/>
  <c r="J1341" i="10"/>
  <c r="L1341" i="10"/>
  <c r="M1341" i="10" s="1"/>
  <c r="M1796" i="10"/>
  <c r="M1042" i="10"/>
  <c r="K31" i="10" l="1"/>
  <c r="K1956" i="10"/>
  <c r="K1741" i="10"/>
  <c r="K1005" i="10"/>
  <c r="K441" i="10"/>
  <c r="K1606" i="10"/>
  <c r="K1912" i="10"/>
  <c r="K1317" i="10"/>
  <c r="K99" i="10"/>
  <c r="K1872" i="10"/>
  <c r="K813" i="10"/>
  <c r="K1456" i="10"/>
  <c r="K1927" i="10"/>
  <c r="K147" i="10"/>
  <c r="K1913" i="10"/>
  <c r="K1976" i="10"/>
  <c r="K435" i="10"/>
  <c r="K1718" i="10"/>
  <c r="K1422" i="10"/>
  <c r="K1711" i="10"/>
  <c r="K321" i="10"/>
  <c r="K1721" i="10"/>
  <c r="K1353" i="10"/>
  <c r="K453" i="10"/>
  <c r="K1591" i="10"/>
  <c r="K1522" i="10"/>
  <c r="K1284" i="10"/>
  <c r="K880" i="10"/>
  <c r="K1563" i="10"/>
  <c r="K328" i="10"/>
  <c r="K293" i="10"/>
  <c r="K1368" i="10"/>
  <c r="K1118" i="10"/>
  <c r="K506" i="10"/>
  <c r="K1247" i="10"/>
  <c r="K1624" i="10"/>
  <c r="K437" i="10"/>
  <c r="K1066" i="10"/>
  <c r="K478" i="10"/>
  <c r="K136" i="10"/>
  <c r="K5" i="10"/>
  <c r="K1219" i="10"/>
  <c r="K1172" i="10"/>
  <c r="K650" i="10"/>
  <c r="K320" i="10"/>
  <c r="K119" i="10"/>
  <c r="K1636" i="10"/>
  <c r="K515" i="10"/>
  <c r="K377" i="10"/>
  <c r="K982" i="10"/>
  <c r="K1133" i="10"/>
  <c r="K26" i="10"/>
  <c r="K1818" i="10"/>
  <c r="K387" i="10"/>
  <c r="K291" i="10"/>
  <c r="K1457" i="10"/>
  <c r="K1690" i="10"/>
  <c r="K1975" i="10"/>
  <c r="K171" i="10"/>
  <c r="K1637" i="10"/>
  <c r="K1305" i="10"/>
  <c r="K879" i="10"/>
  <c r="K1937" i="10"/>
  <c r="K1470" i="10"/>
  <c r="K249" i="10"/>
  <c r="K927" i="10"/>
  <c r="K1095" i="10"/>
  <c r="K885" i="10"/>
  <c r="K1463" i="10"/>
  <c r="K1432" i="10"/>
  <c r="K1474" i="10"/>
  <c r="K399" i="10"/>
  <c r="K51" i="10"/>
  <c r="K1798" i="10"/>
  <c r="K1785" i="10"/>
  <c r="K599" i="10"/>
  <c r="K1222" i="10"/>
  <c r="K117" i="10"/>
  <c r="K448" i="10"/>
  <c r="K743" i="10"/>
  <c r="K185" i="10"/>
  <c r="K956" i="10"/>
  <c r="K290" i="10"/>
  <c r="K1570" i="10"/>
  <c r="K1742" i="10"/>
  <c r="K1121" i="10"/>
  <c r="K1288" i="10"/>
  <c r="K718" i="10"/>
  <c r="K22" i="10"/>
  <c r="K311" i="10"/>
  <c r="K758" i="10"/>
  <c r="K1947" i="10"/>
  <c r="K1061" i="10"/>
  <c r="K1859" i="10"/>
  <c r="K1341" i="10"/>
  <c r="K1762" i="10"/>
  <c r="K993" i="10"/>
  <c r="K1638" i="10"/>
  <c r="K1434" i="10"/>
  <c r="K1968" i="10"/>
  <c r="K1645" i="10"/>
  <c r="K1776" i="10"/>
  <c r="K891" i="10"/>
  <c r="K1023" i="10"/>
  <c r="K375" i="10"/>
  <c r="K513" i="10"/>
  <c r="K159" i="10"/>
  <c r="K261" i="10"/>
  <c r="K1754" i="10"/>
  <c r="K1724" i="10"/>
  <c r="K1810" i="10"/>
  <c r="K1553" i="10"/>
  <c r="K1492" i="10"/>
  <c r="K1826" i="10"/>
  <c r="K609" i="10"/>
  <c r="K315" i="10"/>
  <c r="K105" i="10"/>
  <c r="K1632" i="10"/>
  <c r="K1933" i="10"/>
  <c r="K423" i="10"/>
  <c r="K1996" i="10"/>
  <c r="K1654" i="10"/>
  <c r="K1525" i="10"/>
  <c r="K1769" i="10"/>
  <c r="K1397" i="10"/>
  <c r="K1330" i="10"/>
  <c r="K1017" i="10"/>
  <c r="K1923" i="10"/>
  <c r="K682" i="10"/>
  <c r="K106" i="10"/>
  <c r="K863" i="10"/>
  <c r="K509" i="10"/>
  <c r="K842" i="10"/>
  <c r="K398" i="10"/>
  <c r="K719" i="10"/>
  <c r="K1512" i="10"/>
  <c r="K1558" i="10"/>
  <c r="K1413" i="10"/>
  <c r="K1180" i="10"/>
  <c r="K832" i="10"/>
  <c r="K364" i="10"/>
  <c r="K923" i="10"/>
  <c r="K683" i="10"/>
  <c r="K1009" i="10"/>
  <c r="K986" i="10"/>
  <c r="K536" i="10"/>
  <c r="K212" i="10"/>
  <c r="K815" i="10"/>
  <c r="K1716" i="10"/>
  <c r="K1403" i="10"/>
  <c r="K95" i="10"/>
  <c r="K1318" i="10"/>
  <c r="K1096" i="10"/>
  <c r="K748" i="10"/>
  <c r="K514" i="10"/>
  <c r="K280" i="10"/>
  <c r="K58" i="10"/>
  <c r="K125" i="10"/>
  <c r="K503" i="10"/>
  <c r="K1281" i="10"/>
  <c r="K1382" i="10"/>
  <c r="K1238" i="10"/>
  <c r="K1016" i="10"/>
  <c r="K794" i="10"/>
  <c r="K680" i="10"/>
  <c r="K1367" i="10"/>
  <c r="K421" i="10"/>
  <c r="K183" i="10"/>
  <c r="K111" i="10"/>
  <c r="K1876" i="10"/>
  <c r="K1233" i="10"/>
  <c r="K1702" i="10"/>
  <c r="K1590" i="10"/>
  <c r="K1602" i="10"/>
  <c r="K1795" i="10"/>
  <c r="K1961" i="10"/>
  <c r="K27" i="10"/>
  <c r="K1720" i="10"/>
  <c r="K201" i="10"/>
  <c r="K687" i="10"/>
  <c r="K543" i="10"/>
  <c r="K783" i="10"/>
  <c r="K333" i="10"/>
  <c r="K1197" i="10"/>
  <c r="K1952" i="10"/>
  <c r="K1488" i="10"/>
  <c r="K1930" i="10"/>
  <c r="K915" i="10"/>
  <c r="K819" i="10"/>
  <c r="K1908" i="10"/>
  <c r="K1053" i="10"/>
  <c r="K1508" i="10"/>
  <c r="K1603" i="10"/>
  <c r="K167" i="10"/>
  <c r="K1114" i="10"/>
  <c r="K1568" i="10"/>
  <c r="K802" i="10"/>
  <c r="K214" i="10"/>
  <c r="K1235" i="10"/>
  <c r="K1159" i="10"/>
  <c r="K728" i="10"/>
  <c r="K182" i="10"/>
  <c r="K1323" i="10"/>
  <c r="K1614" i="10"/>
  <c r="K1363" i="10"/>
  <c r="K1203" i="10"/>
  <c r="K598" i="10"/>
  <c r="K917" i="10"/>
  <c r="K104" i="10"/>
  <c r="K11" i="10"/>
  <c r="K681" i="10"/>
  <c r="K1035" i="10"/>
  <c r="K1965" i="10"/>
  <c r="K1500" i="10"/>
  <c r="K1806" i="10"/>
  <c r="K1521" i="10"/>
  <c r="K1661" i="10"/>
  <c r="K1920" i="10"/>
  <c r="K981" i="10"/>
  <c r="K921" i="10"/>
  <c r="K1998" i="10"/>
  <c r="K633" i="10"/>
  <c r="K141" i="10"/>
  <c r="K1662" i="10"/>
  <c r="K1517" i="10"/>
  <c r="K1828" i="10"/>
  <c r="K1555" i="10"/>
  <c r="K1960" i="10"/>
  <c r="K1533" i="10"/>
  <c r="K1807" i="10"/>
  <c r="K933" i="10"/>
  <c r="K537" i="10"/>
  <c r="K1973" i="10"/>
  <c r="K1571" i="10"/>
  <c r="K1261" i="10"/>
  <c r="K791" i="10"/>
  <c r="K1000" i="10"/>
  <c r="K1547" i="10"/>
  <c r="K568" i="10"/>
  <c r="K1343" i="10"/>
  <c r="K587" i="10"/>
  <c r="K1322" i="10"/>
  <c r="K620" i="10"/>
  <c r="K74" i="10"/>
  <c r="K1560" i="10"/>
  <c r="K1692" i="10"/>
  <c r="K1103" i="10"/>
  <c r="K1402" i="10"/>
  <c r="K952" i="10"/>
  <c r="K244" i="10"/>
  <c r="K353" i="10"/>
  <c r="K101" i="10"/>
  <c r="K1352" i="10"/>
  <c r="K872" i="10"/>
  <c r="K428" i="10"/>
  <c r="K1385" i="10"/>
  <c r="K1688" i="10"/>
  <c r="K1374" i="10"/>
  <c r="K1361" i="10"/>
  <c r="K1263" i="10"/>
  <c r="K1210" i="10"/>
  <c r="K868" i="10"/>
  <c r="K628" i="10"/>
  <c r="K394" i="10"/>
  <c r="K166" i="10"/>
  <c r="K431" i="10"/>
  <c r="K755" i="10"/>
  <c r="K1059" i="10"/>
  <c r="K902" i="10"/>
  <c r="K496" i="10"/>
  <c r="K252" i="10"/>
  <c r="K1589" i="10"/>
  <c r="K1405" i="10"/>
  <c r="K42" i="10"/>
  <c r="K1666" i="10"/>
  <c r="K919" i="10"/>
  <c r="K912" i="10"/>
  <c r="K132" i="10"/>
  <c r="K1117" i="10"/>
  <c r="K566" i="10"/>
  <c r="K350" i="10"/>
  <c r="K134" i="10"/>
  <c r="K1079" i="10"/>
  <c r="K1019" i="10"/>
  <c r="K1675" i="10"/>
  <c r="K1896" i="10"/>
  <c r="K1793" i="10"/>
  <c r="K1611" i="10"/>
  <c r="K1338" i="10"/>
  <c r="K1337" i="10"/>
  <c r="K497" i="10"/>
  <c r="K89" i="10"/>
  <c r="K1254" i="10"/>
  <c r="K343" i="10"/>
  <c r="K1831" i="10"/>
  <c r="K943" i="10"/>
  <c r="K1074" i="10"/>
  <c r="K643" i="10"/>
  <c r="K903" i="10"/>
  <c r="K309" i="10"/>
  <c r="K2000" i="10"/>
  <c r="K1874" i="10"/>
  <c r="K1799" i="10"/>
  <c r="K1125" i="10"/>
  <c r="K1902" i="10"/>
  <c r="K450" i="10"/>
  <c r="K1871" i="10"/>
  <c r="K1600" i="10"/>
  <c r="K1663" i="10"/>
  <c r="K1693" i="10"/>
  <c r="K1531" i="10"/>
  <c r="K1057" i="10"/>
  <c r="K1537" i="10"/>
  <c r="K1694" i="10"/>
  <c r="K1124" i="10"/>
  <c r="K486" i="10"/>
  <c r="K277" i="10"/>
  <c r="K804" i="10"/>
  <c r="K583" i="10"/>
  <c r="K705" i="10"/>
  <c r="K168" i="10"/>
  <c r="K805" i="10"/>
  <c r="K988" i="10"/>
  <c r="K1184" i="10"/>
  <c r="K1088" i="10"/>
  <c r="K414" i="10"/>
  <c r="K510" i="10"/>
  <c r="K763" i="10"/>
  <c r="K271" i="10"/>
  <c r="K1093" i="10"/>
  <c r="K228" i="10"/>
  <c r="K405" i="10"/>
  <c r="K840" i="10"/>
  <c r="K108" i="10"/>
  <c r="K114" i="10"/>
  <c r="K951" i="10"/>
  <c r="K793" i="10"/>
  <c r="K1777" i="10"/>
  <c r="K1178" i="10"/>
  <c r="K216" i="10"/>
  <c r="K552" i="10"/>
  <c r="K481" i="10"/>
  <c r="K265" i="10"/>
  <c r="K1501" i="10"/>
  <c r="K1574" i="10"/>
  <c r="K1520" i="10"/>
  <c r="K1787" i="10"/>
  <c r="K1250" i="10"/>
  <c r="K1825" i="10"/>
  <c r="K1915" i="10"/>
  <c r="K1808" i="10"/>
  <c r="K1880" i="10"/>
  <c r="K1982" i="10"/>
  <c r="K1983" i="10"/>
  <c r="K1840" i="10"/>
  <c r="K1918" i="10"/>
  <c r="K1835" i="10"/>
  <c r="K1889" i="10"/>
  <c r="K1985" i="10"/>
  <c r="K1992" i="10"/>
  <c r="K1750" i="10"/>
  <c r="K975" i="10"/>
  <c r="K973" i="10"/>
  <c r="K858" i="10"/>
  <c r="K637" i="10"/>
  <c r="K871" i="10"/>
  <c r="K427" i="10"/>
  <c r="K1710" i="10"/>
  <c r="K1671" i="10"/>
  <c r="K468" i="10"/>
  <c r="K1562" i="10"/>
  <c r="K1781" i="10"/>
  <c r="K883" i="10"/>
  <c r="K1063" i="10"/>
  <c r="K402" i="10"/>
  <c r="K547" i="10"/>
  <c r="K1131" i="10"/>
  <c r="K589" i="10"/>
  <c r="K162" i="10"/>
  <c r="K1683" i="10"/>
  <c r="K1477" i="10"/>
  <c r="K996" i="10"/>
  <c r="K499" i="10"/>
  <c r="K1285" i="10"/>
  <c r="K96" i="10"/>
  <c r="K558" i="10"/>
  <c r="K282" i="10"/>
  <c r="K991" i="10"/>
  <c r="K1122" i="10"/>
  <c r="K1550" i="10"/>
  <c r="K1468" i="10"/>
  <c r="K1730" i="10"/>
  <c r="K1092" i="10"/>
  <c r="K1669" i="10"/>
  <c r="K1651" i="10"/>
  <c r="K1158" i="10"/>
  <c r="K1442" i="10"/>
  <c r="K1736" i="10"/>
  <c r="K1141" i="10"/>
  <c r="K1176" i="10"/>
  <c r="K967" i="10"/>
  <c r="K174" i="10"/>
  <c r="K1052" i="10"/>
  <c r="K354" i="10"/>
  <c r="K37" i="10"/>
  <c r="K1564" i="10"/>
  <c r="K900" i="10"/>
  <c r="K661" i="10"/>
  <c r="K457" i="10"/>
  <c r="K901" i="10"/>
  <c r="K1003" i="10"/>
  <c r="K1212" i="10"/>
  <c r="K487" i="10"/>
  <c r="K642" i="10"/>
  <c r="K1224" i="10"/>
  <c r="K193" i="10"/>
  <c r="K1513" i="10"/>
  <c r="K1672" i="10"/>
  <c r="K1045" i="10"/>
  <c r="K504" i="10"/>
  <c r="K1267" i="10"/>
  <c r="K300" i="10"/>
  <c r="K1768" i="10"/>
  <c r="K1575" i="10"/>
  <c r="K1767" i="10"/>
  <c r="K1535" i="10"/>
  <c r="K591" i="10"/>
  <c r="K1897" i="10"/>
  <c r="K1838" i="10"/>
  <c r="K1940" i="10"/>
  <c r="K1839" i="10"/>
  <c r="K1822" i="10"/>
  <c r="K1900" i="10"/>
  <c r="K1841" i="10"/>
  <c r="K1925" i="10"/>
  <c r="K1950" i="10"/>
  <c r="K1830" i="10"/>
  <c r="K1461" i="10"/>
  <c r="K1075" i="10"/>
  <c r="K1146" i="10"/>
  <c r="K393" i="10"/>
  <c r="K379" i="10"/>
  <c r="K307" i="10"/>
  <c r="K895" i="10"/>
  <c r="K1717" i="10"/>
  <c r="K1764" i="10"/>
  <c r="K1411" i="10"/>
  <c r="K133" i="10"/>
  <c r="K204" i="10"/>
  <c r="K313" i="10"/>
  <c r="K408" i="10"/>
  <c r="K288" i="10"/>
  <c r="K1080" i="10"/>
  <c r="K1478" i="10"/>
  <c r="K444" i="10"/>
  <c r="K433" i="10"/>
  <c r="K79" i="10"/>
  <c r="K559" i="10"/>
  <c r="K283" i="10"/>
  <c r="K7" i="10"/>
  <c r="K1733" i="10"/>
  <c r="K765" i="10"/>
  <c r="K1729" i="10"/>
  <c r="K1165" i="10"/>
  <c r="K48" i="10"/>
  <c r="K774" i="10"/>
  <c r="K138" i="10"/>
  <c r="K191" i="10"/>
  <c r="K1369" i="10"/>
  <c r="K1491" i="10"/>
  <c r="K834" i="10"/>
  <c r="K846" i="10"/>
  <c r="K571" i="10"/>
  <c r="K24" i="10"/>
  <c r="K678" i="10"/>
  <c r="K156" i="10"/>
  <c r="K1105" i="10"/>
  <c r="K1196" i="10"/>
  <c r="K1613" i="10"/>
  <c r="K391" i="10"/>
  <c r="K1484" i="10"/>
  <c r="K1620" i="10"/>
  <c r="K822" i="10"/>
  <c r="K928" i="10"/>
  <c r="K54" i="10"/>
  <c r="K529" i="10"/>
  <c r="K139" i="10"/>
  <c r="K1056" i="10"/>
  <c r="K1485" i="10"/>
  <c r="K660" i="10"/>
  <c r="K367" i="10"/>
  <c r="K72" i="10"/>
  <c r="K330" i="10"/>
  <c r="K853" i="10"/>
  <c r="K757" i="10"/>
  <c r="K312" i="10"/>
  <c r="K1431" i="10"/>
  <c r="K768" i="10"/>
  <c r="K18" i="10"/>
  <c r="K771" i="10"/>
  <c r="K1714" i="10"/>
  <c r="K960" i="10"/>
  <c r="K505" i="10"/>
  <c r="K1218" i="10"/>
  <c r="K301" i="10"/>
  <c r="K1791" i="10"/>
  <c r="K1272" i="10"/>
  <c r="K1502" i="10"/>
  <c r="K1453" i="10"/>
  <c r="K1813" i="10"/>
  <c r="K1951" i="10"/>
  <c r="K1844" i="10"/>
  <c r="K1946" i="10"/>
  <c r="K1857" i="10"/>
  <c r="K1834" i="10"/>
  <c r="K1924" i="10"/>
  <c r="K1847" i="10"/>
  <c r="K1931" i="10"/>
  <c r="K1848" i="10"/>
  <c r="K1748" i="10"/>
  <c r="K619" i="10"/>
  <c r="K1076" i="10"/>
  <c r="K1147" i="10"/>
  <c r="K198" i="10"/>
  <c r="K426" i="10"/>
  <c r="K1755" i="10"/>
  <c r="K894" i="10"/>
  <c r="K1746" i="10"/>
  <c r="K1459" i="10"/>
  <c r="K966" i="10"/>
  <c r="K1065" i="10"/>
  <c r="K205" i="10"/>
  <c r="K259" i="10"/>
  <c r="K409" i="10"/>
  <c r="K289" i="10"/>
  <c r="K1682" i="10"/>
  <c r="K1476" i="10"/>
  <c r="K925" i="10"/>
  <c r="K1286" i="10"/>
  <c r="K223" i="10"/>
  <c r="K511" i="10"/>
  <c r="K19" i="10"/>
  <c r="K195" i="10"/>
  <c r="K1599" i="10"/>
  <c r="K1530" i="10"/>
  <c r="K1014" i="10"/>
  <c r="K787" i="10"/>
  <c r="K1008" i="10"/>
  <c r="K727" i="10"/>
  <c r="K66" i="10"/>
  <c r="K192" i="10"/>
  <c r="K1087" i="10"/>
  <c r="K1153" i="10"/>
  <c r="K474" i="10"/>
  <c r="K625" i="10"/>
  <c r="K570" i="10"/>
  <c r="K25" i="10"/>
  <c r="K640" i="10"/>
  <c r="K1579" i="10"/>
  <c r="K157" i="10"/>
  <c r="K1510" i="10"/>
  <c r="K439" i="10"/>
  <c r="K1479" i="10"/>
  <c r="K1696" i="10"/>
  <c r="K618" i="10"/>
  <c r="K522" i="10"/>
  <c r="K627" i="10"/>
  <c r="K696" i="10"/>
  <c r="K1701" i="10"/>
  <c r="K1089" i="10"/>
  <c r="K685" i="10"/>
  <c r="K1518" i="10"/>
  <c r="K36" i="10"/>
  <c r="K1467" i="10"/>
  <c r="K438" i="10"/>
  <c r="K1142" i="10"/>
  <c r="K1160" i="10"/>
  <c r="K1206" i="10"/>
  <c r="K109" i="10"/>
  <c r="K1526" i="10"/>
  <c r="K1731" i="10"/>
  <c r="K1703" i="10"/>
  <c r="K1843" i="10"/>
  <c r="K1802" i="10"/>
  <c r="K1970" i="10"/>
  <c r="K1816" i="10"/>
  <c r="K1948" i="10"/>
  <c r="K1895" i="10"/>
  <c r="K1926" i="10"/>
  <c r="K1460" i="10"/>
  <c r="K963" i="10"/>
  <c r="K396" i="10"/>
  <c r="K295" i="10"/>
  <c r="K1670" i="10"/>
  <c r="K1618" i="10"/>
  <c r="K1034" i="10"/>
  <c r="K463" i="10"/>
  <c r="K492" i="10"/>
  <c r="K588" i="10"/>
  <c r="K1678" i="10"/>
  <c r="K1027" i="10"/>
  <c r="K432" i="10"/>
  <c r="K729" i="10"/>
  <c r="K369" i="10"/>
  <c r="K1616" i="10"/>
  <c r="K1430" i="10"/>
  <c r="K1435" i="10"/>
  <c r="K246" i="10"/>
  <c r="K649" i="10"/>
  <c r="K721" i="10"/>
  <c r="K1195" i="10"/>
  <c r="K835" i="10"/>
  <c r="K13" i="10"/>
  <c r="K91" i="10"/>
  <c r="K355" i="10"/>
  <c r="K1612" i="10"/>
  <c r="K1483" i="10"/>
  <c r="K828" i="10"/>
  <c r="K1440" i="10"/>
  <c r="K1545" i="10"/>
  <c r="K150" i="10"/>
  <c r="K151" i="10"/>
  <c r="K357" i="10"/>
  <c r="K799" i="10"/>
  <c r="K1128" i="10"/>
  <c r="K738" i="10"/>
  <c r="K175" i="10"/>
  <c r="K1106" i="10"/>
  <c r="K1022" i="10"/>
  <c r="K781" i="10"/>
  <c r="K49" i="10"/>
  <c r="K792" i="10"/>
  <c r="K1783" i="10"/>
  <c r="K180" i="10"/>
  <c r="K264" i="10"/>
  <c r="K1647" i="10"/>
  <c r="K1732" i="10"/>
  <c r="K1454" i="10"/>
  <c r="K1885" i="10"/>
  <c r="K1856" i="10"/>
  <c r="K1988" i="10"/>
  <c r="K1846" i="10"/>
  <c r="K1805" i="10"/>
  <c r="K1955" i="10"/>
  <c r="K1962" i="10"/>
  <c r="K199" i="10"/>
  <c r="K859" i="10"/>
  <c r="K1384" i="10"/>
  <c r="K120" i="10"/>
  <c r="K655" i="10"/>
  <c r="K1443" i="10"/>
  <c r="K882" i="10"/>
  <c r="K930" i="10"/>
  <c r="K57" i="10"/>
  <c r="K378" i="10"/>
  <c r="K777" i="10"/>
  <c r="K1026" i="10"/>
  <c r="K1287" i="10"/>
  <c r="K613" i="10"/>
  <c r="K384" i="10"/>
  <c r="K1450" i="10"/>
  <c r="K1681" i="10"/>
  <c r="K1436" i="10"/>
  <c r="K582" i="10"/>
  <c r="K268" i="10"/>
  <c r="K60" i="10"/>
  <c r="K1726" i="10"/>
  <c r="K475" i="10"/>
  <c r="K955" i="10"/>
  <c r="K186" i="10"/>
  <c r="K412" i="10"/>
  <c r="K1164" i="10"/>
  <c r="K1592" i="10"/>
  <c r="K679" i="10"/>
  <c r="K1466" i="10"/>
  <c r="K81" i="10"/>
  <c r="K985" i="10"/>
  <c r="K556" i="10"/>
  <c r="K648" i="10"/>
  <c r="K876" i="10"/>
  <c r="K697" i="10"/>
  <c r="K373" i="10"/>
  <c r="K666" i="10"/>
  <c r="K535" i="10"/>
  <c r="K1062" i="10"/>
  <c r="K234" i="10"/>
  <c r="K811" i="10"/>
  <c r="K1472" i="10"/>
  <c r="K1111" i="10"/>
  <c r="K61" i="10"/>
  <c r="K1231" i="10"/>
  <c r="K1766" i="10"/>
  <c r="K1248" i="10"/>
  <c r="K1891" i="10"/>
  <c r="K1862" i="10"/>
  <c r="K1809" i="10"/>
  <c r="K1858" i="10"/>
  <c r="K1817" i="10"/>
  <c r="K1979" i="10"/>
  <c r="K1974" i="10"/>
  <c r="K708" i="10"/>
  <c r="K762" i="10"/>
  <c r="K631" i="10"/>
  <c r="K306" i="10"/>
  <c r="K654" i="10"/>
  <c r="K1765" i="10"/>
  <c r="K691" i="10"/>
  <c r="K931" i="10"/>
  <c r="K1375" i="10"/>
  <c r="K325" i="10"/>
  <c r="K1634" i="10"/>
  <c r="K889" i="10"/>
  <c r="K948" i="10"/>
  <c r="K612" i="10"/>
  <c r="K210" i="10"/>
  <c r="K52" i="10"/>
  <c r="K1473" i="10"/>
  <c r="K1437" i="10"/>
  <c r="K1357" i="10"/>
  <c r="K137" i="10"/>
  <c r="K102" i="10"/>
  <c r="K1490" i="10"/>
  <c r="K229" i="10"/>
  <c r="K954" i="10"/>
  <c r="K187" i="10"/>
  <c r="K318" i="10"/>
  <c r="K1658" i="10"/>
  <c r="K1135" i="10"/>
  <c r="K639" i="10"/>
  <c r="K603" i="10"/>
  <c r="K1236" i="10"/>
  <c r="K1291" i="10"/>
  <c r="K331" i="10"/>
  <c r="K1605" i="10"/>
  <c r="K1297" i="10"/>
  <c r="K978" i="10"/>
  <c r="K1214" i="10"/>
  <c r="K1745" i="10"/>
  <c r="K1987" i="10"/>
  <c r="K1804" i="10"/>
  <c r="K1883" i="10"/>
  <c r="K1538" i="10"/>
  <c r="K636" i="10"/>
  <c r="K1302" i="10"/>
  <c r="K1304" i="10"/>
  <c r="K546" i="10"/>
  <c r="K348" i="10"/>
  <c r="K372" i="10"/>
  <c r="K451" i="10"/>
  <c r="K1429" i="10"/>
  <c r="K245" i="10"/>
  <c r="K85" i="10"/>
  <c r="K780" i="10"/>
  <c r="K90" i="10"/>
  <c r="K1643" i="10"/>
  <c r="K1597" i="10"/>
  <c r="K918" i="10"/>
  <c r="K534" i="10"/>
  <c r="K1423" i="10"/>
  <c r="K211" i="10"/>
  <c r="K1044" i="10"/>
  <c r="K739" i="10"/>
  <c r="K1700" i="10"/>
  <c r="K516" i="10"/>
  <c r="K1790" i="10"/>
  <c r="K1051" i="10"/>
  <c r="K1868" i="10"/>
  <c r="K1870" i="10"/>
  <c r="K1944" i="10"/>
  <c r="K1255" i="10"/>
  <c r="K577" i="10"/>
  <c r="K1705" i="10"/>
  <c r="K1242" i="10"/>
  <c r="K700" i="10"/>
  <c r="K1635" i="10"/>
  <c r="K949" i="10"/>
  <c r="K207" i="10"/>
  <c r="K1333" i="10"/>
  <c r="K817" i="10"/>
  <c r="K247" i="10"/>
  <c r="K1386" i="10"/>
  <c r="K144" i="10"/>
  <c r="K1684" i="10"/>
  <c r="K1617" i="10"/>
  <c r="K630" i="10"/>
  <c r="K445" i="10"/>
  <c r="K1695" i="10"/>
  <c r="K83" i="10"/>
  <c r="K939" i="10"/>
  <c r="K352" i="10"/>
  <c r="K1201" i="10"/>
  <c r="K517" i="10"/>
  <c r="K1424" i="10"/>
  <c r="K717" i="10"/>
  <c r="K1934" i="10"/>
  <c r="K1894" i="10"/>
  <c r="K1914" i="10"/>
  <c r="K972" i="10"/>
  <c r="K576" i="10"/>
  <c r="K469" i="10"/>
  <c r="K1038" i="10"/>
  <c r="K565" i="10"/>
  <c r="K1728" i="10"/>
  <c r="K78" i="10"/>
  <c r="K990" i="10"/>
  <c r="K1773" i="10"/>
  <c r="K775" i="10"/>
  <c r="K703" i="10"/>
  <c r="K847" i="10"/>
  <c r="K73" i="10"/>
  <c r="K844" i="10"/>
  <c r="K1351" i="10"/>
  <c r="K169" i="10"/>
  <c r="K1465" i="10"/>
  <c r="K1585" i="10"/>
  <c r="K1964" i="10"/>
  <c r="K1884" i="10"/>
  <c r="K294" i="10"/>
  <c r="K462" i="10"/>
  <c r="K1350" i="10"/>
  <c r="K270" i="10"/>
  <c r="K726" i="10"/>
  <c r="K624" i="10"/>
  <c r="K877" i="10"/>
  <c r="K769" i="10"/>
  <c r="K276" i="10"/>
  <c r="K961" i="10"/>
  <c r="K1225" i="10"/>
  <c r="K1977" i="10"/>
  <c r="K1668" i="10"/>
  <c r="K540" i="10"/>
  <c r="K595" i="10"/>
  <c r="K924" i="10"/>
  <c r="K1544" i="10"/>
  <c r="K67" i="10"/>
  <c r="K415" i="10"/>
  <c r="K1296" i="10"/>
  <c r="K709" i="10"/>
  <c r="K385" i="10"/>
  <c r="K324" i="10"/>
  <c r="K979" i="10"/>
  <c r="K1786" i="10"/>
  <c r="K1995" i="10"/>
  <c r="K1577" i="10"/>
  <c r="K541" i="10"/>
  <c r="K594" i="10"/>
  <c r="K498" i="10"/>
  <c r="K1497" i="10"/>
  <c r="K84" i="10"/>
  <c r="K217" i="10"/>
  <c r="K1496" i="10"/>
  <c r="K1610" i="10"/>
  <c r="K1963" i="10"/>
  <c r="K1040" i="10"/>
  <c r="K163" i="10"/>
  <c r="K786" i="10"/>
  <c r="K1580" i="10"/>
  <c r="K907" i="10"/>
  <c r="K1182" i="10"/>
  <c r="K1969" i="10"/>
  <c r="K937" i="10"/>
  <c r="K390" i="10"/>
  <c r="K528" i="10"/>
  <c r="K1596" i="10"/>
  <c r="K864" i="10"/>
  <c r="K673" i="10"/>
  <c r="K1942" i="10"/>
  <c r="K1320" i="10"/>
  <c r="K97" i="10"/>
  <c r="K1086" i="10"/>
  <c r="K458" i="10"/>
  <c r="K242" i="10"/>
  <c r="K1770" i="10"/>
  <c r="K115" i="10"/>
  <c r="K585" i="10"/>
  <c r="K1709" i="10"/>
  <c r="K525" i="10"/>
  <c r="K1458" i="10"/>
  <c r="K1475" i="10"/>
  <c r="K1749" i="10"/>
  <c r="K1588" i="10"/>
  <c r="K1629" i="10"/>
  <c r="K1905" i="10"/>
  <c r="K1656" i="10"/>
  <c r="K1185" i="10"/>
  <c r="K1949" i="10"/>
  <c r="K1167" i="10"/>
  <c r="K1699" i="10"/>
  <c r="K1991" i="10"/>
  <c r="K1735" i="10"/>
  <c r="K699" i="10"/>
  <c r="K1486" i="10"/>
  <c r="K788" i="10"/>
  <c r="K1660" i="10"/>
  <c r="K1972" i="10"/>
  <c r="K363" i="10"/>
  <c r="K1687" i="10"/>
  <c r="K351" i="10"/>
  <c r="K1428" i="10"/>
  <c r="K1989" i="10"/>
  <c r="K1865" i="10"/>
  <c r="K1866" i="10"/>
  <c r="K1155" i="10"/>
  <c r="K578" i="10"/>
  <c r="K657" i="10"/>
  <c r="K1420" i="10"/>
  <c r="K1980" i="10"/>
  <c r="K1107" i="10"/>
  <c r="K1373" i="10"/>
  <c r="K1578" i="10"/>
  <c r="K1481" i="10"/>
  <c r="K1427" i="10"/>
  <c r="K1673" i="10"/>
  <c r="K1604" i="10"/>
  <c r="K1572" i="10"/>
  <c r="K999" i="10"/>
  <c r="K519" i="10"/>
  <c r="K1959" i="10"/>
  <c r="K1819" i="10"/>
  <c r="K1047" i="10"/>
  <c r="K495" i="10"/>
  <c r="K1903" i="10"/>
  <c r="K1311" i="10"/>
  <c r="K597" i="10"/>
  <c r="K75" i="10"/>
  <c r="K1943" i="10"/>
  <c r="K1566" i="10"/>
  <c r="K873" i="10"/>
  <c r="K177" i="10"/>
  <c r="K1771" i="10"/>
  <c r="K1191" i="10"/>
  <c r="K651" i="10"/>
  <c r="K93" i="10"/>
  <c r="K1626" i="10"/>
  <c r="K1532" i="10"/>
  <c r="K1608" i="10"/>
  <c r="K1507" i="10"/>
  <c r="K1893" i="10"/>
  <c r="K1941" i="10"/>
  <c r="K1887" i="10"/>
  <c r="K1665" i="10"/>
  <c r="K1528" i="10"/>
  <c r="K1266" i="10"/>
  <c r="K581" i="10"/>
  <c r="K965" i="10"/>
  <c r="K341" i="10"/>
  <c r="K1359" i="10"/>
  <c r="K1152" i="10"/>
  <c r="K1366" i="10"/>
  <c r="K1258" i="10"/>
  <c r="K1150" i="10"/>
  <c r="K1036" i="10"/>
  <c r="K916" i="10"/>
  <c r="K1426" i="10"/>
  <c r="K477" i="10"/>
  <c r="K1879" i="10"/>
  <c r="K1657" i="10"/>
  <c r="K1582" i="10"/>
  <c r="K1623" i="10"/>
  <c r="K1928" i="10"/>
  <c r="K1642" i="10"/>
  <c r="K1527" i="10"/>
  <c r="K724" i="10"/>
  <c r="K604" i="10"/>
  <c r="K484" i="10"/>
  <c r="K370" i="10"/>
  <c r="K250" i="10"/>
  <c r="K142" i="10"/>
  <c r="K28" i="10"/>
  <c r="K953" i="10"/>
  <c r="K365" i="10"/>
  <c r="K23" i="10"/>
  <c r="K929" i="10"/>
  <c r="K689" i="10"/>
  <c r="K347" i="10"/>
  <c r="K155" i="10"/>
  <c r="K1230" i="10"/>
  <c r="K1020" i="10"/>
  <c r="K1358" i="10"/>
  <c r="K1190" i="10"/>
  <c r="K992" i="10"/>
  <c r="K878" i="10"/>
  <c r="K764" i="10"/>
  <c r="K656" i="10"/>
  <c r="K542" i="10"/>
  <c r="K434" i="10"/>
  <c r="K326" i="10"/>
  <c r="K218" i="10"/>
  <c r="K110" i="10"/>
  <c r="K1415" i="10"/>
  <c r="K899" i="10"/>
  <c r="K173" i="10"/>
  <c r="K1644" i="10"/>
  <c r="K1609" i="10"/>
  <c r="K1753" i="10"/>
  <c r="K1543" i="10"/>
  <c r="K1667" i="10"/>
  <c r="K1929" i="10"/>
  <c r="K1820" i="10"/>
  <c r="K1851" i="10"/>
  <c r="K1615" i="10"/>
  <c r="K1387" i="10"/>
  <c r="K1249" i="10"/>
  <c r="K1379" i="10"/>
  <c r="K569" i="10"/>
  <c r="K107" i="10"/>
  <c r="K1273" i="10"/>
  <c r="K545" i="10"/>
  <c r="K1324" i="10"/>
  <c r="K1216" i="10"/>
  <c r="K1102" i="10"/>
  <c r="K994" i="10"/>
  <c r="K874" i="10"/>
  <c r="K754" i="10"/>
  <c r="K634" i="10"/>
  <c r="K520" i="10"/>
  <c r="K400" i="10"/>
  <c r="K286" i="10"/>
  <c r="K172" i="10"/>
  <c r="K64" i="10"/>
  <c r="K1175" i="10"/>
  <c r="K455" i="10"/>
  <c r="K161" i="10"/>
  <c r="K1085" i="10"/>
  <c r="K767" i="10"/>
  <c r="K521" i="10"/>
  <c r="K29" i="10"/>
  <c r="K1290" i="10"/>
  <c r="K1069" i="10"/>
  <c r="K1388" i="10"/>
  <c r="K1244" i="10"/>
  <c r="K1028" i="10"/>
  <c r="K908" i="10"/>
  <c r="K800" i="10"/>
  <c r="K686" i="10"/>
  <c r="K572" i="10"/>
  <c r="K464" i="10"/>
  <c r="K483" i="10"/>
  <c r="K1293" i="10"/>
  <c r="K63" i="10"/>
  <c r="K1907" i="10"/>
  <c r="K1329" i="10"/>
  <c r="K39" i="10"/>
  <c r="K1554" i="10"/>
  <c r="K825" i="10"/>
  <c r="K1421" i="10"/>
  <c r="K1655" i="10"/>
  <c r="K1595" i="10"/>
  <c r="K1559" i="10"/>
  <c r="K1842" i="10"/>
  <c r="K1759" i="10"/>
  <c r="K1561" i="10"/>
  <c r="K1824" i="10"/>
  <c r="K297" i="10"/>
  <c r="K1812" i="10"/>
  <c r="K471" i="10"/>
  <c r="K1438" i="10"/>
  <c r="K573" i="10"/>
  <c r="K1906" i="10"/>
  <c r="K1083" i="10"/>
  <c r="K153" i="10"/>
  <c r="K1113" i="10"/>
  <c r="K285" i="10"/>
  <c r="K1861" i="10"/>
  <c r="K459" i="10"/>
  <c r="K711" i="10"/>
  <c r="K1954" i="10"/>
  <c r="K1867" i="10"/>
  <c r="K909" i="10"/>
  <c r="K1494" i="10"/>
  <c r="K867" i="10"/>
  <c r="K273" i="10"/>
  <c r="K1763" i="10"/>
  <c r="K447" i="10"/>
  <c r="K957" i="10"/>
  <c r="K1990" i="10"/>
  <c r="K531" i="10"/>
  <c r="K1904" i="10"/>
  <c r="K1598" i="10"/>
  <c r="K1852" i="10"/>
  <c r="K759" i="10"/>
  <c r="K1855" i="10"/>
  <c r="K1829" i="10"/>
  <c r="K549" i="10"/>
  <c r="K1446" i="10"/>
  <c r="K267" i="10"/>
  <c r="K1849" i="10"/>
  <c r="K1712" i="10"/>
  <c r="K1800" i="10"/>
  <c r="K1715" i="10"/>
  <c r="K1997" i="10"/>
  <c r="K2" i="10"/>
  <c r="K1312" i="10"/>
  <c r="K1204" i="10"/>
  <c r="K1090" i="10"/>
  <c r="K976" i="10"/>
  <c r="K862" i="10"/>
  <c r="K742" i="10"/>
  <c r="K622" i="10"/>
  <c r="K508" i="10"/>
  <c r="K388" i="10"/>
  <c r="K274" i="10"/>
  <c r="K160" i="10"/>
  <c r="K46" i="10"/>
  <c r="K1043" i="10"/>
  <c r="K419" i="10"/>
  <c r="K113" i="10"/>
  <c r="K1037" i="10"/>
  <c r="K731" i="10"/>
  <c r="K479" i="10"/>
  <c r="K677" i="10"/>
  <c r="K1269" i="10"/>
  <c r="K1050" i="10"/>
  <c r="K1376" i="10"/>
  <c r="K1226" i="10"/>
  <c r="K1010" i="10"/>
  <c r="K896" i="10"/>
  <c r="K782" i="10"/>
  <c r="K674" i="10"/>
  <c r="K560" i="10"/>
  <c r="K452" i="10"/>
  <c r="K344" i="10"/>
  <c r="K236" i="10"/>
  <c r="K128" i="10"/>
  <c r="K20" i="10"/>
  <c r="K1055" i="10"/>
  <c r="K695" i="10"/>
  <c r="K1788" i="10"/>
  <c r="K1833" i="10"/>
  <c r="K1743" i="10"/>
  <c r="K1557" i="10"/>
  <c r="K1362" i="10"/>
  <c r="K527" i="10"/>
  <c r="K647" i="10"/>
  <c r="K269" i="10"/>
  <c r="K1314" i="10"/>
  <c r="K1071" i="10"/>
  <c r="K1306" i="10"/>
  <c r="K1198" i="10"/>
  <c r="K1084" i="10"/>
  <c r="K970" i="10"/>
  <c r="K856" i="10"/>
  <c r="K736" i="10"/>
  <c r="K616" i="10"/>
  <c r="K502" i="10"/>
  <c r="K382" i="10"/>
  <c r="K262" i="10"/>
  <c r="K154" i="10"/>
  <c r="K40" i="10"/>
  <c r="K1025" i="10"/>
  <c r="K401" i="10"/>
  <c r="K47" i="10"/>
  <c r="K1013" i="10"/>
  <c r="K713" i="10"/>
  <c r="K443" i="10"/>
  <c r="K263" i="10"/>
  <c r="K1260" i="10"/>
  <c r="K1039" i="10"/>
  <c r="K1370" i="10"/>
  <c r="K1208" i="10"/>
  <c r="K1004" i="10"/>
  <c r="K890" i="10"/>
  <c r="K776" i="10"/>
  <c r="K668" i="10"/>
  <c r="K554" i="10"/>
  <c r="K446" i="10"/>
  <c r="K338" i="10"/>
  <c r="K230" i="10"/>
  <c r="K122" i="10"/>
  <c r="K14" i="10"/>
  <c r="K1031" i="10"/>
  <c r="K641" i="10"/>
  <c r="K897" i="10"/>
  <c r="K3" i="10"/>
  <c r="K801" i="10"/>
  <c r="K129" i="10"/>
  <c r="K1469" i="10"/>
  <c r="K1587" i="10"/>
  <c r="K1548" i="10"/>
  <c r="K1966" i="10"/>
  <c r="K1707" i="10"/>
  <c r="K1796" i="10"/>
  <c r="K1567" i="10"/>
  <c r="K1398" i="10"/>
  <c r="K1187" i="10"/>
  <c r="K1271" i="10"/>
  <c r="K467" i="10"/>
  <c r="K53" i="10"/>
  <c r="K1221" i="10"/>
  <c r="K1414" i="10"/>
  <c r="K1300" i="10"/>
  <c r="K1192" i="10"/>
  <c r="K1078" i="10"/>
  <c r="K964" i="10"/>
  <c r="K850" i="10"/>
  <c r="K730" i="10"/>
  <c r="K610" i="10"/>
  <c r="K490" i="10"/>
  <c r="K376" i="10"/>
  <c r="K256" i="10"/>
  <c r="K148" i="10"/>
  <c r="K34" i="10"/>
  <c r="K971" i="10"/>
  <c r="K371" i="10"/>
  <c r="K35" i="10"/>
  <c r="K947" i="10"/>
  <c r="K707" i="10"/>
  <c r="K383" i="10"/>
  <c r="K209" i="10"/>
  <c r="K1239" i="10"/>
  <c r="K1029" i="10"/>
  <c r="K1364" i="10"/>
  <c r="K1202" i="10"/>
  <c r="K998" i="10"/>
  <c r="K884" i="10"/>
  <c r="K770" i="10"/>
  <c r="K662" i="10"/>
  <c r="K548" i="10"/>
  <c r="K440" i="10"/>
  <c r="K332" i="10"/>
  <c r="K224" i="10"/>
  <c r="K116" i="10"/>
  <c r="K8" i="10"/>
  <c r="K1001" i="10"/>
  <c r="K227" i="10"/>
  <c r="K1836" i="10"/>
  <c r="K507" i="10"/>
  <c r="K1921" i="10"/>
  <c r="K1365" i="10"/>
  <c r="K1953" i="10"/>
  <c r="K735" i="10"/>
  <c r="K1939" i="10"/>
  <c r="K1462" i="10"/>
  <c r="K165" i="10"/>
  <c r="K1823" i="10"/>
  <c r="K1493" i="10"/>
  <c r="K1898" i="10"/>
  <c r="K1719" i="10"/>
  <c r="K1619" i="10"/>
  <c r="K1607" i="10"/>
  <c r="K1505" i="10"/>
  <c r="K1815" i="10"/>
  <c r="K1845" i="10"/>
  <c r="K1761" i="10"/>
  <c r="K741" i="10"/>
  <c r="K1245" i="10"/>
  <c r="K669" i="10"/>
  <c r="K1999" i="10"/>
  <c r="K1864" i="10"/>
  <c r="K1227" i="10"/>
  <c r="K795" i="10"/>
  <c r="K1739" i="10"/>
  <c r="K1556" i="10"/>
  <c r="K723" i="10"/>
  <c r="K213" i="10"/>
  <c r="K1938" i="10"/>
  <c r="K1832" i="10"/>
  <c r="K1137" i="10"/>
  <c r="K849" i="10"/>
  <c r="K279" i="10"/>
  <c r="K1625" i="10"/>
  <c r="K429" i="10"/>
  <c r="K555" i="10"/>
  <c r="K45" i="10"/>
  <c r="K1919" i="10"/>
  <c r="K87" i="10"/>
  <c r="K561" i="10"/>
  <c r="K1890" i="10"/>
  <c r="K1419" i="10"/>
  <c r="K15" i="10"/>
  <c r="K345" i="10"/>
  <c r="K1910" i="10"/>
  <c r="K843" i="10"/>
  <c r="K621" i="10"/>
  <c r="K1179" i="10"/>
  <c r="K855" i="10"/>
  <c r="K1686" i="10"/>
  <c r="K135" i="10"/>
  <c r="K945" i="10"/>
  <c r="K1881" i="10"/>
  <c r="K663" i="10"/>
  <c r="K1464" i="10"/>
  <c r="K465" i="10"/>
  <c r="K1445" i="10"/>
  <c r="K1539" i="10"/>
  <c r="K1143" i="10"/>
  <c r="K9" i="10"/>
  <c r="K1789" i="10"/>
  <c r="K123" i="10"/>
  <c r="K747" i="10"/>
  <c r="K1251" i="10"/>
  <c r="K837" i="10"/>
  <c r="K1916" i="10"/>
  <c r="K1649" i="10"/>
  <c r="K1573" i="10"/>
  <c r="K1875" i="10"/>
  <c r="K1381" i="10"/>
  <c r="K1223" i="10"/>
  <c r="K17" i="10"/>
  <c r="K1408" i="10"/>
  <c r="K1072" i="10"/>
  <c r="K838" i="10"/>
  <c r="K1978" i="10"/>
  <c r="K1514" i="10"/>
  <c r="K1723" i="10"/>
  <c r="K760" i="10"/>
  <c r="K406" i="10"/>
  <c r="K178" i="10"/>
  <c r="K1205" i="10"/>
  <c r="K1109" i="10"/>
  <c r="K533" i="10"/>
  <c r="K1299" i="10"/>
  <c r="K1262" i="10"/>
  <c r="K914" i="10"/>
  <c r="K692" i="10"/>
  <c r="K362" i="10"/>
  <c r="K146" i="10"/>
  <c r="K1115" i="10"/>
  <c r="K1697" i="10"/>
  <c r="K1515" i="10"/>
  <c r="K1584" i="10"/>
  <c r="K1758" i="10"/>
  <c r="K1509" i="10"/>
  <c r="K1067" i="10"/>
  <c r="K323" i="10"/>
  <c r="K1347" i="10"/>
  <c r="K1360" i="10"/>
  <c r="K1252" i="10"/>
  <c r="K1144" i="10"/>
  <c r="K1030" i="10"/>
  <c r="K910" i="10"/>
  <c r="K796" i="10"/>
  <c r="K676" i="10"/>
  <c r="K562" i="10"/>
  <c r="K442" i="10"/>
  <c r="K322" i="10"/>
  <c r="K208" i="10"/>
  <c r="K100" i="10"/>
  <c r="K1325" i="10"/>
  <c r="K725" i="10"/>
  <c r="K281" i="10"/>
  <c r="K1217" i="10"/>
  <c r="K851" i="10"/>
  <c r="K149" i="10"/>
  <c r="K1356" i="10"/>
  <c r="K1140" i="10"/>
  <c r="K395" i="10"/>
  <c r="K1316" i="10"/>
  <c r="K1100" i="10"/>
  <c r="K950" i="10"/>
  <c r="K836" i="10"/>
  <c r="K722" i="10"/>
  <c r="K614" i="10"/>
  <c r="K500" i="10"/>
  <c r="K392" i="10"/>
  <c r="K284" i="10"/>
  <c r="K176" i="10"/>
  <c r="K68" i="10"/>
  <c r="K1229" i="10"/>
  <c r="K701" i="10"/>
  <c r="K1917" i="10"/>
  <c r="K1542" i="10"/>
  <c r="K1593" i="10"/>
  <c r="K1706" i="10"/>
  <c r="K1552" i="10"/>
  <c r="K1345" i="10"/>
  <c r="K1091" i="10"/>
  <c r="K1073" i="10"/>
  <c r="K425" i="10"/>
  <c r="K1404" i="10"/>
  <c r="K1194" i="10"/>
  <c r="K1396" i="10"/>
  <c r="K1282" i="10"/>
  <c r="K1174" i="10"/>
  <c r="K1060" i="10"/>
  <c r="K946" i="10"/>
  <c r="K826" i="10"/>
  <c r="K712" i="10"/>
  <c r="K644" i="10"/>
  <c r="K1257" i="10"/>
  <c r="K920" i="10"/>
  <c r="K1677" i="10"/>
  <c r="K807" i="10"/>
  <c r="K1523" i="10"/>
  <c r="K225" i="10"/>
  <c r="K1853" i="10"/>
  <c r="K861" i="10"/>
  <c r="K1482" i="10"/>
  <c r="K1041" i="10"/>
  <c r="K1439" i="10"/>
  <c r="K1772" i="10"/>
  <c r="K1519" i="10"/>
  <c r="K1984" i="10"/>
  <c r="K1708" i="10"/>
  <c r="K1011" i="10"/>
  <c r="K969" i="10"/>
  <c r="K1986" i="10"/>
  <c r="K1722" i="10"/>
  <c r="K501" i="10"/>
  <c r="K1452" i="10"/>
  <c r="K1101" i="10"/>
  <c r="K33" i="10"/>
  <c r="K1792" i="10"/>
  <c r="K1877" i="10"/>
  <c r="K1149" i="10"/>
  <c r="K1888" i="10"/>
  <c r="K1215" i="10"/>
  <c r="K21" i="10"/>
  <c r="K1936" i="10"/>
  <c r="K831" i="10"/>
  <c r="K1480" i="10"/>
  <c r="K411" i="10"/>
  <c r="K1674" i="10"/>
  <c r="K1209" i="10"/>
  <c r="K189" i="10"/>
  <c r="K1756" i="10"/>
  <c r="K1499" i="10"/>
  <c r="K1878" i="10"/>
  <c r="K1659" i="10"/>
  <c r="K1727" i="10"/>
  <c r="K693" i="10"/>
  <c r="K1901" i="10"/>
  <c r="K1401" i="10"/>
  <c r="K645" i="10"/>
  <c r="K1653" i="10"/>
  <c r="K237" i="10"/>
  <c r="K303" i="10"/>
  <c r="K1631" i="10"/>
  <c r="K255" i="10"/>
  <c r="K1738" i="10"/>
  <c r="K1691" i="10"/>
  <c r="K1541" i="10"/>
  <c r="K1685" i="10"/>
  <c r="K1779" i="10"/>
  <c r="K1540" i="10"/>
  <c r="K1157" i="10"/>
  <c r="K461" i="10"/>
  <c r="K1213" i="10"/>
  <c r="K1294" i="10"/>
  <c r="K1186" i="10"/>
  <c r="K958" i="10"/>
  <c r="K789" i="10"/>
  <c r="K1652" i="10"/>
  <c r="K1529" i="10"/>
  <c r="K1751" i="10"/>
  <c r="K1549" i="10"/>
  <c r="K646" i="10"/>
  <c r="K526" i="10"/>
  <c r="K292" i="10"/>
  <c r="K70" i="10"/>
  <c r="K473" i="10"/>
  <c r="K203" i="10"/>
  <c r="K785" i="10"/>
  <c r="K41" i="10"/>
  <c r="K1077" i="10"/>
  <c r="K1394" i="10"/>
  <c r="K1046" i="10"/>
  <c r="K806" i="10"/>
  <c r="K584" i="10"/>
  <c r="K470" i="10"/>
  <c r="K254" i="10"/>
  <c r="K38" i="10"/>
  <c r="K1331" i="10"/>
  <c r="K1650" i="10"/>
  <c r="K1581" i="10"/>
  <c r="K1734" i="10"/>
  <c r="K1957" i="10"/>
  <c r="K1698" i="10"/>
  <c r="K1416" i="10"/>
  <c r="K935" i="10"/>
  <c r="K1134" i="10"/>
  <c r="K575" i="10"/>
  <c r="K356" i="10"/>
  <c r="K248" i="10"/>
  <c r="K140" i="10"/>
  <c r="K32" i="10"/>
  <c r="K1097" i="10"/>
  <c r="K1139" i="10"/>
  <c r="K1780" i="10"/>
  <c r="K1511" i="10"/>
  <c r="K1860" i="10"/>
  <c r="K1621" i="10"/>
  <c r="K1503" i="10"/>
  <c r="K1395" i="10"/>
  <c r="K941" i="10"/>
  <c r="K887" i="10"/>
  <c r="K305" i="10"/>
  <c r="K1335" i="10"/>
  <c r="K1123" i="10"/>
  <c r="K1354" i="10"/>
  <c r="K1246" i="10"/>
  <c r="K1138" i="10"/>
  <c r="K1024" i="10"/>
  <c r="K904" i="10"/>
  <c r="K790" i="10"/>
  <c r="K670" i="10"/>
  <c r="K550" i="10"/>
  <c r="K436" i="10"/>
  <c r="K316" i="10"/>
  <c r="K202" i="10"/>
  <c r="K94" i="10"/>
  <c r="K1313" i="10"/>
  <c r="K665" i="10"/>
  <c r="K275" i="10"/>
  <c r="K1193" i="10"/>
  <c r="K839" i="10"/>
  <c r="K563" i="10"/>
  <c r="K143" i="10"/>
  <c r="K1344" i="10"/>
  <c r="K1129" i="10"/>
  <c r="K1418" i="10"/>
  <c r="K1310" i="10"/>
  <c r="K1094" i="10"/>
  <c r="K944" i="10"/>
  <c r="K830" i="10"/>
  <c r="K716" i="10"/>
  <c r="K608" i="10"/>
  <c r="K494" i="10"/>
  <c r="K386" i="10"/>
  <c r="K278" i="10"/>
  <c r="K170" i="10"/>
  <c r="K62" i="10"/>
  <c r="K1199" i="10"/>
  <c r="K671" i="10"/>
  <c r="K1794" i="10"/>
  <c r="K1784" i="10"/>
  <c r="K1757" i="10"/>
  <c r="K1911" i="10"/>
  <c r="K1594" i="10"/>
  <c r="K1534" i="10"/>
  <c r="K1377" i="10"/>
  <c r="K827" i="10"/>
  <c r="K761" i="10"/>
  <c r="K287" i="10"/>
  <c r="K1326" i="10"/>
  <c r="K1104" i="10"/>
  <c r="K1348" i="10"/>
  <c r="K1240" i="10"/>
  <c r="K1132" i="10"/>
  <c r="K1018" i="10"/>
  <c r="K898" i="10"/>
  <c r="K778" i="10"/>
  <c r="K664" i="10"/>
  <c r="K544" i="10"/>
  <c r="K430" i="10"/>
  <c r="K310" i="10"/>
  <c r="K196" i="10"/>
  <c r="K88" i="10"/>
  <c r="K1289" i="10"/>
  <c r="K653" i="10"/>
  <c r="K233" i="10"/>
  <c r="K1169" i="10"/>
  <c r="K833" i="10"/>
  <c r="K557" i="10"/>
  <c r="K131" i="10"/>
  <c r="K1332" i="10"/>
  <c r="K1119" i="10"/>
  <c r="K1412" i="10"/>
  <c r="K1298" i="10"/>
  <c r="K1082" i="10"/>
  <c r="K938" i="10"/>
  <c r="K824" i="10"/>
  <c r="K710" i="10"/>
  <c r="K602" i="10"/>
  <c r="K488" i="10"/>
  <c r="K380" i="10"/>
  <c r="K272" i="10"/>
  <c r="K164" i="10"/>
  <c r="K56" i="10"/>
  <c r="K1181" i="10"/>
  <c r="K611" i="10"/>
  <c r="K1967" i="10"/>
  <c r="K1747" i="10"/>
  <c r="K1752" i="10"/>
  <c r="K1516" i="10"/>
  <c r="K1308" i="10"/>
  <c r="K989" i="10"/>
  <c r="K995" i="10"/>
  <c r="K407" i="10"/>
  <c r="K1383" i="10"/>
  <c r="K1173" i="10"/>
  <c r="K1342" i="10"/>
  <c r="K1234" i="10"/>
  <c r="K1126" i="10"/>
  <c r="K1012" i="10"/>
  <c r="K892" i="10"/>
  <c r="K772" i="10"/>
  <c r="K658" i="10"/>
  <c r="K538" i="10"/>
  <c r="K424" i="10"/>
  <c r="K304" i="10"/>
  <c r="K190" i="10"/>
  <c r="K82" i="10"/>
  <c r="K1265" i="10"/>
  <c r="K623" i="10"/>
  <c r="K221" i="10"/>
  <c r="K1151" i="10"/>
  <c r="K821" i="10"/>
  <c r="K551" i="10"/>
  <c r="K71" i="10"/>
  <c r="K1321" i="10"/>
  <c r="K1110" i="10"/>
  <c r="K1406" i="10"/>
  <c r="K1280" i="10"/>
  <c r="K1064" i="10"/>
  <c r="K932" i="10"/>
  <c r="K818" i="10"/>
  <c r="K704" i="10"/>
  <c r="K596" i="10"/>
  <c r="K482" i="10"/>
  <c r="K374" i="10"/>
  <c r="K266" i="10"/>
  <c r="K158" i="10"/>
  <c r="K50" i="10"/>
  <c r="K1163" i="10"/>
  <c r="K449" i="10"/>
  <c r="K1444" i="10"/>
  <c r="K327" i="10"/>
  <c r="K1774" i="10"/>
  <c r="K417" i="10"/>
  <c r="K1487" i="10"/>
  <c r="K1433" i="10"/>
  <c r="K1882" i="10"/>
  <c r="K1583" i="10"/>
  <c r="K1551" i="10"/>
  <c r="K1797" i="10"/>
  <c r="K1811" i="10"/>
  <c r="K1725" i="10"/>
  <c r="K1546" i="10"/>
  <c r="K592" i="10"/>
  <c r="K472" i="10"/>
  <c r="K358" i="10"/>
  <c r="K238" i="10"/>
  <c r="K130" i="10"/>
  <c r="K16" i="10"/>
  <c r="K905" i="10"/>
  <c r="K335" i="10"/>
  <c r="K1391" i="10"/>
  <c r="K911" i="10"/>
  <c r="K635" i="10"/>
  <c r="K257" i="10"/>
  <c r="K1410" i="10"/>
  <c r="K1211" i="10"/>
  <c r="K997" i="10"/>
  <c r="K1346" i="10"/>
  <c r="K1166" i="10"/>
  <c r="K980" i="10"/>
  <c r="K866" i="10"/>
  <c r="K752" i="10"/>
  <c r="K530" i="10"/>
  <c r="K422" i="10"/>
  <c r="K314" i="10"/>
  <c r="K206" i="10"/>
  <c r="K98" i="10"/>
  <c r="K1319" i="10"/>
  <c r="K797" i="10"/>
  <c r="K65" i="10"/>
  <c r="K1676" i="10"/>
  <c r="K1869" i="10"/>
  <c r="K1993" i="10"/>
  <c r="K1639" i="10"/>
  <c r="K1576" i="10"/>
  <c r="K1327" i="10"/>
  <c r="K1049" i="10"/>
  <c r="K1007" i="10"/>
  <c r="K413" i="10"/>
  <c r="K1392" i="10"/>
  <c r="K1183" i="10"/>
  <c r="K1390" i="10"/>
  <c r="K1276" i="10"/>
  <c r="K1168" i="10"/>
  <c r="K1054" i="10"/>
  <c r="K940" i="10"/>
  <c r="K820" i="10"/>
  <c r="K706" i="10"/>
  <c r="K586" i="10"/>
  <c r="K466" i="10"/>
  <c r="K346" i="10"/>
  <c r="K232" i="10"/>
  <c r="K124" i="10"/>
  <c r="K10" i="10"/>
  <c r="K875" i="10"/>
  <c r="K329" i="10"/>
  <c r="K1283" i="10"/>
  <c r="K893" i="10"/>
  <c r="K485" i="10"/>
  <c r="K1278" i="10"/>
  <c r="K359" i="10"/>
  <c r="K629" i="10"/>
  <c r="K179" i="10"/>
  <c r="K1303" i="10"/>
  <c r="K959" i="10"/>
  <c r="K1336" i="10"/>
  <c r="K1228" i="10"/>
  <c r="K1120" i="10"/>
  <c r="K1006" i="10"/>
  <c r="K886" i="10"/>
  <c r="K766" i="10"/>
  <c r="K652" i="10"/>
  <c r="K532" i="10"/>
  <c r="K418" i="10"/>
  <c r="K298" i="10"/>
  <c r="K184" i="10"/>
  <c r="K76" i="10"/>
  <c r="K1241" i="10"/>
  <c r="K491" i="10"/>
  <c r="K215" i="10"/>
  <c r="K1127" i="10"/>
  <c r="K803" i="10"/>
  <c r="K539" i="10"/>
  <c r="K59" i="10"/>
  <c r="K1309" i="10"/>
  <c r="K1099" i="10"/>
  <c r="K1400" i="10"/>
  <c r="K1274" i="10"/>
  <c r="K1058" i="10"/>
  <c r="K926" i="10"/>
  <c r="K812" i="10"/>
  <c r="K698" i="10"/>
  <c r="K590" i="10"/>
  <c r="K476" i="10"/>
  <c r="K368" i="10"/>
  <c r="K260" i="10"/>
  <c r="K152" i="10"/>
  <c r="K44" i="10"/>
  <c r="K1145" i="10"/>
  <c r="K1409" i="10"/>
  <c r="K1680" i="10"/>
  <c r="K1854" i="10"/>
  <c r="K617" i="10"/>
  <c r="K251" i="10"/>
  <c r="K1399" i="10"/>
  <c r="K1200" i="10"/>
  <c r="K987" i="10"/>
  <c r="K1340" i="10"/>
  <c r="K1154" i="10"/>
  <c r="K974" i="10"/>
  <c r="K860" i="10"/>
  <c r="K746" i="10"/>
  <c r="K638" i="10"/>
  <c r="K524" i="10"/>
  <c r="K416" i="10"/>
  <c r="K308" i="10"/>
  <c r="K200" i="10"/>
  <c r="K92" i="10"/>
  <c r="K1295" i="10"/>
  <c r="K779" i="10"/>
  <c r="K1640" i="10"/>
  <c r="K1775" i="10"/>
  <c r="K1932" i="10"/>
  <c r="K1648" i="10"/>
  <c r="K1417" i="10"/>
  <c r="K1301" i="10"/>
  <c r="K1307" i="10"/>
  <c r="K77" i="10"/>
  <c r="K1243" i="10"/>
  <c r="K1378" i="10"/>
  <c r="K1270" i="10"/>
  <c r="K1162" i="10"/>
  <c r="K1048" i="10"/>
  <c r="K934" i="10"/>
  <c r="K814" i="10"/>
  <c r="K694" i="10"/>
  <c r="K580" i="10"/>
  <c r="K460" i="10"/>
  <c r="K340" i="10"/>
  <c r="K226" i="10"/>
  <c r="K118" i="10"/>
  <c r="K4" i="10"/>
  <c r="K845" i="10"/>
  <c r="K317" i="10"/>
  <c r="K1349" i="10"/>
  <c r="K881" i="10"/>
  <c r="K605" i="10"/>
  <c r="K239" i="10"/>
  <c r="K1389" i="10"/>
  <c r="K1189" i="10"/>
  <c r="K977" i="10"/>
  <c r="K1334" i="10"/>
  <c r="K1136" i="10"/>
  <c r="K968" i="10"/>
  <c r="K854" i="10"/>
  <c r="K740" i="10"/>
  <c r="K632" i="10"/>
  <c r="K518" i="10"/>
  <c r="K410" i="10"/>
  <c r="K302" i="10"/>
  <c r="K194" i="10"/>
  <c r="K86" i="10"/>
  <c r="K1277" i="10"/>
  <c r="K749" i="10"/>
  <c r="K1498" i="10"/>
  <c r="K675" i="10"/>
  <c r="K1803" i="10"/>
  <c r="K489" i="10"/>
  <c r="K1108" i="10"/>
  <c r="K1451" i="10"/>
  <c r="K1630" i="10"/>
  <c r="K1504" i="10"/>
  <c r="K1821" i="10"/>
  <c r="K1892" i="10"/>
  <c r="K1689" i="10"/>
  <c r="K1565" i="10"/>
  <c r="K1279" i="10"/>
  <c r="K857" i="10"/>
  <c r="K983" i="10"/>
  <c r="K389" i="10"/>
  <c r="K1371" i="10"/>
  <c r="K1161" i="10"/>
  <c r="K1372" i="10"/>
  <c r="K1264" i="10"/>
  <c r="K1156" i="10"/>
  <c r="K1042" i="10"/>
  <c r="K922" i="10"/>
  <c r="K808" i="10"/>
  <c r="K688" i="10"/>
  <c r="K574" i="10"/>
  <c r="K454" i="10"/>
  <c r="K334" i="10"/>
  <c r="K220" i="10"/>
  <c r="K112" i="10"/>
  <c r="K1355" i="10"/>
  <c r="K773" i="10"/>
  <c r="K299" i="10"/>
  <c r="K1253" i="10"/>
  <c r="K869" i="10"/>
  <c r="K593" i="10"/>
  <c r="K197" i="10"/>
  <c r="K1380" i="10"/>
  <c r="K1170" i="10"/>
  <c r="K809" i="10"/>
  <c r="K1328" i="10"/>
  <c r="K1130" i="10"/>
  <c r="K962" i="10"/>
  <c r="K848" i="10"/>
  <c r="K734" i="10"/>
  <c r="K626" i="10"/>
  <c r="K512" i="10"/>
  <c r="K404" i="10"/>
  <c r="K296" i="10"/>
  <c r="K188" i="10"/>
  <c r="K80" i="10"/>
  <c r="K1259" i="10"/>
  <c r="K1171" i="10"/>
  <c r="K737" i="10"/>
  <c r="K397" i="10"/>
  <c r="K219" i="10"/>
  <c r="K1782" i="10"/>
  <c r="K1778" i="10"/>
  <c r="K690" i="10"/>
  <c r="K258" i="10"/>
  <c r="K1407" i="10"/>
  <c r="K349" i="10"/>
  <c r="K607" i="10"/>
  <c r="K243" i="10"/>
  <c r="K733" i="10"/>
  <c r="K1740" i="10"/>
  <c r="K606" i="10"/>
  <c r="K1449" i="10"/>
  <c r="K745" i="10"/>
  <c r="K751" i="10"/>
  <c r="K1760" i="10"/>
  <c r="K798" i="10"/>
  <c r="K456" i="10"/>
  <c r="K672" i="10"/>
  <c r="K69" i="10"/>
  <c r="K732" i="10"/>
  <c r="K936" i="10"/>
  <c r="K823" i="10"/>
  <c r="K1021" i="10"/>
  <c r="K984" i="10"/>
  <c r="K1971" i="10"/>
  <c r="K1935" i="10"/>
  <c r="K1899" i="10"/>
  <c r="K1863" i="10"/>
  <c r="K1827" i="10"/>
  <c r="K1994" i="10"/>
  <c r="K1958" i="10"/>
  <c r="K1922" i="10"/>
  <c r="K1886" i="10"/>
  <c r="K1850" i="10"/>
  <c r="K1814" i="10"/>
  <c r="K1981" i="10"/>
  <c r="K1945" i="10"/>
  <c r="K1909" i="10"/>
  <c r="K1873" i="10"/>
  <c r="K1837" i="10"/>
  <c r="K1801" i="10"/>
  <c r="K1455" i="10"/>
  <c r="K1744" i="10"/>
  <c r="K1292" i="10"/>
  <c r="K1586" i="10"/>
  <c r="K1425" i="10"/>
  <c r="K1232" i="10"/>
  <c r="K1116" i="10"/>
  <c r="K403" i="10"/>
  <c r="K579" i="10"/>
  <c r="K841" i="10"/>
  <c r="K888" i="10"/>
  <c r="K1207" i="10"/>
  <c r="K1627" i="10"/>
  <c r="K1471" i="10"/>
  <c r="K1713" i="10"/>
  <c r="K810" i="10"/>
  <c r="K1622" i="10"/>
  <c r="K493" i="10"/>
  <c r="K715" i="10"/>
  <c r="K523" i="10"/>
  <c r="K1679" i="10"/>
  <c r="K55" i="10"/>
  <c r="K684" i="10"/>
  <c r="K145" i="10"/>
  <c r="K1393" i="10"/>
  <c r="K235" i="10"/>
  <c r="K1237" i="10"/>
  <c r="K1220" i="10"/>
  <c r="K659" i="10"/>
  <c r="K865" i="10"/>
  <c r="K567" i="10"/>
  <c r="K702" i="10"/>
  <c r="K1737" i="10"/>
  <c r="K1177" i="10"/>
  <c r="K121" i="10"/>
  <c r="K222" i="10"/>
  <c r="K756" i="10"/>
  <c r="K342" i="10"/>
  <c r="K366" i="10"/>
  <c r="K12" i="10"/>
  <c r="K601" i="10"/>
  <c r="K1275" i="10"/>
  <c r="K1447" i="10"/>
  <c r="K1601" i="10"/>
  <c r="K1524" i="10"/>
  <c r="K720" i="10"/>
  <c r="K1339" i="10"/>
  <c r="K1506" i="10"/>
  <c r="K615" i="10"/>
  <c r="K714" i="10"/>
  <c r="K744" i="10"/>
  <c r="K750" i="10"/>
  <c r="K480" i="10"/>
  <c r="K43" i="10"/>
  <c r="K1256" i="10"/>
  <c r="K1081" i="10"/>
  <c r="K1441" i="10"/>
  <c r="K1188" i="10"/>
  <c r="K1641" i="10"/>
  <c r="K1002" i="10"/>
  <c r="K1032" i="10"/>
  <c r="K1112" i="10"/>
  <c r="K30" i="10"/>
  <c r="K1704" i="10"/>
  <c r="K336" i="10"/>
  <c r="K1068" i="10"/>
  <c r="K103" i="10"/>
  <c r="K319" i="10"/>
  <c r="K1628" i="10"/>
  <c r="K1315" i="10"/>
  <c r="K231" i="10"/>
  <c r="K1569" i="10"/>
  <c r="K126" i="10"/>
  <c r="K564" i="10"/>
  <c r="K240" i="10"/>
  <c r="K1536" i="10"/>
  <c r="K816" i="10"/>
  <c r="K1495" i="10"/>
  <c r="K667" i="10"/>
  <c r="K181" i="10"/>
  <c r="K337" i="10"/>
  <c r="K784" i="10"/>
  <c r="K1148" i="10"/>
  <c r="K1633" i="10"/>
  <c r="K127" i="10"/>
  <c r="K870" i="10"/>
  <c r="K1489" i="10"/>
  <c r="K942" i="10"/>
  <c r="K1664" i="10"/>
  <c r="K906" i="10"/>
  <c r="K753" i="10"/>
  <c r="K600" i="10"/>
  <c r="K420" i="10"/>
  <c r="K360" i="10"/>
  <c r="K913" i="10"/>
  <c r="K1268" i="10"/>
  <c r="K339" i="10"/>
  <c r="K829" i="10"/>
  <c r="K553" i="10"/>
  <c r="K1015" i="10"/>
  <c r="K241" i="10"/>
  <c r="K1098" i="10"/>
  <c r="K361" i="10"/>
  <c r="K253" i="10"/>
  <c r="K6" i="10"/>
  <c r="K381" i="10"/>
  <c r="K1448" i="10"/>
  <c r="K1070" i="10"/>
  <c r="K1646" i="10"/>
  <c r="K852" i="10"/>
  <c r="K1033" i="10"/>
</calcChain>
</file>

<file path=xl/sharedStrings.xml><?xml version="1.0" encoding="utf-8"?>
<sst xmlns="http://schemas.openxmlformats.org/spreadsheetml/2006/main" count="61" uniqueCount="37">
  <si>
    <t>Insert Data taken from T-Visor Into Sheets "Speed" and "Odometer".</t>
  </si>
  <si>
    <t>To access data from T-Visor:</t>
  </si>
  <si>
    <t>Naviagate to: Tools &gt; Diagnostics &gt; Trends &gt; Open Tree View</t>
  </si>
  <si>
    <t>When in Tree View: AvlServer &gt; AVLS &gt; "Odometer" or "Speed" Right click and Add to Trend (You should only download 1 data set at a time, either Speed or Odometer to then enter it into this spreadsheet)</t>
  </si>
  <si>
    <t>New Chart configuration will have the time and date range, choose 30 mins of the data you wish to view using either Date range or interval.</t>
  </si>
  <si>
    <t>Actions: + New chart</t>
  </si>
  <si>
    <t>At the top right of the new chart hover over actions and Export Data - this will send an email to your email address.</t>
  </si>
  <si>
    <t>Once the excel spreadsheet is in your email. Open it and copy and paste the data into "Speed" and "Odometer" respectively and the speed graph should automatically update with your desired result.</t>
  </si>
  <si>
    <t>Time</t>
  </si>
  <si>
    <t>M's</t>
  </si>
  <si>
    <t>Odometer</t>
  </si>
  <si>
    <t>Distance</t>
  </si>
  <si>
    <t>Speed Limit</t>
  </si>
  <si>
    <t xml:space="preserve">Reference </t>
  </si>
  <si>
    <t>ALG</t>
  </si>
  <si>
    <t>ELA</t>
  </si>
  <si>
    <t>IPA</t>
  </si>
  <si>
    <t>MCR</t>
  </si>
  <si>
    <t>DKN</t>
  </si>
  <si>
    <t>SWN</t>
  </si>
  <si>
    <t>PLP</t>
  </si>
  <si>
    <t>EPC</t>
  </si>
  <si>
    <t>SFD</t>
  </si>
  <si>
    <t>WSN</t>
  </si>
  <si>
    <t>NLR</t>
  </si>
  <si>
    <t>MPN</t>
  </si>
  <si>
    <t>MCK</t>
  </si>
  <si>
    <t>GGN</t>
  </si>
  <si>
    <t>Time rounded (Speed)</t>
  </si>
  <si>
    <t>Time rounded (odo)</t>
  </si>
  <si>
    <t>ODO/Trip</t>
  </si>
  <si>
    <t>ODO total</t>
  </si>
  <si>
    <t>Time Overall</t>
  </si>
  <si>
    <t>Time rounded (Overall)</t>
  </si>
  <si>
    <t>ODO/Time</t>
  </si>
  <si>
    <t>M/S</t>
  </si>
  <si>
    <t>KM/s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</si>
</sst>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h:mm:ss;@"/>
  </numFmts>
  <fonts count="6" x14ac:knownFonts="1">
    <font>
      <sz val="11"/>
      <color theme="1"/>
      <name val="Calibri"/>
      <family val="2"/>
      <scheme val="minor"/>
    </font>
    <font>
      <sz val="20"/>
      <color theme="1"/>
      <name val="Calibri"/>
      <family val="2"/>
      <scheme val="minor"/>
    </font>
    <font>
      <sz val="11"/>
      <color indexed="8"/>
      <name val="Calibri"/>
      <family val="2"/>
      <scheme val="minor"/>
    </font>
    <font>
      <sz val="11"/>
      <color rgb="FF000000"/>
      <name val="Calibri"/>
      <family val="2"/>
    </font>
    <font>
      <sz val="12"/>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cellStyleXfs>
  <cellXfs count="19">
    <xf numFmtId="0" fontId="0" fillId="0" borderId="0" xfId="0"/>
    <xf numFmtId="0" fontId="1" fillId="0" borderId="0" xfId="0" applyFont="1" applyAlignment="1">
      <alignment horizontal="center" vertical="center"/>
    </xf>
    <xf numFmtId="0" fontId="0" fillId="0" borderId="0" xfId="0" applyProtection="1">
      <protection locked="0"/>
    </xf>
    <xf numFmtId="1" fontId="0" fillId="0" borderId="0" xfId="0" applyNumberFormat="1"/>
    <xf numFmtId="0" fontId="0" fillId="0" borderId="0" xfId="0" applyAlignment="1">
      <alignment horizontal="center"/>
    </xf>
    <xf numFmtId="1" fontId="0" fillId="2" borderId="0" xfId="0" applyNumberFormat="1" applyFill="1"/>
    <xf numFmtId="0" fontId="0" fillId="2" borderId="0" xfId="0" applyFill="1"/>
    <xf numFmtId="0" fontId="0" fillId="2" borderId="0" xfId="0" applyFill="1" applyAlignment="1">
      <alignment horizontal="center"/>
    </xf>
    <xf numFmtId="164" fontId="1" fillId="0" borderId="0" xfId="0" applyNumberFormat="1" applyFont="1" applyAlignment="1">
      <alignment horizontal="center" vertical="center"/>
    </xf>
    <xf numFmtId="164" fontId="0" fillId="0" borderId="0" xfId="0" applyNumberFormat="1" applyProtection="1">
      <protection locked="0"/>
    </xf>
    <xf numFmtId="164" fontId="0" fillId="0" borderId="0" xfId="0" applyNumberFormat="1"/>
    <xf numFmtId="0" fontId="0" fillId="0" borderId="0" xfId="0" applyAlignment="1">
      <alignment wrapText="1"/>
    </xf>
    <xf numFmtId="21" fontId="0" fillId="0" borderId="0" xfId="0" applyNumberFormat="1" applyAlignment="1">
      <alignment wrapText="1"/>
    </xf>
    <xf numFmtId="1" fontId="1" fillId="0" borderId="0" xfId="0" applyNumberFormat="1" applyFont="1" applyAlignment="1">
      <alignment horizontal="center" vertical="center"/>
    </xf>
    <xf numFmtId="0" fontId="3" fillId="0" borderId="0" xfId="0" applyFont="1"/>
    <xf numFmtId="22" fontId="3" fillId="0" borderId="0" xfId="0" applyNumberFormat="1" applyFont="1"/>
    <xf numFmtId="0" fontId="4" fillId="0" borderId="0" xfId="0" applyFont="1"/>
    <xf numFmtId="22" fontId="5" fillId="0" borderId="0" xfId="0" applyNumberFormat="1" applyFont="1"/>
    <xf numFmtId="0" fontId="5" fillId="0" borderId="0" xfId="0" applyFont="1"/>
  </cellXfs>
  <cellStyles count="2">
    <cellStyle name="Normal" xfId="0" builtinId="0"/>
    <cellStyle name="Normal 2" xfId="1" xr:uid="{BC8EABC5-3A1B-48FA-9FEB-142B922728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2.xml"/><Relationship Id="rId7" Type="http://schemas.openxmlformats.org/officeDocument/2006/relationships/worksheet" Target="worksheets/sheet6.xml"/><Relationship Id="rId12" Type="http://schemas.openxmlformats.org/officeDocument/2006/relationships/externalLink" Target="externalLinks/externalLink2.xml"/><Relationship Id="rId17" Type="http://schemas.openxmlformats.org/officeDocument/2006/relationships/customXml" Target="../customXml/item1.xml"/><Relationship Id="rId2" Type="http://schemas.openxmlformats.org/officeDocument/2006/relationships/chartsheet" Target="chartsheets/sheet1.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externalLink" Target="externalLinks/externalLink1.xml"/><Relationship Id="rId5" Type="http://schemas.openxmlformats.org/officeDocument/2006/relationships/worksheet" Target="worksheets/sheet4.xml"/><Relationship Id="rId15" Type="http://schemas.openxmlformats.org/officeDocument/2006/relationships/sharedStrings" Target="sharedStrings.xml"/><Relationship Id="rId10" Type="http://schemas.openxmlformats.org/officeDocument/2006/relationships/worksheet" Target="worksheets/sheet8.xml"/><Relationship Id="rId19" Type="http://schemas.openxmlformats.org/officeDocument/2006/relationships/customXml" Target="../customXml/item3.xml"/><Relationship Id="rId4" Type="http://schemas.openxmlformats.org/officeDocument/2006/relationships/worksheet" Target="worksheets/sheet3.xml"/><Relationship Id="rId9" Type="http://schemas.openxmlformats.org/officeDocument/2006/relationships/chartsheet" Target="chartsheets/sheet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Speed!$A$2</c:f>
          <c:strCache>
            <c:ptCount val="1"/>
            <c:pt idx="0">
              <c:v>13/02/2025 6:45</c:v>
            </c:pt>
          </c:strCache>
        </c:strRef>
      </c:tx>
      <c:layout>
        <c:manualLayout>
          <c:xMode val="edge"/>
          <c:yMode val="edge"/>
          <c:x val="0.47028579700131351"/>
          <c:y val="0.10041707170925612"/>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bg1">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5.681085257832811E-2"/>
          <c:y val="0.17587457523922362"/>
          <c:w val="0.89956665622322252"/>
          <c:h val="0.5311615845886194"/>
        </c:manualLayout>
      </c:layout>
      <c:scatterChart>
        <c:scatterStyle val="lineMarker"/>
        <c:varyColors val="0"/>
        <c:ser>
          <c:idx val="0"/>
          <c:order val="0"/>
          <c:tx>
            <c:v>LRV</c:v>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Calculations!$K$2:$K$2000</c:f>
              <c:numCache>
                <c:formatCode>0</c:formatCode>
                <c:ptCount val="1999"/>
                <c:pt idx="0">
                  <c:v>#N/A</c:v>
                </c:pt>
                <c:pt idx="1">
                  <c:v>#N/A</c:v>
                </c:pt>
                <c:pt idx="2">
                  <c:v>1</c:v>
                </c:pt>
                <c:pt idx="3">
                  <c:v>#N/A</c:v>
                </c:pt>
                <c:pt idx="4">
                  <c:v>6</c:v>
                </c:pt>
                <c:pt idx="5">
                  <c:v>9</c:v>
                </c:pt>
                <c:pt idx="6">
                  <c:v>12</c:v>
                </c:pt>
                <c:pt idx="7">
                  <c:v>12</c:v>
                </c:pt>
                <c:pt idx="8">
                  <c:v>19</c:v>
                </c:pt>
                <c:pt idx="9">
                  <c:v>22</c:v>
                </c:pt>
                <c:pt idx="10">
                  <c:v>26</c:v>
                </c:pt>
                <c:pt idx="11">
                  <c:v>29</c:v>
                </c:pt>
                <c:pt idx="12">
                  <c:v>33</c:v>
                </c:pt>
                <c:pt idx="13">
                  <c:v>37</c:v>
                </c:pt>
                <c:pt idx="14">
                  <c:v>42</c:v>
                </c:pt>
                <c:pt idx="15">
                  <c:v>46</c:v>
                </c:pt>
                <c:pt idx="16">
                  <c:v>50</c:v>
                </c:pt>
                <c:pt idx="17">
                  <c:v>50</c:v>
                </c:pt>
                <c:pt idx="18">
                  <c:v>60</c:v>
                </c:pt>
                <c:pt idx="19">
                  <c:v>65</c:v>
                </c:pt>
                <c:pt idx="20">
                  <c:v>71</c:v>
                </c:pt>
                <c:pt idx="21">
                  <c:v>76</c:v>
                </c:pt>
                <c:pt idx="22">
                  <c:v>77</c:v>
                </c:pt>
                <c:pt idx="23">
                  <c:v>77</c:v>
                </c:pt>
                <c:pt idx="24">
                  <c:v>77</c:v>
                </c:pt>
                <c:pt idx="25">
                  <c:v>91</c:v>
                </c:pt>
                <c:pt idx="26">
                  <c:v>100</c:v>
                </c:pt>
                <c:pt idx="27">
                  <c:v>109</c:v>
                </c:pt>
                <c:pt idx="28">
                  <c:v>117</c:v>
                </c:pt>
                <c:pt idx="29">
                  <c:v>127</c:v>
                </c:pt>
                <c:pt idx="30">
                  <c:v>136</c:v>
                </c:pt>
                <c:pt idx="31">
                  <c:v>146</c:v>
                </c:pt>
                <c:pt idx="32">
                  <c:v>152</c:v>
                </c:pt>
                <c:pt idx="33">
                  <c:v>164</c:v>
                </c:pt>
                <c:pt idx="34">
                  <c:v>164</c:v>
                </c:pt>
                <c:pt idx="35">
                  <c:v>173</c:v>
                </c:pt>
                <c:pt idx="36">
                  <c:v>180</c:v>
                </c:pt>
                <c:pt idx="37">
                  <c:v>185</c:v>
                </c:pt>
                <c:pt idx="38">
                  <c:v>185</c:v>
                </c:pt>
                <c:pt idx="39">
                  <c:v>185</c:v>
                </c:pt>
                <c:pt idx="40">
                  <c:v>#N/A</c:v>
                </c:pt>
                <c:pt idx="41">
                  <c:v>204</c:v>
                </c:pt>
                <c:pt idx="42">
                  <c:v>211</c:v>
                </c:pt>
                <c:pt idx="43">
                  <c:v>219</c:v>
                </c:pt>
                <c:pt idx="44">
                  <c:v>220</c:v>
                </c:pt>
                <c:pt idx="45">
                  <c:v>220</c:v>
                </c:pt>
                <c:pt idx="46">
                  <c:v>237</c:v>
                </c:pt>
                <c:pt idx="47">
                  <c:v>246</c:v>
                </c:pt>
                <c:pt idx="48">
                  <c:v>254</c:v>
                </c:pt>
                <c:pt idx="49">
                  <c:v>254</c:v>
                </c:pt>
                <c:pt idx="50">
                  <c:v>265</c:v>
                </c:pt>
                <c:pt idx="51">
                  <c:v>276</c:v>
                </c:pt>
                <c:pt idx="52">
                  <c:v>278</c:v>
                </c:pt>
                <c:pt idx="53">
                  <c:v>278</c:v>
                </c:pt>
                <c:pt idx="54">
                  <c:v>304</c:v>
                </c:pt>
                <c:pt idx="55">
                  <c:v>318</c:v>
                </c:pt>
                <c:pt idx="56">
                  <c:v>331</c:v>
                </c:pt>
                <c:pt idx="57">
                  <c:v>332</c:v>
                </c:pt>
                <c:pt idx="58">
                  <c:v>332</c:v>
                </c:pt>
                <c:pt idx="59">
                  <c:v>360</c:v>
                </c:pt>
                <c:pt idx="60">
                  <c:v>365</c:v>
                </c:pt>
                <c:pt idx="61">
                  <c:v>365</c:v>
                </c:pt>
                <c:pt idx="62">
                  <c:v>365</c:v>
                </c:pt>
                <c:pt idx="63">
                  <c:v>377</c:v>
                </c:pt>
                <c:pt idx="64">
                  <c:v>377</c:v>
                </c:pt>
                <c:pt idx="65">
                  <c:v>377</c:v>
                </c:pt>
                <c:pt idx="66">
                  <c:v>397</c:v>
                </c:pt>
                <c:pt idx="67">
                  <c:v>430</c:v>
                </c:pt>
                <c:pt idx="68">
                  <c:v>432</c:v>
                </c:pt>
                <c:pt idx="69">
                  <c:v>432</c:v>
                </c:pt>
                <c:pt idx="70">
                  <c:v>432</c:v>
                </c:pt>
                <c:pt idx="71">
                  <c:v>469</c:v>
                </c:pt>
                <c:pt idx="72">
                  <c:v>481</c:v>
                </c:pt>
                <c:pt idx="73">
                  <c:v>492</c:v>
                </c:pt>
                <c:pt idx="74">
                  <c:v>493</c:v>
                </c:pt>
                <c:pt idx="75">
                  <c:v>493</c:v>
                </c:pt>
                <c:pt idx="76">
                  <c:v>514</c:v>
                </c:pt>
                <c:pt idx="77">
                  <c:v>524</c:v>
                </c:pt>
                <c:pt idx="78">
                  <c:v>533</c:v>
                </c:pt>
                <c:pt idx="79">
                  <c:v>542</c:v>
                </c:pt>
                <c:pt idx="80">
                  <c:v>542</c:v>
                </c:pt>
                <c:pt idx="81">
                  <c:v>551</c:v>
                </c:pt>
                <c:pt idx="82">
                  <c:v>551</c:v>
                </c:pt>
                <c:pt idx="83">
                  <c:v>558</c:v>
                </c:pt>
                <c:pt idx="84">
                  <c:v>565</c:v>
                </c:pt>
                <c:pt idx="85">
                  <c:v>572</c:v>
                </c:pt>
                <c:pt idx="86">
                  <c:v>577</c:v>
                </c:pt>
                <c:pt idx="87">
                  <c:v>582</c:v>
                </c:pt>
                <c:pt idx="88">
                  <c:v>586</c:v>
                </c:pt>
                <c:pt idx="89">
                  <c:v>589</c:v>
                </c:pt>
                <c:pt idx="90">
                  <c:v>590</c:v>
                </c:pt>
                <c:pt idx="91">
                  <c:v>591</c:v>
                </c:pt>
                <c:pt idx="92">
                  <c:v>591</c:v>
                </c:pt>
                <c:pt idx="93">
                  <c:v>#N/A</c:v>
                </c:pt>
                <c:pt idx="94">
                  <c:v>594</c:v>
                </c:pt>
                <c:pt idx="95">
                  <c:v>594</c:v>
                </c:pt>
                <c:pt idx="96">
                  <c:v>#N/A</c:v>
                </c:pt>
                <c:pt idx="97">
                  <c:v>#N/A</c:v>
                </c:pt>
                <c:pt idx="98">
                  <c:v>#N/A</c:v>
                </c:pt>
                <c:pt idx="99">
                  <c:v>#N/A</c:v>
                </c:pt>
                <c:pt idx="100">
                  <c:v>#N/A</c:v>
                </c:pt>
                <c:pt idx="101">
                  <c:v>597</c:v>
                </c:pt>
                <c:pt idx="102">
                  <c:v>602</c:v>
                </c:pt>
                <c:pt idx="103">
                  <c:v>606</c:v>
                </c:pt>
                <c:pt idx="104">
                  <c:v>606</c:v>
                </c:pt>
                <c:pt idx="105">
                  <c:v>606</c:v>
                </c:pt>
                <c:pt idx="106">
                  <c:v>615</c:v>
                </c:pt>
                <c:pt idx="107">
                  <c:v>623</c:v>
                </c:pt>
                <c:pt idx="108">
                  <c:v>632</c:v>
                </c:pt>
                <c:pt idx="109">
                  <c:v>642</c:v>
                </c:pt>
                <c:pt idx="110">
                  <c:v>653</c:v>
                </c:pt>
                <c:pt idx="111">
                  <c:v>662</c:v>
                </c:pt>
                <c:pt idx="112">
                  <c:v>662</c:v>
                </c:pt>
                <c:pt idx="113">
                  <c:v>666</c:v>
                </c:pt>
                <c:pt idx="114">
                  <c:v>666</c:v>
                </c:pt>
                <c:pt idx="115">
                  <c:v>#N/A</c:v>
                </c:pt>
                <c:pt idx="116">
                  <c:v>702</c:v>
                </c:pt>
                <c:pt idx="117">
                  <c:v>710</c:v>
                </c:pt>
                <c:pt idx="118">
                  <c:v>710</c:v>
                </c:pt>
                <c:pt idx="119">
                  <c:v>718</c:v>
                </c:pt>
                <c:pt idx="120">
                  <c:v>718</c:v>
                </c:pt>
                <c:pt idx="121">
                  <c:v>727</c:v>
                </c:pt>
                <c:pt idx="122">
                  <c:v>727</c:v>
                </c:pt>
                <c:pt idx="123">
                  <c:v>751</c:v>
                </c:pt>
                <c:pt idx="124">
                  <c:v>761</c:v>
                </c:pt>
                <c:pt idx="125">
                  <c:v>772</c:v>
                </c:pt>
                <c:pt idx="126">
                  <c:v>785</c:v>
                </c:pt>
                <c:pt idx="127">
                  <c:v>794</c:v>
                </c:pt>
                <c:pt idx="128">
                  <c:v>802</c:v>
                </c:pt>
                <c:pt idx="129">
                  <c:v>804</c:v>
                </c:pt>
                <c:pt idx="130">
                  <c:v>804</c:v>
                </c:pt>
                <c:pt idx="131">
                  <c:v>804</c:v>
                </c:pt>
                <c:pt idx="132">
                  <c:v>804</c:v>
                </c:pt>
                <c:pt idx="133">
                  <c:v>834</c:v>
                </c:pt>
                <c:pt idx="134">
                  <c:v>855</c:v>
                </c:pt>
                <c:pt idx="135">
                  <c:v>865</c:v>
                </c:pt>
                <c:pt idx="136">
                  <c:v>874</c:v>
                </c:pt>
                <c:pt idx="137">
                  <c:v>885</c:v>
                </c:pt>
                <c:pt idx="138">
                  <c:v>895</c:v>
                </c:pt>
                <c:pt idx="139">
                  <c:v>905</c:v>
                </c:pt>
                <c:pt idx="140">
                  <c:v>915</c:v>
                </c:pt>
                <c:pt idx="141">
                  <c:v>926</c:v>
                </c:pt>
                <c:pt idx="142">
                  <c:v>926</c:v>
                </c:pt>
                <c:pt idx="143">
                  <c:v>954</c:v>
                </c:pt>
                <c:pt idx="144">
                  <c:v>955</c:v>
                </c:pt>
                <c:pt idx="145">
                  <c:v>955</c:v>
                </c:pt>
                <c:pt idx="146">
                  <c:v>983</c:v>
                </c:pt>
                <c:pt idx="147">
                  <c:v>983</c:v>
                </c:pt>
                <c:pt idx="148">
                  <c:v>996</c:v>
                </c:pt>
                <c:pt idx="149">
                  <c:v>1011</c:v>
                </c:pt>
                <c:pt idx="150">
                  <c:v>1011</c:v>
                </c:pt>
                <c:pt idx="151">
                  <c:v>1027</c:v>
                </c:pt>
                <c:pt idx="152">
                  <c:v>1028</c:v>
                </c:pt>
                <c:pt idx="153">
                  <c:v>1028</c:v>
                </c:pt>
                <c:pt idx="154">
                  <c:v>1057</c:v>
                </c:pt>
                <c:pt idx="155">
                  <c:v>1073</c:v>
                </c:pt>
                <c:pt idx="156">
                  <c:v>1088</c:v>
                </c:pt>
                <c:pt idx="157">
                  <c:v>1102</c:v>
                </c:pt>
                <c:pt idx="158">
                  <c:v>1103</c:v>
                </c:pt>
                <c:pt idx="159">
                  <c:v>1103</c:v>
                </c:pt>
                <c:pt idx="160">
                  <c:v>1132</c:v>
                </c:pt>
                <c:pt idx="161">
                  <c:v>1142</c:v>
                </c:pt>
                <c:pt idx="162">
                  <c:v>1142</c:v>
                </c:pt>
                <c:pt idx="163">
                  <c:v>1151</c:v>
                </c:pt>
                <c:pt idx="164">
                  <c:v>1151</c:v>
                </c:pt>
                <c:pt idx="165">
                  <c:v>1176</c:v>
                </c:pt>
                <c:pt idx="166">
                  <c:v>1191</c:v>
                </c:pt>
                <c:pt idx="167">
                  <c:v>1204</c:v>
                </c:pt>
                <c:pt idx="168">
                  <c:v>1216</c:v>
                </c:pt>
                <c:pt idx="169">
                  <c:v>1216</c:v>
                </c:pt>
                <c:pt idx="170">
                  <c:v>#N/A</c:v>
                </c:pt>
                <c:pt idx="171">
                  <c:v>1239</c:v>
                </c:pt>
                <c:pt idx="172">
                  <c:v>1239</c:v>
                </c:pt>
                <c:pt idx="173">
                  <c:v>1250</c:v>
                </c:pt>
                <c:pt idx="174">
                  <c:v>1252</c:v>
                </c:pt>
                <c:pt idx="175">
                  <c:v>1252</c:v>
                </c:pt>
                <c:pt idx="176">
                  <c:v>1252</c:v>
                </c:pt>
                <c:pt idx="177">
                  <c:v>1271</c:v>
                </c:pt>
                <c:pt idx="178">
                  <c:v>1272</c:v>
                </c:pt>
                <c:pt idx="179">
                  <c:v>1272</c:v>
                </c:pt>
                <c:pt idx="180">
                  <c:v>1291</c:v>
                </c:pt>
                <c:pt idx="181">
                  <c:v>1292</c:v>
                </c:pt>
                <c:pt idx="182">
                  <c:v>1292</c:v>
                </c:pt>
                <c:pt idx="183">
                  <c:v>1310</c:v>
                </c:pt>
                <c:pt idx="184">
                  <c:v>1317</c:v>
                </c:pt>
                <c:pt idx="185">
                  <c:v>1325</c:v>
                </c:pt>
                <c:pt idx="186">
                  <c:v>1332</c:v>
                </c:pt>
                <c:pt idx="187">
                  <c:v>1339</c:v>
                </c:pt>
                <c:pt idx="188">
                  <c:v>1344</c:v>
                </c:pt>
                <c:pt idx="189">
                  <c:v>1349</c:v>
                </c:pt>
                <c:pt idx="190">
                  <c:v>1353</c:v>
                </c:pt>
                <c:pt idx="191">
                  <c:v>1353</c:v>
                </c:pt>
                <c:pt idx="192">
                  <c:v>#N/A</c:v>
                </c:pt>
                <c:pt idx="193">
                  <c:v>1358</c:v>
                </c:pt>
                <c:pt idx="194">
                  <c:v>1359</c:v>
                </c:pt>
                <c:pt idx="195">
                  <c:v>1360</c:v>
                </c:pt>
                <c:pt idx="196">
                  <c:v>#N/A</c:v>
                </c:pt>
                <c:pt idx="197">
                  <c:v>#N/A</c:v>
                </c:pt>
                <c:pt idx="198">
                  <c:v>#N/A</c:v>
                </c:pt>
                <c:pt idx="199">
                  <c:v>#N/A</c:v>
                </c:pt>
                <c:pt idx="200">
                  <c:v>1362</c:v>
                </c:pt>
                <c:pt idx="201">
                  <c:v>1364</c:v>
                </c:pt>
                <c:pt idx="202">
                  <c:v>1364</c:v>
                </c:pt>
                <c:pt idx="203">
                  <c:v>1367</c:v>
                </c:pt>
                <c:pt idx="204">
                  <c:v>1367</c:v>
                </c:pt>
                <c:pt idx="205">
                  <c:v>1375</c:v>
                </c:pt>
                <c:pt idx="206">
                  <c:v>1382</c:v>
                </c:pt>
                <c:pt idx="207">
                  <c:v>1390</c:v>
                </c:pt>
                <c:pt idx="208">
                  <c:v>1399</c:v>
                </c:pt>
                <c:pt idx="209">
                  <c:v>1410</c:v>
                </c:pt>
                <c:pt idx="210">
                  <c:v>1421</c:v>
                </c:pt>
                <c:pt idx="211">
                  <c:v>1433</c:v>
                </c:pt>
                <c:pt idx="212">
                  <c:v>1447</c:v>
                </c:pt>
                <c:pt idx="213">
                  <c:v>1459</c:v>
                </c:pt>
                <c:pt idx="214">
                  <c:v>1472</c:v>
                </c:pt>
                <c:pt idx="215">
                  <c:v>1486</c:v>
                </c:pt>
                <c:pt idx="216">
                  <c:v>1500</c:v>
                </c:pt>
                <c:pt idx="217">
                  <c:v>1515</c:v>
                </c:pt>
                <c:pt idx="218">
                  <c:v>1516</c:v>
                </c:pt>
                <c:pt idx="219">
                  <c:v>1516</c:v>
                </c:pt>
                <c:pt idx="220">
                  <c:v>1544</c:v>
                </c:pt>
                <c:pt idx="221">
                  <c:v>1544</c:v>
                </c:pt>
                <c:pt idx="222">
                  <c:v>1575</c:v>
                </c:pt>
                <c:pt idx="223">
                  <c:v>1577</c:v>
                </c:pt>
                <c:pt idx="224">
                  <c:v>1577</c:v>
                </c:pt>
                <c:pt idx="225">
                  <c:v>1607</c:v>
                </c:pt>
                <c:pt idx="226">
                  <c:v>1607</c:v>
                </c:pt>
                <c:pt idx="227">
                  <c:v>1623</c:v>
                </c:pt>
                <c:pt idx="228">
                  <c:v>1639</c:v>
                </c:pt>
                <c:pt idx="229">
                  <c:v>1655</c:v>
                </c:pt>
                <c:pt idx="230">
                  <c:v>1669</c:v>
                </c:pt>
                <c:pt idx="231">
                  <c:v>1685</c:v>
                </c:pt>
                <c:pt idx="232">
                  <c:v>1701</c:v>
                </c:pt>
                <c:pt idx="233">
                  <c:v>1711</c:v>
                </c:pt>
                <c:pt idx="234">
                  <c:v>1716</c:v>
                </c:pt>
                <c:pt idx="235">
                  <c:v>1716</c:v>
                </c:pt>
                <c:pt idx="236">
                  <c:v>1746</c:v>
                </c:pt>
                <c:pt idx="237">
                  <c:v>1762</c:v>
                </c:pt>
                <c:pt idx="238">
                  <c:v>1762</c:v>
                </c:pt>
                <c:pt idx="239">
                  <c:v>1763</c:v>
                </c:pt>
                <c:pt idx="240">
                  <c:v>1763</c:v>
                </c:pt>
                <c:pt idx="241">
                  <c:v>1792</c:v>
                </c:pt>
                <c:pt idx="242">
                  <c:v>1792</c:v>
                </c:pt>
                <c:pt idx="243">
                  <c:v>#N/A</c:v>
                </c:pt>
                <c:pt idx="244">
                  <c:v>1821</c:v>
                </c:pt>
                <c:pt idx="245">
                  <c:v>1833</c:v>
                </c:pt>
                <c:pt idx="246">
                  <c:v>1846</c:v>
                </c:pt>
                <c:pt idx="247">
                  <c:v>1859</c:v>
                </c:pt>
                <c:pt idx="248">
                  <c:v>1872</c:v>
                </c:pt>
                <c:pt idx="249">
                  <c:v>1883</c:v>
                </c:pt>
                <c:pt idx="250">
                  <c:v>1895</c:v>
                </c:pt>
                <c:pt idx="251">
                  <c:v>1907</c:v>
                </c:pt>
                <c:pt idx="252">
                  <c:v>1917</c:v>
                </c:pt>
                <c:pt idx="253">
                  <c:v>1927</c:v>
                </c:pt>
                <c:pt idx="254">
                  <c:v>1938</c:v>
                </c:pt>
                <c:pt idx="255">
                  <c:v>1946</c:v>
                </c:pt>
                <c:pt idx="256">
                  <c:v>1954</c:v>
                </c:pt>
                <c:pt idx="257">
                  <c:v>1954</c:v>
                </c:pt>
                <c:pt idx="258">
                  <c:v>1962</c:v>
                </c:pt>
                <c:pt idx="259">
                  <c:v>1962</c:v>
                </c:pt>
                <c:pt idx="260">
                  <c:v>1968</c:v>
                </c:pt>
                <c:pt idx="261">
                  <c:v>1973</c:v>
                </c:pt>
                <c:pt idx="262">
                  <c:v>1978</c:v>
                </c:pt>
                <c:pt idx="263">
                  <c:v>1982</c:v>
                </c:pt>
                <c:pt idx="264">
                  <c:v>1985</c:v>
                </c:pt>
                <c:pt idx="265">
                  <c:v>1987</c:v>
                </c:pt>
                <c:pt idx="266">
                  <c:v>1987</c:v>
                </c:pt>
                <c:pt idx="267">
                  <c:v>1990</c:v>
                </c:pt>
                <c:pt idx="268">
                  <c:v>1992</c:v>
                </c:pt>
                <c:pt idx="269">
                  <c:v>1992</c:v>
                </c:pt>
                <c:pt idx="270">
                  <c:v>#N/A</c:v>
                </c:pt>
                <c:pt idx="271">
                  <c:v>1995</c:v>
                </c:pt>
                <c:pt idx="272">
                  <c:v>1995</c:v>
                </c:pt>
                <c:pt idx="273">
                  <c:v>1998</c:v>
                </c:pt>
                <c:pt idx="274">
                  <c:v>2000</c:v>
                </c:pt>
                <c:pt idx="275">
                  <c:v>2001</c:v>
                </c:pt>
                <c:pt idx="276">
                  <c:v>2003</c:v>
                </c:pt>
                <c:pt idx="277">
                  <c:v>2004</c:v>
                </c:pt>
                <c:pt idx="278">
                  <c:v>2004</c:v>
                </c:pt>
                <c:pt idx="279">
                  <c:v>2005</c:v>
                </c:pt>
                <c:pt idx="280">
                  <c:v>2005</c:v>
                </c:pt>
                <c:pt idx="281">
                  <c:v>2005</c:v>
                </c:pt>
                <c:pt idx="282">
                  <c:v>2007</c:v>
                </c:pt>
                <c:pt idx="283">
                  <c:v>#N/A</c:v>
                </c:pt>
                <c:pt idx="284">
                  <c:v>#N/A</c:v>
                </c:pt>
                <c:pt idx="285">
                  <c:v>#N/A</c:v>
                </c:pt>
                <c:pt idx="286">
                  <c:v>#N/A</c:v>
                </c:pt>
                <c:pt idx="287">
                  <c:v>#N/A</c:v>
                </c:pt>
                <c:pt idx="288">
                  <c:v>2010</c:v>
                </c:pt>
                <c:pt idx="289">
                  <c:v>2013</c:v>
                </c:pt>
                <c:pt idx="290">
                  <c:v>2018</c:v>
                </c:pt>
                <c:pt idx="291">
                  <c:v>2024</c:v>
                </c:pt>
                <c:pt idx="292">
                  <c:v>2030</c:v>
                </c:pt>
                <c:pt idx="293">
                  <c:v>2030</c:v>
                </c:pt>
                <c:pt idx="294">
                  <c:v>2030</c:v>
                </c:pt>
                <c:pt idx="295">
                  <c:v>2039</c:v>
                </c:pt>
                <c:pt idx="296">
                  <c:v>2047</c:v>
                </c:pt>
                <c:pt idx="297">
                  <c:v>2059</c:v>
                </c:pt>
                <c:pt idx="298">
                  <c:v>2070</c:v>
                </c:pt>
                <c:pt idx="299">
                  <c:v>2080</c:v>
                </c:pt>
                <c:pt idx="300">
                  <c:v>2093</c:v>
                </c:pt>
                <c:pt idx="301">
                  <c:v>2105</c:v>
                </c:pt>
                <c:pt idx="302">
                  <c:v>2105</c:v>
                </c:pt>
                <c:pt idx="303">
                  <c:v>2132</c:v>
                </c:pt>
                <c:pt idx="304">
                  <c:v>2145</c:v>
                </c:pt>
                <c:pt idx="305">
                  <c:v>2160</c:v>
                </c:pt>
                <c:pt idx="306">
                  <c:v>2160</c:v>
                </c:pt>
                <c:pt idx="307">
                  <c:v>2176</c:v>
                </c:pt>
                <c:pt idx="308">
                  <c:v>2190</c:v>
                </c:pt>
                <c:pt idx="309">
                  <c:v>2204</c:v>
                </c:pt>
                <c:pt idx="310">
                  <c:v>2219</c:v>
                </c:pt>
                <c:pt idx="311">
                  <c:v>2234</c:v>
                </c:pt>
                <c:pt idx="312">
                  <c:v>2250</c:v>
                </c:pt>
                <c:pt idx="313">
                  <c:v>2263</c:v>
                </c:pt>
                <c:pt idx="314">
                  <c:v>2278</c:v>
                </c:pt>
                <c:pt idx="315">
                  <c:v>2280</c:v>
                </c:pt>
                <c:pt idx="316">
                  <c:v>2280</c:v>
                </c:pt>
                <c:pt idx="317">
                  <c:v>2295</c:v>
                </c:pt>
                <c:pt idx="318">
                  <c:v>2295</c:v>
                </c:pt>
                <c:pt idx="319">
                  <c:v>2318</c:v>
                </c:pt>
                <c:pt idx="320">
                  <c:v>2318</c:v>
                </c:pt>
                <c:pt idx="321">
                  <c:v>2325</c:v>
                </c:pt>
                <c:pt idx="322">
                  <c:v>2325</c:v>
                </c:pt>
                <c:pt idx="323">
                  <c:v>2354</c:v>
                </c:pt>
                <c:pt idx="324">
                  <c:v>2370</c:v>
                </c:pt>
                <c:pt idx="325">
                  <c:v>2384</c:v>
                </c:pt>
                <c:pt idx="326">
                  <c:v>2400</c:v>
                </c:pt>
                <c:pt idx="327">
                  <c:v>2413</c:v>
                </c:pt>
                <c:pt idx="328">
                  <c:v>2427</c:v>
                </c:pt>
                <c:pt idx="329">
                  <c:v>2434</c:v>
                </c:pt>
                <c:pt idx="330">
                  <c:v>2434</c:v>
                </c:pt>
                <c:pt idx="331">
                  <c:v>2434</c:v>
                </c:pt>
                <c:pt idx="332">
                  <c:v>2448</c:v>
                </c:pt>
                <c:pt idx="333">
                  <c:v>2448</c:v>
                </c:pt>
                <c:pt idx="334">
                  <c:v>2458</c:v>
                </c:pt>
                <c:pt idx="335">
                  <c:v>2458</c:v>
                </c:pt>
                <c:pt idx="336">
                  <c:v>2458</c:v>
                </c:pt>
                <c:pt idx="337">
                  <c:v>2494</c:v>
                </c:pt>
                <c:pt idx="338">
                  <c:v>2494</c:v>
                </c:pt>
                <c:pt idx="339">
                  <c:v>2506</c:v>
                </c:pt>
                <c:pt idx="340">
                  <c:v>2506</c:v>
                </c:pt>
                <c:pt idx="341">
                  <c:v>2515</c:v>
                </c:pt>
                <c:pt idx="342">
                  <c:v>2515</c:v>
                </c:pt>
                <c:pt idx="343">
                  <c:v>2542</c:v>
                </c:pt>
                <c:pt idx="344">
                  <c:v>2545</c:v>
                </c:pt>
                <c:pt idx="345">
                  <c:v>2545</c:v>
                </c:pt>
                <c:pt idx="346">
                  <c:v>2566</c:v>
                </c:pt>
                <c:pt idx="347">
                  <c:v>2568</c:v>
                </c:pt>
                <c:pt idx="348">
                  <c:v>2568</c:v>
                </c:pt>
                <c:pt idx="349">
                  <c:v>2593</c:v>
                </c:pt>
                <c:pt idx="350">
                  <c:v>2599</c:v>
                </c:pt>
                <c:pt idx="351">
                  <c:v>2599</c:v>
                </c:pt>
                <c:pt idx="352">
                  <c:v>2617</c:v>
                </c:pt>
                <c:pt idx="353">
                  <c:v>2619</c:v>
                </c:pt>
                <c:pt idx="354">
                  <c:v>2619</c:v>
                </c:pt>
                <c:pt idx="355">
                  <c:v>2632</c:v>
                </c:pt>
                <c:pt idx="356">
                  <c:v>2632</c:v>
                </c:pt>
                <c:pt idx="357">
                  <c:v>2645</c:v>
                </c:pt>
                <c:pt idx="358">
                  <c:v>2645</c:v>
                </c:pt>
                <c:pt idx="359">
                  <c:v>2667</c:v>
                </c:pt>
                <c:pt idx="360">
                  <c:v>#N/A</c:v>
                </c:pt>
                <c:pt idx="361">
                  <c:v>2689</c:v>
                </c:pt>
                <c:pt idx="362">
                  <c:v>2693</c:v>
                </c:pt>
                <c:pt idx="363">
                  <c:v>2693</c:v>
                </c:pt>
                <c:pt idx="364">
                  <c:v>2693</c:v>
                </c:pt>
                <c:pt idx="365">
                  <c:v>2693</c:v>
                </c:pt>
                <c:pt idx="366">
                  <c:v>#N/A</c:v>
                </c:pt>
                <c:pt idx="367">
                  <c:v>2719</c:v>
                </c:pt>
                <c:pt idx="368">
                  <c:v>2729</c:v>
                </c:pt>
                <c:pt idx="369">
                  <c:v>2740</c:v>
                </c:pt>
                <c:pt idx="370">
                  <c:v>2750</c:v>
                </c:pt>
                <c:pt idx="371">
                  <c:v>2761</c:v>
                </c:pt>
                <c:pt idx="372">
                  <c:v>2770</c:v>
                </c:pt>
                <c:pt idx="373">
                  <c:v>2781</c:v>
                </c:pt>
                <c:pt idx="374">
                  <c:v>2792</c:v>
                </c:pt>
                <c:pt idx="375">
                  <c:v>2792</c:v>
                </c:pt>
                <c:pt idx="376">
                  <c:v>2813</c:v>
                </c:pt>
                <c:pt idx="377">
                  <c:v>2824</c:v>
                </c:pt>
                <c:pt idx="378">
                  <c:v>2826</c:v>
                </c:pt>
                <c:pt idx="379">
                  <c:v>2826</c:v>
                </c:pt>
                <c:pt idx="380">
                  <c:v>2846</c:v>
                </c:pt>
                <c:pt idx="381">
                  <c:v>2847</c:v>
                </c:pt>
                <c:pt idx="382">
                  <c:v>2847</c:v>
                </c:pt>
                <c:pt idx="383">
                  <c:v>2858</c:v>
                </c:pt>
                <c:pt idx="384">
                  <c:v>2858</c:v>
                </c:pt>
                <c:pt idx="385">
                  <c:v>2868</c:v>
                </c:pt>
                <c:pt idx="386">
                  <c:v>2868</c:v>
                </c:pt>
                <c:pt idx="387">
                  <c:v>2889</c:v>
                </c:pt>
                <c:pt idx="388">
                  <c:v>2900</c:v>
                </c:pt>
                <c:pt idx="389">
                  <c:v>2904</c:v>
                </c:pt>
                <c:pt idx="390">
                  <c:v>2904</c:v>
                </c:pt>
                <c:pt idx="391">
                  <c:v>2904</c:v>
                </c:pt>
                <c:pt idx="392">
                  <c:v>2913</c:v>
                </c:pt>
                <c:pt idx="393">
                  <c:v>2913</c:v>
                </c:pt>
                <c:pt idx="394">
                  <c:v>2913</c:v>
                </c:pt>
                <c:pt idx="395">
                  <c:v>2930</c:v>
                </c:pt>
                <c:pt idx="396">
                  <c:v>2940</c:v>
                </c:pt>
                <c:pt idx="397">
                  <c:v>2949</c:v>
                </c:pt>
                <c:pt idx="398">
                  <c:v>2957</c:v>
                </c:pt>
                <c:pt idx="399">
                  <c:v>2965</c:v>
                </c:pt>
                <c:pt idx="400">
                  <c:v>2973</c:v>
                </c:pt>
                <c:pt idx="401">
                  <c:v>2973</c:v>
                </c:pt>
                <c:pt idx="402">
                  <c:v>2986</c:v>
                </c:pt>
                <c:pt idx="403">
                  <c:v>2992</c:v>
                </c:pt>
                <c:pt idx="404">
                  <c:v>2997</c:v>
                </c:pt>
                <c:pt idx="405">
                  <c:v>2997</c:v>
                </c:pt>
                <c:pt idx="406">
                  <c:v>2999</c:v>
                </c:pt>
                <c:pt idx="407">
                  <c:v>2999</c:v>
                </c:pt>
                <c:pt idx="408">
                  <c:v>3008</c:v>
                </c:pt>
                <c:pt idx="409">
                  <c:v>3013</c:v>
                </c:pt>
                <c:pt idx="410">
                  <c:v>3018</c:v>
                </c:pt>
                <c:pt idx="411">
                  <c:v>3019</c:v>
                </c:pt>
                <c:pt idx="412">
                  <c:v>3019</c:v>
                </c:pt>
                <c:pt idx="413">
                  <c:v>3030</c:v>
                </c:pt>
                <c:pt idx="414">
                  <c:v>3036</c:v>
                </c:pt>
                <c:pt idx="415">
                  <c:v>3042</c:v>
                </c:pt>
                <c:pt idx="416">
                  <c:v>3044</c:v>
                </c:pt>
                <c:pt idx="417">
                  <c:v>3044</c:v>
                </c:pt>
                <c:pt idx="418">
                  <c:v>3051</c:v>
                </c:pt>
                <c:pt idx="419">
                  <c:v>3051</c:v>
                </c:pt>
                <c:pt idx="420">
                  <c:v>3051</c:v>
                </c:pt>
                <c:pt idx="421">
                  <c:v>3065</c:v>
                </c:pt>
                <c:pt idx="422">
                  <c:v>3069</c:v>
                </c:pt>
                <c:pt idx="423">
                  <c:v>3072</c:v>
                </c:pt>
                <c:pt idx="424">
                  <c:v>3072</c:v>
                </c:pt>
                <c:pt idx="425">
                  <c:v>3072</c:v>
                </c:pt>
                <c:pt idx="426">
                  <c:v>3077</c:v>
                </c:pt>
                <c:pt idx="427">
                  <c:v>3077</c:v>
                </c:pt>
                <c:pt idx="428">
                  <c:v>3080</c:v>
                </c:pt>
                <c:pt idx="429">
                  <c:v>#N/A</c:v>
                </c:pt>
                <c:pt idx="430">
                  <c:v>#N/A</c:v>
                </c:pt>
                <c:pt idx="431">
                  <c:v>#N/A</c:v>
                </c:pt>
                <c:pt idx="432">
                  <c:v>3081</c:v>
                </c:pt>
                <c:pt idx="433">
                  <c:v>3081</c:v>
                </c:pt>
                <c:pt idx="434">
                  <c:v>#N/A</c:v>
                </c:pt>
                <c:pt idx="435">
                  <c:v>3084</c:v>
                </c:pt>
                <c:pt idx="436">
                  <c:v>3084</c:v>
                </c:pt>
                <c:pt idx="437">
                  <c:v>3090</c:v>
                </c:pt>
                <c:pt idx="438">
                  <c:v>3090</c:v>
                </c:pt>
                <c:pt idx="439">
                  <c:v>3093</c:v>
                </c:pt>
                <c:pt idx="440">
                  <c:v>3099</c:v>
                </c:pt>
                <c:pt idx="441">
                  <c:v>3106</c:v>
                </c:pt>
                <c:pt idx="442">
                  <c:v>3113</c:v>
                </c:pt>
                <c:pt idx="443">
                  <c:v>3121</c:v>
                </c:pt>
                <c:pt idx="444">
                  <c:v>3121</c:v>
                </c:pt>
                <c:pt idx="445">
                  <c:v>3132</c:v>
                </c:pt>
                <c:pt idx="446">
                  <c:v>3142</c:v>
                </c:pt>
                <c:pt idx="447">
                  <c:v>3149</c:v>
                </c:pt>
                <c:pt idx="448">
                  <c:v>3149</c:v>
                </c:pt>
                <c:pt idx="449">
                  <c:v>3159</c:v>
                </c:pt>
                <c:pt idx="450">
                  <c:v>3159</c:v>
                </c:pt>
                <c:pt idx="451">
                  <c:v>3169</c:v>
                </c:pt>
                <c:pt idx="452">
                  <c:v>3169</c:v>
                </c:pt>
                <c:pt idx="453">
                  <c:v>3186</c:v>
                </c:pt>
                <c:pt idx="454">
                  <c:v>3187</c:v>
                </c:pt>
                <c:pt idx="455">
                  <c:v>3187</c:v>
                </c:pt>
                <c:pt idx="456">
                  <c:v>3205</c:v>
                </c:pt>
                <c:pt idx="457">
                  <c:v>3205</c:v>
                </c:pt>
                <c:pt idx="458">
                  <c:v>3224</c:v>
                </c:pt>
                <c:pt idx="459">
                  <c:v>3224</c:v>
                </c:pt>
                <c:pt idx="460">
                  <c:v>3242</c:v>
                </c:pt>
                <c:pt idx="461">
                  <c:v>3252</c:v>
                </c:pt>
                <c:pt idx="462">
                  <c:v>3261</c:v>
                </c:pt>
                <c:pt idx="463">
                  <c:v>3271</c:v>
                </c:pt>
                <c:pt idx="464">
                  <c:v>3279</c:v>
                </c:pt>
                <c:pt idx="465">
                  <c:v>3288</c:v>
                </c:pt>
                <c:pt idx="466">
                  <c:v>3297</c:v>
                </c:pt>
                <c:pt idx="467">
                  <c:v>3306</c:v>
                </c:pt>
                <c:pt idx="468">
                  <c:v>3315</c:v>
                </c:pt>
                <c:pt idx="469">
                  <c:v>3324</c:v>
                </c:pt>
                <c:pt idx="470">
                  <c:v>3333</c:v>
                </c:pt>
                <c:pt idx="471">
                  <c:v>3342</c:v>
                </c:pt>
                <c:pt idx="472">
                  <c:v>3351</c:v>
                </c:pt>
                <c:pt idx="473">
                  <c:v>3360</c:v>
                </c:pt>
                <c:pt idx="474">
                  <c:v>3370</c:v>
                </c:pt>
                <c:pt idx="475">
                  <c:v>3379</c:v>
                </c:pt>
                <c:pt idx="476">
                  <c:v>3388</c:v>
                </c:pt>
                <c:pt idx="477">
                  <c:v>3388</c:v>
                </c:pt>
                <c:pt idx="478">
                  <c:v>3411</c:v>
                </c:pt>
                <c:pt idx="479">
                  <c:v>3420</c:v>
                </c:pt>
                <c:pt idx="480">
                  <c:v>3425</c:v>
                </c:pt>
                <c:pt idx="481">
                  <c:v>3425</c:v>
                </c:pt>
                <c:pt idx="482">
                  <c:v>3453</c:v>
                </c:pt>
                <c:pt idx="483">
                  <c:v>3453</c:v>
                </c:pt>
                <c:pt idx="484">
                  <c:v>3468</c:v>
                </c:pt>
                <c:pt idx="485">
                  <c:v>3482</c:v>
                </c:pt>
                <c:pt idx="486">
                  <c:v>3497</c:v>
                </c:pt>
                <c:pt idx="487">
                  <c:v>3504</c:v>
                </c:pt>
                <c:pt idx="488">
                  <c:v>3504</c:v>
                </c:pt>
                <c:pt idx="489">
                  <c:v>3527</c:v>
                </c:pt>
                <c:pt idx="490">
                  <c:v>3541</c:v>
                </c:pt>
                <c:pt idx="491">
                  <c:v>3545</c:v>
                </c:pt>
                <c:pt idx="492">
                  <c:v>3545</c:v>
                </c:pt>
                <c:pt idx="493">
                  <c:v>3545</c:v>
                </c:pt>
                <c:pt idx="494">
                  <c:v>3556</c:v>
                </c:pt>
                <c:pt idx="495">
                  <c:v>3556</c:v>
                </c:pt>
                <c:pt idx="496">
                  <c:v>3584</c:v>
                </c:pt>
                <c:pt idx="497">
                  <c:v>3598</c:v>
                </c:pt>
                <c:pt idx="498">
                  <c:v>3610</c:v>
                </c:pt>
                <c:pt idx="499">
                  <c:v>3610</c:v>
                </c:pt>
                <c:pt idx="500">
                  <c:v>#N/A</c:v>
                </c:pt>
                <c:pt idx="501">
                  <c:v>3635</c:v>
                </c:pt>
                <c:pt idx="502">
                  <c:v>3646</c:v>
                </c:pt>
                <c:pt idx="503">
                  <c:v>3646</c:v>
                </c:pt>
                <c:pt idx="504">
                  <c:v>3665</c:v>
                </c:pt>
                <c:pt idx="505">
                  <c:v>3665</c:v>
                </c:pt>
                <c:pt idx="506">
                  <c:v>3682</c:v>
                </c:pt>
                <c:pt idx="507">
                  <c:v>3689</c:v>
                </c:pt>
                <c:pt idx="508">
                  <c:v>3689</c:v>
                </c:pt>
                <c:pt idx="509">
                  <c:v>3696</c:v>
                </c:pt>
                <c:pt idx="510">
                  <c:v>3702</c:v>
                </c:pt>
                <c:pt idx="511">
                  <c:v>3708</c:v>
                </c:pt>
                <c:pt idx="512">
                  <c:v>3713</c:v>
                </c:pt>
                <c:pt idx="513">
                  <c:v>3713</c:v>
                </c:pt>
                <c:pt idx="514">
                  <c:v>3713</c:v>
                </c:pt>
                <c:pt idx="515">
                  <c:v>#N/A</c:v>
                </c:pt>
                <c:pt idx="516">
                  <c:v>3722</c:v>
                </c:pt>
                <c:pt idx="517">
                  <c:v>3725</c:v>
                </c:pt>
                <c:pt idx="518">
                  <c:v>3727</c:v>
                </c:pt>
                <c:pt idx="519">
                  <c:v>3729</c:v>
                </c:pt>
                <c:pt idx="520">
                  <c:v>3730</c:v>
                </c:pt>
                <c:pt idx="521">
                  <c:v>3730</c:v>
                </c:pt>
                <c:pt idx="522">
                  <c:v>3730</c:v>
                </c:pt>
                <c:pt idx="523">
                  <c:v>#N/A</c:v>
                </c:pt>
                <c:pt idx="524">
                  <c:v>3731</c:v>
                </c:pt>
                <c:pt idx="525">
                  <c:v>3731</c:v>
                </c:pt>
                <c:pt idx="526">
                  <c:v>#N/A</c:v>
                </c:pt>
                <c:pt idx="527">
                  <c:v>#N/A</c:v>
                </c:pt>
                <c:pt idx="528">
                  <c:v>3733</c:v>
                </c:pt>
                <c:pt idx="529">
                  <c:v>3733</c:v>
                </c:pt>
                <c:pt idx="530">
                  <c:v>#N/A</c:v>
                </c:pt>
                <c:pt idx="531">
                  <c:v>3741</c:v>
                </c:pt>
                <c:pt idx="532">
                  <c:v>3746</c:v>
                </c:pt>
                <c:pt idx="533">
                  <c:v>3747</c:v>
                </c:pt>
                <c:pt idx="534">
                  <c:v>3747</c:v>
                </c:pt>
                <c:pt idx="535">
                  <c:v>3747</c:v>
                </c:pt>
                <c:pt idx="536">
                  <c:v>3771</c:v>
                </c:pt>
                <c:pt idx="537">
                  <c:v>3781</c:v>
                </c:pt>
                <c:pt idx="538">
                  <c:v>3783</c:v>
                </c:pt>
                <c:pt idx="539">
                  <c:v>3783</c:v>
                </c:pt>
                <c:pt idx="540">
                  <c:v>3783</c:v>
                </c:pt>
                <c:pt idx="541">
                  <c:v>3806</c:v>
                </c:pt>
                <c:pt idx="542">
                  <c:v>3818</c:v>
                </c:pt>
                <c:pt idx="543">
                  <c:v>3832</c:v>
                </c:pt>
                <c:pt idx="544">
                  <c:v>3846</c:v>
                </c:pt>
                <c:pt idx="545">
                  <c:v>3846</c:v>
                </c:pt>
                <c:pt idx="546">
                  <c:v>3863</c:v>
                </c:pt>
                <c:pt idx="547">
                  <c:v>3878</c:v>
                </c:pt>
                <c:pt idx="548">
                  <c:v>3894</c:v>
                </c:pt>
                <c:pt idx="549">
                  <c:v>3909</c:v>
                </c:pt>
                <c:pt idx="550">
                  <c:v>3925</c:v>
                </c:pt>
                <c:pt idx="551">
                  <c:v>3925</c:v>
                </c:pt>
                <c:pt idx="552">
                  <c:v>3959</c:v>
                </c:pt>
                <c:pt idx="553">
                  <c:v>3975</c:v>
                </c:pt>
                <c:pt idx="554">
                  <c:v>3991</c:v>
                </c:pt>
                <c:pt idx="555">
                  <c:v>3996</c:v>
                </c:pt>
                <c:pt idx="556">
                  <c:v>3996</c:v>
                </c:pt>
                <c:pt idx="557">
                  <c:v>3996</c:v>
                </c:pt>
                <c:pt idx="558">
                  <c:v>4043</c:v>
                </c:pt>
                <c:pt idx="559">
                  <c:v>4047</c:v>
                </c:pt>
                <c:pt idx="560">
                  <c:v>4047</c:v>
                </c:pt>
                <c:pt idx="561">
                  <c:v>4047</c:v>
                </c:pt>
                <c:pt idx="562">
                  <c:v>4073</c:v>
                </c:pt>
                <c:pt idx="563">
                  <c:v>4090</c:v>
                </c:pt>
                <c:pt idx="564">
                  <c:v>4090</c:v>
                </c:pt>
                <c:pt idx="565">
                  <c:v>4119</c:v>
                </c:pt>
                <c:pt idx="566">
                  <c:v>4134</c:v>
                </c:pt>
                <c:pt idx="567">
                  <c:v>4147</c:v>
                </c:pt>
                <c:pt idx="568">
                  <c:v>4147</c:v>
                </c:pt>
                <c:pt idx="569">
                  <c:v>4162</c:v>
                </c:pt>
                <c:pt idx="570">
                  <c:v>4165</c:v>
                </c:pt>
                <c:pt idx="571">
                  <c:v>4165</c:v>
                </c:pt>
                <c:pt idx="572">
                  <c:v>4165</c:v>
                </c:pt>
                <c:pt idx="573">
                  <c:v>4187</c:v>
                </c:pt>
                <c:pt idx="574">
                  <c:v>4194</c:v>
                </c:pt>
                <c:pt idx="575">
                  <c:v>4194</c:v>
                </c:pt>
                <c:pt idx="576">
                  <c:v>4194</c:v>
                </c:pt>
                <c:pt idx="577">
                  <c:v>4214</c:v>
                </c:pt>
                <c:pt idx="578">
                  <c:v>4227</c:v>
                </c:pt>
                <c:pt idx="579">
                  <c:v>4242</c:v>
                </c:pt>
                <c:pt idx="580">
                  <c:v>4257</c:v>
                </c:pt>
                <c:pt idx="581">
                  <c:v>4272</c:v>
                </c:pt>
                <c:pt idx="582">
                  <c:v>4287</c:v>
                </c:pt>
                <c:pt idx="583">
                  <c:v>4303</c:v>
                </c:pt>
                <c:pt idx="584">
                  <c:v>4303</c:v>
                </c:pt>
                <c:pt idx="585">
                  <c:v>4321</c:v>
                </c:pt>
                <c:pt idx="586">
                  <c:v>4322</c:v>
                </c:pt>
                <c:pt idx="587">
                  <c:v>4322</c:v>
                </c:pt>
                <c:pt idx="588">
                  <c:v>4322</c:v>
                </c:pt>
                <c:pt idx="589">
                  <c:v>4357</c:v>
                </c:pt>
                <c:pt idx="590">
                  <c:v>4357</c:v>
                </c:pt>
                <c:pt idx="591">
                  <c:v>4374</c:v>
                </c:pt>
                <c:pt idx="592">
                  <c:v>4411</c:v>
                </c:pt>
                <c:pt idx="593">
                  <c:v>4428</c:v>
                </c:pt>
                <c:pt idx="594">
                  <c:v>4446</c:v>
                </c:pt>
                <c:pt idx="595">
                  <c:v>4464</c:v>
                </c:pt>
                <c:pt idx="596">
                  <c:v>4482</c:v>
                </c:pt>
                <c:pt idx="597">
                  <c:v>4501</c:v>
                </c:pt>
                <c:pt idx="598">
                  <c:v>4518</c:v>
                </c:pt>
                <c:pt idx="599">
                  <c:v>4535</c:v>
                </c:pt>
                <c:pt idx="600">
                  <c:v>4554</c:v>
                </c:pt>
                <c:pt idx="601">
                  <c:v>4571</c:v>
                </c:pt>
                <c:pt idx="602">
                  <c:v>4591</c:v>
                </c:pt>
                <c:pt idx="603">
                  <c:v>4608</c:v>
                </c:pt>
                <c:pt idx="604">
                  <c:v>4626</c:v>
                </c:pt>
                <c:pt idx="605">
                  <c:v>4626</c:v>
                </c:pt>
                <c:pt idx="606">
                  <c:v>4646</c:v>
                </c:pt>
                <c:pt idx="607">
                  <c:v>4663</c:v>
                </c:pt>
                <c:pt idx="608">
                  <c:v>4682</c:v>
                </c:pt>
                <c:pt idx="609">
                  <c:v>#N/A</c:v>
                </c:pt>
                <c:pt idx="610">
                  <c:v>4717</c:v>
                </c:pt>
                <c:pt idx="611">
                  <c:v>4717</c:v>
                </c:pt>
                <c:pt idx="612">
                  <c:v>4723</c:v>
                </c:pt>
                <c:pt idx="613">
                  <c:v>4723</c:v>
                </c:pt>
                <c:pt idx="614">
                  <c:v>4754</c:v>
                </c:pt>
                <c:pt idx="615">
                  <c:v>4771</c:v>
                </c:pt>
                <c:pt idx="616">
                  <c:v>4789</c:v>
                </c:pt>
                <c:pt idx="617">
                  <c:v>4789</c:v>
                </c:pt>
                <c:pt idx="618">
                  <c:v>4821</c:v>
                </c:pt>
                <c:pt idx="619">
                  <c:v>4821</c:v>
                </c:pt>
                <c:pt idx="620">
                  <c:v>4839</c:v>
                </c:pt>
                <c:pt idx="621">
                  <c:v>4854</c:v>
                </c:pt>
                <c:pt idx="622">
                  <c:v>4870</c:v>
                </c:pt>
                <c:pt idx="623">
                  <c:v>4885</c:v>
                </c:pt>
                <c:pt idx="624">
                  <c:v>4899</c:v>
                </c:pt>
                <c:pt idx="625">
                  <c:v>4912</c:v>
                </c:pt>
                <c:pt idx="626">
                  <c:v>4912</c:v>
                </c:pt>
                <c:pt idx="627">
                  <c:v>4925</c:v>
                </c:pt>
                <c:pt idx="628">
                  <c:v>4938</c:v>
                </c:pt>
                <c:pt idx="629">
                  <c:v>4951</c:v>
                </c:pt>
                <c:pt idx="630">
                  <c:v>4962</c:v>
                </c:pt>
                <c:pt idx="631">
                  <c:v>4965</c:v>
                </c:pt>
                <c:pt idx="632">
                  <c:v>4965</c:v>
                </c:pt>
                <c:pt idx="633">
                  <c:v>4965</c:v>
                </c:pt>
                <c:pt idx="634">
                  <c:v>4986</c:v>
                </c:pt>
                <c:pt idx="635">
                  <c:v>4996</c:v>
                </c:pt>
                <c:pt idx="636">
                  <c:v>5007</c:v>
                </c:pt>
                <c:pt idx="637">
                  <c:v>5010</c:v>
                </c:pt>
                <c:pt idx="638">
                  <c:v>5010</c:v>
                </c:pt>
                <c:pt idx="639">
                  <c:v>5010</c:v>
                </c:pt>
                <c:pt idx="640">
                  <c:v>5026</c:v>
                </c:pt>
                <c:pt idx="641">
                  <c:v>5036</c:v>
                </c:pt>
                <c:pt idx="642">
                  <c:v>5044</c:v>
                </c:pt>
                <c:pt idx="643">
                  <c:v>5051</c:v>
                </c:pt>
                <c:pt idx="644">
                  <c:v>5051</c:v>
                </c:pt>
                <c:pt idx="645">
                  <c:v>5064</c:v>
                </c:pt>
                <c:pt idx="646">
                  <c:v>5069</c:v>
                </c:pt>
                <c:pt idx="647">
                  <c:v>5072</c:v>
                </c:pt>
                <c:pt idx="648">
                  <c:v>5072</c:v>
                </c:pt>
                <c:pt idx="649">
                  <c:v>5075</c:v>
                </c:pt>
                <c:pt idx="650">
                  <c:v>5076</c:v>
                </c:pt>
                <c:pt idx="651">
                  <c:v>5077</c:v>
                </c:pt>
                <c:pt idx="652">
                  <c:v>5078</c:v>
                </c:pt>
                <c:pt idx="653">
                  <c:v>#N/A</c:v>
                </c:pt>
                <c:pt idx="654">
                  <c:v>#N/A</c:v>
                </c:pt>
                <c:pt idx="655">
                  <c:v>#N/A</c:v>
                </c:pt>
                <c:pt idx="656">
                  <c:v>#N/A</c:v>
                </c:pt>
                <c:pt idx="657">
                  <c:v>#N/A</c:v>
                </c:pt>
                <c:pt idx="658">
                  <c:v>#N/A</c:v>
                </c:pt>
                <c:pt idx="659">
                  <c:v>5080</c:v>
                </c:pt>
                <c:pt idx="660">
                  <c:v>5084</c:v>
                </c:pt>
                <c:pt idx="661">
                  <c:v>5084</c:v>
                </c:pt>
                <c:pt idx="662">
                  <c:v>5088</c:v>
                </c:pt>
                <c:pt idx="663">
                  <c:v>5094</c:v>
                </c:pt>
                <c:pt idx="664">
                  <c:v>5094</c:v>
                </c:pt>
                <c:pt idx="665">
                  <c:v>5101</c:v>
                </c:pt>
                <c:pt idx="666">
                  <c:v>5110</c:v>
                </c:pt>
                <c:pt idx="667">
                  <c:v>5119</c:v>
                </c:pt>
                <c:pt idx="668">
                  <c:v>5127</c:v>
                </c:pt>
                <c:pt idx="669">
                  <c:v>5138</c:v>
                </c:pt>
                <c:pt idx="670">
                  <c:v>5141</c:v>
                </c:pt>
                <c:pt idx="671">
                  <c:v>5141</c:v>
                </c:pt>
                <c:pt idx="672">
                  <c:v>5154</c:v>
                </c:pt>
                <c:pt idx="673">
                  <c:v>5154</c:v>
                </c:pt>
                <c:pt idx="674">
                  <c:v>5168</c:v>
                </c:pt>
                <c:pt idx="675">
                  <c:v>#N/A</c:v>
                </c:pt>
                <c:pt idx="676">
                  <c:v>5181</c:v>
                </c:pt>
                <c:pt idx="677">
                  <c:v>5181</c:v>
                </c:pt>
                <c:pt idx="678">
                  <c:v>5198</c:v>
                </c:pt>
                <c:pt idx="679">
                  <c:v>5205</c:v>
                </c:pt>
                <c:pt idx="680">
                  <c:v>5214</c:v>
                </c:pt>
                <c:pt idx="681">
                  <c:v>5222</c:v>
                </c:pt>
                <c:pt idx="682">
                  <c:v>5230</c:v>
                </c:pt>
                <c:pt idx="683">
                  <c:v>5237</c:v>
                </c:pt>
                <c:pt idx="684">
                  <c:v>5243</c:v>
                </c:pt>
                <c:pt idx="685">
                  <c:v>5243</c:v>
                </c:pt>
                <c:pt idx="686">
                  <c:v>5249</c:v>
                </c:pt>
                <c:pt idx="687">
                  <c:v>5250</c:v>
                </c:pt>
                <c:pt idx="688">
                  <c:v>5250</c:v>
                </c:pt>
                <c:pt idx="689">
                  <c:v>5250</c:v>
                </c:pt>
                <c:pt idx="690">
                  <c:v>5265</c:v>
                </c:pt>
                <c:pt idx="691">
                  <c:v>5270</c:v>
                </c:pt>
                <c:pt idx="692">
                  <c:v>5275</c:v>
                </c:pt>
                <c:pt idx="693">
                  <c:v>5281</c:v>
                </c:pt>
                <c:pt idx="694">
                  <c:v>5286</c:v>
                </c:pt>
                <c:pt idx="695">
                  <c:v>5291</c:v>
                </c:pt>
                <c:pt idx="696">
                  <c:v>5296</c:v>
                </c:pt>
                <c:pt idx="697">
                  <c:v>5301</c:v>
                </c:pt>
                <c:pt idx="698">
                  <c:v>5306</c:v>
                </c:pt>
                <c:pt idx="699">
                  <c:v>5311</c:v>
                </c:pt>
                <c:pt idx="700">
                  <c:v>5316</c:v>
                </c:pt>
                <c:pt idx="701">
                  <c:v>5326</c:v>
                </c:pt>
                <c:pt idx="702">
                  <c:v>5331</c:v>
                </c:pt>
                <c:pt idx="703">
                  <c:v>#N/A</c:v>
                </c:pt>
                <c:pt idx="704">
                  <c:v>5342</c:v>
                </c:pt>
                <c:pt idx="705">
                  <c:v>5342</c:v>
                </c:pt>
                <c:pt idx="706">
                  <c:v>5353</c:v>
                </c:pt>
                <c:pt idx="707">
                  <c:v>5358</c:v>
                </c:pt>
                <c:pt idx="708">
                  <c:v>5358</c:v>
                </c:pt>
                <c:pt idx="709">
                  <c:v>5378</c:v>
                </c:pt>
                <c:pt idx="710">
                  <c:v>5378</c:v>
                </c:pt>
                <c:pt idx="711">
                  <c:v>5386</c:v>
                </c:pt>
                <c:pt idx="712">
                  <c:v>5394</c:v>
                </c:pt>
                <c:pt idx="713">
                  <c:v>5403</c:v>
                </c:pt>
                <c:pt idx="714">
                  <c:v>5404</c:v>
                </c:pt>
                <c:pt idx="715">
                  <c:v>5404</c:v>
                </c:pt>
                <c:pt idx="716">
                  <c:v>5419</c:v>
                </c:pt>
                <c:pt idx="717">
                  <c:v>5419</c:v>
                </c:pt>
                <c:pt idx="718">
                  <c:v>5419</c:v>
                </c:pt>
                <c:pt idx="719">
                  <c:v>5443</c:v>
                </c:pt>
                <c:pt idx="720">
                  <c:v>5446</c:v>
                </c:pt>
                <c:pt idx="721">
                  <c:v>5446</c:v>
                </c:pt>
                <c:pt idx="722">
                  <c:v>5446</c:v>
                </c:pt>
                <c:pt idx="723">
                  <c:v>5474</c:v>
                </c:pt>
                <c:pt idx="724">
                  <c:v>5484</c:v>
                </c:pt>
                <c:pt idx="725">
                  <c:v>5489</c:v>
                </c:pt>
                <c:pt idx="726">
                  <c:v>5489</c:v>
                </c:pt>
                <c:pt idx="727">
                  <c:v>5503</c:v>
                </c:pt>
                <c:pt idx="728">
                  <c:v>5513</c:v>
                </c:pt>
                <c:pt idx="729">
                  <c:v>5522</c:v>
                </c:pt>
                <c:pt idx="730">
                  <c:v>5523</c:v>
                </c:pt>
                <c:pt idx="731">
                  <c:v>5523</c:v>
                </c:pt>
                <c:pt idx="732">
                  <c:v>#N/A</c:v>
                </c:pt>
                <c:pt idx="733">
                  <c:v>5555</c:v>
                </c:pt>
                <c:pt idx="734">
                  <c:v>5567</c:v>
                </c:pt>
                <c:pt idx="735">
                  <c:v>5567</c:v>
                </c:pt>
                <c:pt idx="736">
                  <c:v>5580</c:v>
                </c:pt>
                <c:pt idx="737">
                  <c:v>5596</c:v>
                </c:pt>
                <c:pt idx="738">
                  <c:v>5610</c:v>
                </c:pt>
                <c:pt idx="739">
                  <c:v>5610</c:v>
                </c:pt>
                <c:pt idx="740">
                  <c:v>5625</c:v>
                </c:pt>
                <c:pt idx="741">
                  <c:v>5642</c:v>
                </c:pt>
                <c:pt idx="742">
                  <c:v>5642</c:v>
                </c:pt>
                <c:pt idx="743">
                  <c:v>5659</c:v>
                </c:pt>
                <c:pt idx="744">
                  <c:v>5675</c:v>
                </c:pt>
                <c:pt idx="745">
                  <c:v>5691</c:v>
                </c:pt>
                <c:pt idx="746">
                  <c:v>5692</c:v>
                </c:pt>
                <c:pt idx="747">
                  <c:v>5692</c:v>
                </c:pt>
                <c:pt idx="748">
                  <c:v>5722</c:v>
                </c:pt>
                <c:pt idx="749">
                  <c:v>5723</c:v>
                </c:pt>
                <c:pt idx="750">
                  <c:v>5723</c:v>
                </c:pt>
                <c:pt idx="751">
                  <c:v>5771</c:v>
                </c:pt>
                <c:pt idx="752">
                  <c:v>5785</c:v>
                </c:pt>
                <c:pt idx="753">
                  <c:v>5793</c:v>
                </c:pt>
                <c:pt idx="754">
                  <c:v>5793</c:v>
                </c:pt>
                <c:pt idx="755">
                  <c:v>5793</c:v>
                </c:pt>
                <c:pt idx="756">
                  <c:v>5816</c:v>
                </c:pt>
                <c:pt idx="757">
                  <c:v>5817</c:v>
                </c:pt>
                <c:pt idx="758">
                  <c:v>5817</c:v>
                </c:pt>
                <c:pt idx="759">
                  <c:v>5846</c:v>
                </c:pt>
                <c:pt idx="760">
                  <c:v>5851</c:v>
                </c:pt>
                <c:pt idx="761">
                  <c:v>5851</c:v>
                </c:pt>
                <c:pt idx="762">
                  <c:v>5860</c:v>
                </c:pt>
                <c:pt idx="763">
                  <c:v>5860</c:v>
                </c:pt>
                <c:pt idx="764">
                  <c:v>5884</c:v>
                </c:pt>
                <c:pt idx="765">
                  <c:v>5895</c:v>
                </c:pt>
                <c:pt idx="766">
                  <c:v>5906</c:v>
                </c:pt>
                <c:pt idx="767">
                  <c:v>5916</c:v>
                </c:pt>
                <c:pt idx="768">
                  <c:v>5925</c:v>
                </c:pt>
                <c:pt idx="769">
                  <c:v>5933</c:v>
                </c:pt>
                <c:pt idx="770">
                  <c:v>5940</c:v>
                </c:pt>
                <c:pt idx="771">
                  <c:v>5946</c:v>
                </c:pt>
                <c:pt idx="772">
                  <c:v>5953</c:v>
                </c:pt>
                <c:pt idx="773">
                  <c:v>5958</c:v>
                </c:pt>
                <c:pt idx="774">
                  <c:v>5962</c:v>
                </c:pt>
                <c:pt idx="775">
                  <c:v>5965</c:v>
                </c:pt>
                <c:pt idx="776">
                  <c:v>5967</c:v>
                </c:pt>
                <c:pt idx="777">
                  <c:v>5969</c:v>
                </c:pt>
                <c:pt idx="778">
                  <c:v>5969</c:v>
                </c:pt>
                <c:pt idx="779">
                  <c:v>#N/A</c:v>
                </c:pt>
                <c:pt idx="780">
                  <c:v>#N/A</c:v>
                </c:pt>
                <c:pt idx="781">
                  <c:v>#N/A</c:v>
                </c:pt>
                <c:pt idx="782">
                  <c:v>#N/A</c:v>
                </c:pt>
                <c:pt idx="783">
                  <c:v>#N/A</c:v>
                </c:pt>
                <c:pt idx="784">
                  <c:v>5971</c:v>
                </c:pt>
                <c:pt idx="785">
                  <c:v>5971</c:v>
                </c:pt>
                <c:pt idx="786">
                  <c:v>5971</c:v>
                </c:pt>
                <c:pt idx="787">
                  <c:v>5975</c:v>
                </c:pt>
                <c:pt idx="788">
                  <c:v>#N/A</c:v>
                </c:pt>
                <c:pt idx="789">
                  <c:v>#N/A</c:v>
                </c:pt>
                <c:pt idx="790">
                  <c:v>5982</c:v>
                </c:pt>
                <c:pt idx="791">
                  <c:v>5985</c:v>
                </c:pt>
                <c:pt idx="792">
                  <c:v>5988</c:v>
                </c:pt>
                <c:pt idx="793">
                  <c:v>5992</c:v>
                </c:pt>
                <c:pt idx="794">
                  <c:v>5995</c:v>
                </c:pt>
                <c:pt idx="795">
                  <c:v>5999</c:v>
                </c:pt>
                <c:pt idx="796">
                  <c:v>6002</c:v>
                </c:pt>
                <c:pt idx="797">
                  <c:v>6005</c:v>
                </c:pt>
                <c:pt idx="798">
                  <c:v>6005</c:v>
                </c:pt>
                <c:pt idx="799">
                  <c:v>6008</c:v>
                </c:pt>
                <c:pt idx="800">
                  <c:v>6011</c:v>
                </c:pt>
                <c:pt idx="801">
                  <c:v>6014</c:v>
                </c:pt>
                <c:pt idx="802">
                  <c:v>6019</c:v>
                </c:pt>
                <c:pt idx="803">
                  <c:v>6023</c:v>
                </c:pt>
                <c:pt idx="804">
                  <c:v>6025</c:v>
                </c:pt>
                <c:pt idx="805">
                  <c:v>6025</c:v>
                </c:pt>
                <c:pt idx="806">
                  <c:v>6035</c:v>
                </c:pt>
                <c:pt idx="807">
                  <c:v>6035</c:v>
                </c:pt>
                <c:pt idx="808">
                  <c:v>6043</c:v>
                </c:pt>
                <c:pt idx="809">
                  <c:v>6049</c:v>
                </c:pt>
                <c:pt idx="810">
                  <c:v>6057</c:v>
                </c:pt>
                <c:pt idx="811">
                  <c:v>6065</c:v>
                </c:pt>
                <c:pt idx="812">
                  <c:v>#N/A</c:v>
                </c:pt>
                <c:pt idx="813">
                  <c:v>6081</c:v>
                </c:pt>
                <c:pt idx="814">
                  <c:v>6090</c:v>
                </c:pt>
                <c:pt idx="815">
                  <c:v>6100</c:v>
                </c:pt>
                <c:pt idx="816">
                  <c:v>6109</c:v>
                </c:pt>
                <c:pt idx="817">
                  <c:v>6121</c:v>
                </c:pt>
                <c:pt idx="818">
                  <c:v>6130</c:v>
                </c:pt>
                <c:pt idx="819">
                  <c:v>6142</c:v>
                </c:pt>
                <c:pt idx="820">
                  <c:v>6142</c:v>
                </c:pt>
                <c:pt idx="821">
                  <c:v>6165</c:v>
                </c:pt>
                <c:pt idx="822">
                  <c:v>6177</c:v>
                </c:pt>
                <c:pt idx="823">
                  <c:v>6189</c:v>
                </c:pt>
                <c:pt idx="824">
                  <c:v>6190</c:v>
                </c:pt>
                <c:pt idx="825">
                  <c:v>6190</c:v>
                </c:pt>
                <c:pt idx="826">
                  <c:v>6190</c:v>
                </c:pt>
                <c:pt idx="827">
                  <c:v>6216</c:v>
                </c:pt>
                <c:pt idx="828">
                  <c:v>6227</c:v>
                </c:pt>
                <c:pt idx="829">
                  <c:v>6228</c:v>
                </c:pt>
                <c:pt idx="830">
                  <c:v>6228</c:v>
                </c:pt>
                <c:pt idx="831">
                  <c:v>6252</c:v>
                </c:pt>
                <c:pt idx="832">
                  <c:v>6265</c:v>
                </c:pt>
                <c:pt idx="833">
                  <c:v>6279</c:v>
                </c:pt>
                <c:pt idx="834">
                  <c:v>6290</c:v>
                </c:pt>
                <c:pt idx="835">
                  <c:v>6291</c:v>
                </c:pt>
                <c:pt idx="836">
                  <c:v>6291</c:v>
                </c:pt>
                <c:pt idx="837">
                  <c:v>6310</c:v>
                </c:pt>
                <c:pt idx="838">
                  <c:v>6310</c:v>
                </c:pt>
                <c:pt idx="839">
                  <c:v>6310</c:v>
                </c:pt>
                <c:pt idx="840">
                  <c:v>6321</c:v>
                </c:pt>
                <c:pt idx="841">
                  <c:v>6321</c:v>
                </c:pt>
                <c:pt idx="842">
                  <c:v>6321</c:v>
                </c:pt>
                <c:pt idx="843">
                  <c:v>6341</c:v>
                </c:pt>
                <c:pt idx="844">
                  <c:v>6352</c:v>
                </c:pt>
                <c:pt idx="845">
                  <c:v>6364</c:v>
                </c:pt>
                <c:pt idx="846">
                  <c:v>6364</c:v>
                </c:pt>
                <c:pt idx="847">
                  <c:v>6375</c:v>
                </c:pt>
                <c:pt idx="848">
                  <c:v>6376</c:v>
                </c:pt>
                <c:pt idx="849">
                  <c:v>6376</c:v>
                </c:pt>
                <c:pt idx="850">
                  <c:v>#N/A</c:v>
                </c:pt>
                <c:pt idx="851">
                  <c:v>6408</c:v>
                </c:pt>
                <c:pt idx="852">
                  <c:v>6417</c:v>
                </c:pt>
                <c:pt idx="853">
                  <c:v>6427</c:v>
                </c:pt>
                <c:pt idx="854">
                  <c:v>6436</c:v>
                </c:pt>
                <c:pt idx="855">
                  <c:v>6445</c:v>
                </c:pt>
                <c:pt idx="856">
                  <c:v>6454</c:v>
                </c:pt>
                <c:pt idx="857">
                  <c:v>6461</c:v>
                </c:pt>
                <c:pt idx="858">
                  <c:v>6469</c:v>
                </c:pt>
                <c:pt idx="859">
                  <c:v>6469</c:v>
                </c:pt>
                <c:pt idx="860">
                  <c:v>6475</c:v>
                </c:pt>
                <c:pt idx="861">
                  <c:v>6482</c:v>
                </c:pt>
                <c:pt idx="862">
                  <c:v>6487</c:v>
                </c:pt>
                <c:pt idx="863">
                  <c:v>6492</c:v>
                </c:pt>
                <c:pt idx="864">
                  <c:v>6494</c:v>
                </c:pt>
                <c:pt idx="865">
                  <c:v>6494</c:v>
                </c:pt>
                <c:pt idx="866">
                  <c:v>6497</c:v>
                </c:pt>
                <c:pt idx="867">
                  <c:v>6497</c:v>
                </c:pt>
                <c:pt idx="868">
                  <c:v>6500</c:v>
                </c:pt>
                <c:pt idx="869">
                  <c:v>6500</c:v>
                </c:pt>
                <c:pt idx="870">
                  <c:v>6506</c:v>
                </c:pt>
                <c:pt idx="871">
                  <c:v>6510</c:v>
                </c:pt>
                <c:pt idx="872">
                  <c:v>6513</c:v>
                </c:pt>
                <c:pt idx="873">
                  <c:v>6513</c:v>
                </c:pt>
                <c:pt idx="874">
                  <c:v>6518</c:v>
                </c:pt>
                <c:pt idx="875">
                  <c:v>6518</c:v>
                </c:pt>
                <c:pt idx="876">
                  <c:v>6526</c:v>
                </c:pt>
                <c:pt idx="877">
                  <c:v>6529</c:v>
                </c:pt>
                <c:pt idx="878">
                  <c:v>6529</c:v>
                </c:pt>
                <c:pt idx="879">
                  <c:v>6534</c:v>
                </c:pt>
                <c:pt idx="880">
                  <c:v>6534</c:v>
                </c:pt>
                <c:pt idx="881">
                  <c:v>6538</c:v>
                </c:pt>
                <c:pt idx="882">
                  <c:v>6538</c:v>
                </c:pt>
                <c:pt idx="883">
                  <c:v>6538</c:v>
                </c:pt>
                <c:pt idx="884">
                  <c:v>6545</c:v>
                </c:pt>
                <c:pt idx="885">
                  <c:v>6549</c:v>
                </c:pt>
                <c:pt idx="886">
                  <c:v>6553</c:v>
                </c:pt>
                <c:pt idx="887">
                  <c:v>6553</c:v>
                </c:pt>
                <c:pt idx="888">
                  <c:v>6556</c:v>
                </c:pt>
                <c:pt idx="889">
                  <c:v>6559</c:v>
                </c:pt>
                <c:pt idx="890">
                  <c:v>6562</c:v>
                </c:pt>
                <c:pt idx="891">
                  <c:v>6562</c:v>
                </c:pt>
                <c:pt idx="892">
                  <c:v>#N/A</c:v>
                </c:pt>
                <c:pt idx="893">
                  <c:v>6570</c:v>
                </c:pt>
                <c:pt idx="894">
                  <c:v>6573</c:v>
                </c:pt>
                <c:pt idx="895">
                  <c:v>6573</c:v>
                </c:pt>
                <c:pt idx="896">
                  <c:v>6578</c:v>
                </c:pt>
                <c:pt idx="897">
                  <c:v>6582</c:v>
                </c:pt>
                <c:pt idx="898">
                  <c:v>6586</c:v>
                </c:pt>
                <c:pt idx="899">
                  <c:v>6590</c:v>
                </c:pt>
                <c:pt idx="900">
                  <c:v>6590</c:v>
                </c:pt>
                <c:pt idx="901">
                  <c:v>6591</c:v>
                </c:pt>
                <c:pt idx="902">
                  <c:v>6591</c:v>
                </c:pt>
                <c:pt idx="903">
                  <c:v>6591</c:v>
                </c:pt>
                <c:pt idx="904">
                  <c:v>#N/A</c:v>
                </c:pt>
                <c:pt idx="905">
                  <c:v>#N/A</c:v>
                </c:pt>
                <c:pt idx="906">
                  <c:v>6602</c:v>
                </c:pt>
                <c:pt idx="907">
                  <c:v>6602</c:v>
                </c:pt>
                <c:pt idx="908">
                  <c:v>6606</c:v>
                </c:pt>
                <c:pt idx="909">
                  <c:v>6611</c:v>
                </c:pt>
                <c:pt idx="910">
                  <c:v>6616</c:v>
                </c:pt>
                <c:pt idx="911">
                  <c:v>6621</c:v>
                </c:pt>
                <c:pt idx="912">
                  <c:v>6626</c:v>
                </c:pt>
                <c:pt idx="913">
                  <c:v>6626</c:v>
                </c:pt>
                <c:pt idx="914">
                  <c:v>6632</c:v>
                </c:pt>
                <c:pt idx="915">
                  <c:v>6637</c:v>
                </c:pt>
                <c:pt idx="916">
                  <c:v>6637</c:v>
                </c:pt>
                <c:pt idx="917">
                  <c:v>6643</c:v>
                </c:pt>
                <c:pt idx="918">
                  <c:v>6648</c:v>
                </c:pt>
                <c:pt idx="919">
                  <c:v>6648</c:v>
                </c:pt>
                <c:pt idx="920">
                  <c:v>6654</c:v>
                </c:pt>
                <c:pt idx="921">
                  <c:v>6654</c:v>
                </c:pt>
                <c:pt idx="922">
                  <c:v>6660</c:v>
                </c:pt>
                <c:pt idx="923">
                  <c:v>6665</c:v>
                </c:pt>
                <c:pt idx="924">
                  <c:v>6670</c:v>
                </c:pt>
                <c:pt idx="925">
                  <c:v>6676</c:v>
                </c:pt>
                <c:pt idx="926">
                  <c:v>6681</c:v>
                </c:pt>
                <c:pt idx="927">
                  <c:v>6687</c:v>
                </c:pt>
                <c:pt idx="928">
                  <c:v>6693</c:v>
                </c:pt>
                <c:pt idx="929">
                  <c:v>6698</c:v>
                </c:pt>
                <c:pt idx="930">
                  <c:v>6698</c:v>
                </c:pt>
                <c:pt idx="931">
                  <c:v>6698</c:v>
                </c:pt>
                <c:pt idx="932">
                  <c:v>6709</c:v>
                </c:pt>
                <c:pt idx="933">
                  <c:v>6715</c:v>
                </c:pt>
                <c:pt idx="934">
                  <c:v>6715</c:v>
                </c:pt>
                <c:pt idx="935">
                  <c:v>6722</c:v>
                </c:pt>
                <c:pt idx="936">
                  <c:v>6728</c:v>
                </c:pt>
                <c:pt idx="937">
                  <c:v>6729</c:v>
                </c:pt>
                <c:pt idx="938">
                  <c:v>6729</c:v>
                </c:pt>
                <c:pt idx="939">
                  <c:v>6739</c:v>
                </c:pt>
                <c:pt idx="940">
                  <c:v>6740</c:v>
                </c:pt>
                <c:pt idx="941">
                  <c:v>6740</c:v>
                </c:pt>
                <c:pt idx="942">
                  <c:v>6740</c:v>
                </c:pt>
                <c:pt idx="943">
                  <c:v>6754</c:v>
                </c:pt>
                <c:pt idx="944">
                  <c:v>6758</c:v>
                </c:pt>
                <c:pt idx="945">
                  <c:v>6762</c:v>
                </c:pt>
                <c:pt idx="946">
                  <c:v>6764</c:v>
                </c:pt>
                <c:pt idx="947">
                  <c:v>6766</c:v>
                </c:pt>
                <c:pt idx="948">
                  <c:v>6767</c:v>
                </c:pt>
                <c:pt idx="949">
                  <c:v>6768</c:v>
                </c:pt>
                <c:pt idx="950">
                  <c:v>6769</c:v>
                </c:pt>
                <c:pt idx="951">
                  <c:v>#N/A</c:v>
                </c:pt>
                <c:pt idx="952">
                  <c:v>#N/A</c:v>
                </c:pt>
                <c:pt idx="953">
                  <c:v>6771</c:v>
                </c:pt>
                <c:pt idx="954">
                  <c:v>6771</c:v>
                </c:pt>
                <c:pt idx="955">
                  <c:v>6771</c:v>
                </c:pt>
                <c:pt idx="956">
                  <c:v>#N/A</c:v>
                </c:pt>
                <c:pt idx="957">
                  <c:v>6774</c:v>
                </c:pt>
                <c:pt idx="958">
                  <c:v>6774</c:v>
                </c:pt>
                <c:pt idx="959">
                  <c:v>6784</c:v>
                </c:pt>
                <c:pt idx="960">
                  <c:v>6785</c:v>
                </c:pt>
                <c:pt idx="961">
                  <c:v>6785</c:v>
                </c:pt>
                <c:pt idx="962">
                  <c:v>6799</c:v>
                </c:pt>
                <c:pt idx="963">
                  <c:v>6808</c:v>
                </c:pt>
                <c:pt idx="964">
                  <c:v>6818</c:v>
                </c:pt>
                <c:pt idx="965">
                  <c:v>6828</c:v>
                </c:pt>
                <c:pt idx="966">
                  <c:v>6839</c:v>
                </c:pt>
                <c:pt idx="967">
                  <c:v>6840</c:v>
                </c:pt>
                <c:pt idx="968">
                  <c:v>6840</c:v>
                </c:pt>
                <c:pt idx="969">
                  <c:v>6852</c:v>
                </c:pt>
                <c:pt idx="970">
                  <c:v>6852</c:v>
                </c:pt>
                <c:pt idx="971">
                  <c:v>6879</c:v>
                </c:pt>
                <c:pt idx="972">
                  <c:v>6895</c:v>
                </c:pt>
                <c:pt idx="973">
                  <c:v>6909</c:v>
                </c:pt>
                <c:pt idx="974">
                  <c:v>6909</c:v>
                </c:pt>
                <c:pt idx="975">
                  <c:v>6942</c:v>
                </c:pt>
                <c:pt idx="976">
                  <c:v>6954</c:v>
                </c:pt>
                <c:pt idx="977">
                  <c:v>6954</c:v>
                </c:pt>
                <c:pt idx="978">
                  <c:v>6974</c:v>
                </c:pt>
                <c:pt idx="979">
                  <c:v>6992</c:v>
                </c:pt>
                <c:pt idx="980">
                  <c:v>7009</c:v>
                </c:pt>
                <c:pt idx="981">
                  <c:v>7029</c:v>
                </c:pt>
                <c:pt idx="982">
                  <c:v>7055</c:v>
                </c:pt>
                <c:pt idx="983">
                  <c:v>7062</c:v>
                </c:pt>
                <c:pt idx="984">
                  <c:v>7079</c:v>
                </c:pt>
                <c:pt idx="985">
                  <c:v>7098</c:v>
                </c:pt>
                <c:pt idx="986">
                  <c:v>7113</c:v>
                </c:pt>
                <c:pt idx="987">
                  <c:v>7131</c:v>
                </c:pt>
                <c:pt idx="988">
                  <c:v>7149</c:v>
                </c:pt>
                <c:pt idx="989">
                  <c:v>7149</c:v>
                </c:pt>
                <c:pt idx="990">
                  <c:v>7184</c:v>
                </c:pt>
                <c:pt idx="991">
                  <c:v>7200</c:v>
                </c:pt>
                <c:pt idx="992">
                  <c:v>7204</c:v>
                </c:pt>
                <c:pt idx="993">
                  <c:v>7204</c:v>
                </c:pt>
                <c:pt idx="994">
                  <c:v>7204</c:v>
                </c:pt>
                <c:pt idx="995">
                  <c:v>7232</c:v>
                </c:pt>
                <c:pt idx="996">
                  <c:v>7249</c:v>
                </c:pt>
                <c:pt idx="997">
                  <c:v>7263</c:v>
                </c:pt>
                <c:pt idx="998">
                  <c:v>7277</c:v>
                </c:pt>
                <c:pt idx="999">
                  <c:v>7277</c:v>
                </c:pt>
                <c:pt idx="1000">
                  <c:v>7291</c:v>
                </c:pt>
                <c:pt idx="1001">
                  <c:v>7302</c:v>
                </c:pt>
                <c:pt idx="1002">
                  <c:v>7307</c:v>
                </c:pt>
                <c:pt idx="1003">
                  <c:v>7307</c:v>
                </c:pt>
                <c:pt idx="1004">
                  <c:v>7330</c:v>
                </c:pt>
                <c:pt idx="1005">
                  <c:v>7343</c:v>
                </c:pt>
                <c:pt idx="1006">
                  <c:v>7356</c:v>
                </c:pt>
                <c:pt idx="1007">
                  <c:v>7369</c:v>
                </c:pt>
                <c:pt idx="1008">
                  <c:v>7381</c:v>
                </c:pt>
                <c:pt idx="1009">
                  <c:v>7395</c:v>
                </c:pt>
                <c:pt idx="1010">
                  <c:v>7408</c:v>
                </c:pt>
                <c:pt idx="1011">
                  <c:v>7420</c:v>
                </c:pt>
                <c:pt idx="1012">
                  <c:v>7420</c:v>
                </c:pt>
                <c:pt idx="1013">
                  <c:v>7446</c:v>
                </c:pt>
                <c:pt idx="1014">
                  <c:v>7446</c:v>
                </c:pt>
                <c:pt idx="1015">
                  <c:v>7477</c:v>
                </c:pt>
                <c:pt idx="1016">
                  <c:v>7492</c:v>
                </c:pt>
                <c:pt idx="1017">
                  <c:v>7510</c:v>
                </c:pt>
                <c:pt idx="1018">
                  <c:v>7527</c:v>
                </c:pt>
                <c:pt idx="1019">
                  <c:v>7542</c:v>
                </c:pt>
                <c:pt idx="1020">
                  <c:v>7559</c:v>
                </c:pt>
                <c:pt idx="1021">
                  <c:v>7573</c:v>
                </c:pt>
                <c:pt idx="1022">
                  <c:v>7573</c:v>
                </c:pt>
                <c:pt idx="1023">
                  <c:v>7584</c:v>
                </c:pt>
                <c:pt idx="1024">
                  <c:v>7584</c:v>
                </c:pt>
                <c:pt idx="1025">
                  <c:v>7591</c:v>
                </c:pt>
                <c:pt idx="1026">
                  <c:v>7591</c:v>
                </c:pt>
                <c:pt idx="1027">
                  <c:v>7608</c:v>
                </c:pt>
                <c:pt idx="1028">
                  <c:v>7608</c:v>
                </c:pt>
                <c:pt idx="1029">
                  <c:v>7638</c:v>
                </c:pt>
                <c:pt idx="1030">
                  <c:v>7655</c:v>
                </c:pt>
                <c:pt idx="1031">
                  <c:v>7668</c:v>
                </c:pt>
                <c:pt idx="1032">
                  <c:v>7683</c:v>
                </c:pt>
                <c:pt idx="1033">
                  <c:v>7696</c:v>
                </c:pt>
                <c:pt idx="1034">
                  <c:v>7696</c:v>
                </c:pt>
                <c:pt idx="1035">
                  <c:v>7705</c:v>
                </c:pt>
                <c:pt idx="1036">
                  <c:v>7705</c:v>
                </c:pt>
                <c:pt idx="1037">
                  <c:v>7710</c:v>
                </c:pt>
                <c:pt idx="1038">
                  <c:v>7710</c:v>
                </c:pt>
                <c:pt idx="1039">
                  <c:v>7731</c:v>
                </c:pt>
                <c:pt idx="1040">
                  <c:v>7731</c:v>
                </c:pt>
                <c:pt idx="1041">
                  <c:v>7755</c:v>
                </c:pt>
                <c:pt idx="1042">
                  <c:v>7755</c:v>
                </c:pt>
                <c:pt idx="1043">
                  <c:v>7780</c:v>
                </c:pt>
                <c:pt idx="1044">
                  <c:v>7793</c:v>
                </c:pt>
                <c:pt idx="1045">
                  <c:v>7805</c:v>
                </c:pt>
                <c:pt idx="1046">
                  <c:v>7806</c:v>
                </c:pt>
                <c:pt idx="1047">
                  <c:v>7806</c:v>
                </c:pt>
                <c:pt idx="1048">
                  <c:v>7831</c:v>
                </c:pt>
                <c:pt idx="1049">
                  <c:v>7847</c:v>
                </c:pt>
                <c:pt idx="1050">
                  <c:v>7862</c:v>
                </c:pt>
                <c:pt idx="1051">
                  <c:v>7876</c:v>
                </c:pt>
                <c:pt idx="1052">
                  <c:v>7892</c:v>
                </c:pt>
                <c:pt idx="1053">
                  <c:v>7909</c:v>
                </c:pt>
                <c:pt idx="1054">
                  <c:v>7924</c:v>
                </c:pt>
                <c:pt idx="1055">
                  <c:v>7941</c:v>
                </c:pt>
                <c:pt idx="1056">
                  <c:v>7955</c:v>
                </c:pt>
                <c:pt idx="1057">
                  <c:v>7972</c:v>
                </c:pt>
                <c:pt idx="1058">
                  <c:v>7987</c:v>
                </c:pt>
                <c:pt idx="1059">
                  <c:v>8002</c:v>
                </c:pt>
                <c:pt idx="1060">
                  <c:v>8018</c:v>
                </c:pt>
                <c:pt idx="1061">
                  <c:v>8033</c:v>
                </c:pt>
                <c:pt idx="1062">
                  <c:v>8033</c:v>
                </c:pt>
                <c:pt idx="1063">
                  <c:v>#N/A</c:v>
                </c:pt>
                <c:pt idx="1064">
                  <c:v>8053</c:v>
                </c:pt>
                <c:pt idx="1065">
                  <c:v>8053</c:v>
                </c:pt>
                <c:pt idx="1066">
                  <c:v>8075</c:v>
                </c:pt>
                <c:pt idx="1067">
                  <c:v>8089</c:v>
                </c:pt>
                <c:pt idx="1068">
                  <c:v>8089</c:v>
                </c:pt>
                <c:pt idx="1069">
                  <c:v>8102</c:v>
                </c:pt>
                <c:pt idx="1070">
                  <c:v>8102</c:v>
                </c:pt>
                <c:pt idx="1071">
                  <c:v>8102</c:v>
                </c:pt>
                <c:pt idx="1072">
                  <c:v>8125</c:v>
                </c:pt>
                <c:pt idx="1073">
                  <c:v>8127</c:v>
                </c:pt>
                <c:pt idx="1074">
                  <c:v>8127</c:v>
                </c:pt>
                <c:pt idx="1075">
                  <c:v>8137</c:v>
                </c:pt>
                <c:pt idx="1076">
                  <c:v>8137</c:v>
                </c:pt>
                <c:pt idx="1077">
                  <c:v>8155</c:v>
                </c:pt>
                <c:pt idx="1078">
                  <c:v>8163</c:v>
                </c:pt>
                <c:pt idx="1079">
                  <c:v>8170</c:v>
                </c:pt>
                <c:pt idx="1080">
                  <c:v>8170</c:v>
                </c:pt>
                <c:pt idx="1081">
                  <c:v>#N/A</c:v>
                </c:pt>
                <c:pt idx="1082">
                  <c:v>8182</c:v>
                </c:pt>
                <c:pt idx="1083">
                  <c:v>8187</c:v>
                </c:pt>
                <c:pt idx="1084">
                  <c:v>8191</c:v>
                </c:pt>
                <c:pt idx="1085">
                  <c:v>8193</c:v>
                </c:pt>
                <c:pt idx="1086">
                  <c:v>8196</c:v>
                </c:pt>
                <c:pt idx="1087">
                  <c:v>8198</c:v>
                </c:pt>
                <c:pt idx="1088">
                  <c:v>8199</c:v>
                </c:pt>
                <c:pt idx="1089">
                  <c:v>8200</c:v>
                </c:pt>
                <c:pt idx="1090">
                  <c:v>#N/A</c:v>
                </c:pt>
                <c:pt idx="1091">
                  <c:v>#N/A</c:v>
                </c:pt>
                <c:pt idx="1092">
                  <c:v>#N/A</c:v>
                </c:pt>
                <c:pt idx="1093">
                  <c:v>#N/A</c:v>
                </c:pt>
                <c:pt idx="1094">
                  <c:v>#N/A</c:v>
                </c:pt>
                <c:pt idx="1095">
                  <c:v>8202</c:v>
                </c:pt>
                <c:pt idx="1096">
                  <c:v>8205</c:v>
                </c:pt>
                <c:pt idx="1097">
                  <c:v>8209</c:v>
                </c:pt>
                <c:pt idx="1098">
                  <c:v>8215</c:v>
                </c:pt>
                <c:pt idx="1099">
                  <c:v>8216</c:v>
                </c:pt>
                <c:pt idx="1100">
                  <c:v>8216</c:v>
                </c:pt>
                <c:pt idx="1101">
                  <c:v>8224</c:v>
                </c:pt>
                <c:pt idx="1102">
                  <c:v>8224</c:v>
                </c:pt>
                <c:pt idx="1103">
                  <c:v>8240</c:v>
                </c:pt>
                <c:pt idx="1104">
                  <c:v>8250</c:v>
                </c:pt>
                <c:pt idx="1105">
                  <c:v>8264</c:v>
                </c:pt>
                <c:pt idx="1106">
                  <c:v>8275</c:v>
                </c:pt>
                <c:pt idx="1107">
                  <c:v>8290</c:v>
                </c:pt>
                <c:pt idx="1108">
                  <c:v>8304</c:v>
                </c:pt>
                <c:pt idx="1109">
                  <c:v>8320</c:v>
                </c:pt>
                <c:pt idx="1110">
                  <c:v>8336</c:v>
                </c:pt>
                <c:pt idx="1111">
                  <c:v>8336</c:v>
                </c:pt>
                <c:pt idx="1112">
                  <c:v>8353</c:v>
                </c:pt>
                <c:pt idx="1113">
                  <c:v>8371</c:v>
                </c:pt>
                <c:pt idx="1114">
                  <c:v>8389</c:v>
                </c:pt>
                <c:pt idx="1115">
                  <c:v>8405</c:v>
                </c:pt>
                <c:pt idx="1116">
                  <c:v>8405</c:v>
                </c:pt>
                <c:pt idx="1117">
                  <c:v>8424</c:v>
                </c:pt>
                <c:pt idx="1118">
                  <c:v>8425</c:v>
                </c:pt>
                <c:pt idx="1119">
                  <c:v>8425</c:v>
                </c:pt>
                <c:pt idx="1120">
                  <c:v>8462</c:v>
                </c:pt>
                <c:pt idx="1121">
                  <c:v>8481</c:v>
                </c:pt>
                <c:pt idx="1122">
                  <c:v>8498</c:v>
                </c:pt>
                <c:pt idx="1123">
                  <c:v>8498</c:v>
                </c:pt>
                <c:pt idx="1124">
                  <c:v>8517</c:v>
                </c:pt>
                <c:pt idx="1125">
                  <c:v>8539</c:v>
                </c:pt>
                <c:pt idx="1126">
                  <c:v>8539</c:v>
                </c:pt>
                <c:pt idx="1127">
                  <c:v>8555</c:v>
                </c:pt>
                <c:pt idx="1128">
                  <c:v>8556</c:v>
                </c:pt>
                <c:pt idx="1129">
                  <c:v>8556</c:v>
                </c:pt>
                <c:pt idx="1130">
                  <c:v>8575</c:v>
                </c:pt>
                <c:pt idx="1131">
                  <c:v>8575</c:v>
                </c:pt>
                <c:pt idx="1132">
                  <c:v>8575</c:v>
                </c:pt>
                <c:pt idx="1133">
                  <c:v>8630</c:v>
                </c:pt>
                <c:pt idx="1134">
                  <c:v>8648</c:v>
                </c:pt>
                <c:pt idx="1135">
                  <c:v>8668</c:v>
                </c:pt>
                <c:pt idx="1136">
                  <c:v>8668</c:v>
                </c:pt>
                <c:pt idx="1137">
                  <c:v>8704</c:v>
                </c:pt>
                <c:pt idx="1138">
                  <c:v>8722</c:v>
                </c:pt>
                <c:pt idx="1139">
                  <c:v>8741</c:v>
                </c:pt>
                <c:pt idx="1140">
                  <c:v>8760</c:v>
                </c:pt>
                <c:pt idx="1141">
                  <c:v>8778</c:v>
                </c:pt>
                <c:pt idx="1142">
                  <c:v>8794</c:v>
                </c:pt>
                <c:pt idx="1143">
                  <c:v>8799</c:v>
                </c:pt>
                <c:pt idx="1144">
                  <c:v>8799</c:v>
                </c:pt>
                <c:pt idx="1145">
                  <c:v>8829</c:v>
                </c:pt>
                <c:pt idx="1146">
                  <c:v>8831</c:v>
                </c:pt>
                <c:pt idx="1147">
                  <c:v>8831</c:v>
                </c:pt>
                <c:pt idx="1148">
                  <c:v>8864</c:v>
                </c:pt>
                <c:pt idx="1149">
                  <c:v>8879</c:v>
                </c:pt>
                <c:pt idx="1150">
                  <c:v>8887</c:v>
                </c:pt>
                <c:pt idx="1151">
                  <c:v>8887</c:v>
                </c:pt>
                <c:pt idx="1152">
                  <c:v>8887</c:v>
                </c:pt>
                <c:pt idx="1153">
                  <c:v>8911</c:v>
                </c:pt>
                <c:pt idx="1154">
                  <c:v>8912</c:v>
                </c:pt>
                <c:pt idx="1155">
                  <c:v>8912</c:v>
                </c:pt>
                <c:pt idx="1156">
                  <c:v>8931</c:v>
                </c:pt>
                <c:pt idx="1157">
                  <c:v>8931</c:v>
                </c:pt>
                <c:pt idx="1158">
                  <c:v>8957</c:v>
                </c:pt>
                <c:pt idx="1159">
                  <c:v>8957</c:v>
                </c:pt>
                <c:pt idx="1160">
                  <c:v>8970</c:v>
                </c:pt>
                <c:pt idx="1161">
                  <c:v>8984</c:v>
                </c:pt>
                <c:pt idx="1162">
                  <c:v>8997</c:v>
                </c:pt>
                <c:pt idx="1163">
                  <c:v>9008</c:v>
                </c:pt>
                <c:pt idx="1164">
                  <c:v>9020</c:v>
                </c:pt>
                <c:pt idx="1165">
                  <c:v>9031</c:v>
                </c:pt>
                <c:pt idx="1166">
                  <c:v>9042</c:v>
                </c:pt>
                <c:pt idx="1167">
                  <c:v>9052</c:v>
                </c:pt>
                <c:pt idx="1168">
                  <c:v>9062</c:v>
                </c:pt>
                <c:pt idx="1169">
                  <c:v>9073</c:v>
                </c:pt>
                <c:pt idx="1170">
                  <c:v>9083</c:v>
                </c:pt>
                <c:pt idx="1171">
                  <c:v>9093</c:v>
                </c:pt>
                <c:pt idx="1172">
                  <c:v>9102</c:v>
                </c:pt>
                <c:pt idx="1173">
                  <c:v>9111</c:v>
                </c:pt>
                <c:pt idx="1174">
                  <c:v>9112</c:v>
                </c:pt>
                <c:pt idx="1175">
                  <c:v>9112</c:v>
                </c:pt>
                <c:pt idx="1176">
                  <c:v>9128</c:v>
                </c:pt>
                <c:pt idx="1177">
                  <c:v>9137</c:v>
                </c:pt>
                <c:pt idx="1178">
                  <c:v>9144</c:v>
                </c:pt>
                <c:pt idx="1179">
                  <c:v>9148</c:v>
                </c:pt>
                <c:pt idx="1180">
                  <c:v>9148</c:v>
                </c:pt>
                <c:pt idx="1181">
                  <c:v>9148</c:v>
                </c:pt>
                <c:pt idx="1182">
                  <c:v>9158</c:v>
                </c:pt>
                <c:pt idx="1183">
                  <c:v>9163</c:v>
                </c:pt>
                <c:pt idx="1184">
                  <c:v>9163</c:v>
                </c:pt>
                <c:pt idx="1185">
                  <c:v>9168</c:v>
                </c:pt>
                <c:pt idx="1186">
                  <c:v>9172</c:v>
                </c:pt>
                <c:pt idx="1187">
                  <c:v>9173</c:v>
                </c:pt>
                <c:pt idx="1188">
                  <c:v>9173</c:v>
                </c:pt>
                <c:pt idx="1189">
                  <c:v>#N/A</c:v>
                </c:pt>
                <c:pt idx="1190">
                  <c:v>9179</c:v>
                </c:pt>
                <c:pt idx="1191">
                  <c:v>9179</c:v>
                </c:pt>
                <c:pt idx="1192">
                  <c:v>#N/A</c:v>
                </c:pt>
                <c:pt idx="1193">
                  <c:v>9181</c:v>
                </c:pt>
                <c:pt idx="1194">
                  <c:v>#N/A</c:v>
                </c:pt>
                <c:pt idx="1195">
                  <c:v>#N/A</c:v>
                </c:pt>
                <c:pt idx="1196">
                  <c:v>#N/A</c:v>
                </c:pt>
                <c:pt idx="1197">
                  <c:v>#N/A</c:v>
                </c:pt>
                <c:pt idx="1198">
                  <c:v>9183</c:v>
                </c:pt>
                <c:pt idx="1199">
                  <c:v>9187</c:v>
                </c:pt>
                <c:pt idx="1200">
                  <c:v>9192</c:v>
                </c:pt>
                <c:pt idx="1201">
                  <c:v>9198</c:v>
                </c:pt>
                <c:pt idx="1202">
                  <c:v>9200</c:v>
                </c:pt>
                <c:pt idx="1203">
                  <c:v>9200</c:v>
                </c:pt>
                <c:pt idx="1204">
                  <c:v>9213</c:v>
                </c:pt>
                <c:pt idx="1205">
                  <c:v>9221</c:v>
                </c:pt>
                <c:pt idx="1206">
                  <c:v>9228</c:v>
                </c:pt>
                <c:pt idx="1207">
                  <c:v>9228</c:v>
                </c:pt>
                <c:pt idx="1208">
                  <c:v>9243</c:v>
                </c:pt>
                <c:pt idx="1209">
                  <c:v>9249</c:v>
                </c:pt>
                <c:pt idx="1210">
                  <c:v>9250</c:v>
                </c:pt>
                <c:pt idx="1211">
                  <c:v>9250</c:v>
                </c:pt>
                <c:pt idx="1212">
                  <c:v>9264</c:v>
                </c:pt>
                <c:pt idx="1213">
                  <c:v>9264</c:v>
                </c:pt>
                <c:pt idx="1214">
                  <c:v>9272</c:v>
                </c:pt>
                <c:pt idx="1215">
                  <c:v>9279</c:v>
                </c:pt>
                <c:pt idx="1216">
                  <c:v>9287</c:v>
                </c:pt>
                <c:pt idx="1217">
                  <c:v>9287</c:v>
                </c:pt>
                <c:pt idx="1218">
                  <c:v>9297</c:v>
                </c:pt>
                <c:pt idx="1219">
                  <c:v>9306</c:v>
                </c:pt>
                <c:pt idx="1220">
                  <c:v>9306</c:v>
                </c:pt>
                <c:pt idx="1221">
                  <c:v>#N/A</c:v>
                </c:pt>
                <c:pt idx="1222">
                  <c:v>9329</c:v>
                </c:pt>
                <c:pt idx="1223">
                  <c:v>9341</c:v>
                </c:pt>
                <c:pt idx="1224">
                  <c:v>9343</c:v>
                </c:pt>
                <c:pt idx="1225">
                  <c:v>9343</c:v>
                </c:pt>
                <c:pt idx="1226">
                  <c:v>9370</c:v>
                </c:pt>
                <c:pt idx="1227">
                  <c:v>9384</c:v>
                </c:pt>
                <c:pt idx="1228">
                  <c:v>9400</c:v>
                </c:pt>
                <c:pt idx="1229">
                  <c:v>9414</c:v>
                </c:pt>
                <c:pt idx="1230">
                  <c:v>9430</c:v>
                </c:pt>
                <c:pt idx="1231">
                  <c:v>9447</c:v>
                </c:pt>
                <c:pt idx="1232">
                  <c:v>9463</c:v>
                </c:pt>
                <c:pt idx="1233">
                  <c:v>9480</c:v>
                </c:pt>
                <c:pt idx="1234">
                  <c:v>9495</c:v>
                </c:pt>
                <c:pt idx="1235">
                  <c:v>9511</c:v>
                </c:pt>
                <c:pt idx="1236">
                  <c:v>9511</c:v>
                </c:pt>
                <c:pt idx="1237">
                  <c:v>9529</c:v>
                </c:pt>
                <c:pt idx="1238">
                  <c:v>9545</c:v>
                </c:pt>
                <c:pt idx="1239">
                  <c:v>9561</c:v>
                </c:pt>
                <c:pt idx="1240">
                  <c:v>9577</c:v>
                </c:pt>
                <c:pt idx="1241">
                  <c:v>9577</c:v>
                </c:pt>
                <c:pt idx="1242">
                  <c:v>9594</c:v>
                </c:pt>
                <c:pt idx="1243">
                  <c:v>9595</c:v>
                </c:pt>
                <c:pt idx="1244">
                  <c:v>9595</c:v>
                </c:pt>
                <c:pt idx="1245">
                  <c:v>9627</c:v>
                </c:pt>
                <c:pt idx="1246">
                  <c:v>9638</c:v>
                </c:pt>
                <c:pt idx="1247">
                  <c:v>9638</c:v>
                </c:pt>
                <c:pt idx="1248">
                  <c:v>9649</c:v>
                </c:pt>
                <c:pt idx="1249">
                  <c:v>9649</c:v>
                </c:pt>
                <c:pt idx="1250">
                  <c:v>9676</c:v>
                </c:pt>
                <c:pt idx="1251">
                  <c:v>9693</c:v>
                </c:pt>
                <c:pt idx="1252">
                  <c:v>9694</c:v>
                </c:pt>
                <c:pt idx="1253">
                  <c:v>9694</c:v>
                </c:pt>
                <c:pt idx="1254">
                  <c:v>9694</c:v>
                </c:pt>
                <c:pt idx="1255">
                  <c:v>9739</c:v>
                </c:pt>
                <c:pt idx="1256">
                  <c:v>9752</c:v>
                </c:pt>
                <c:pt idx="1257">
                  <c:v>9767</c:v>
                </c:pt>
                <c:pt idx="1258">
                  <c:v>9781</c:v>
                </c:pt>
                <c:pt idx="1259">
                  <c:v>9794</c:v>
                </c:pt>
                <c:pt idx="1260">
                  <c:v>9807</c:v>
                </c:pt>
                <c:pt idx="1261">
                  <c:v>9820</c:v>
                </c:pt>
                <c:pt idx="1262">
                  <c:v>9832</c:v>
                </c:pt>
                <c:pt idx="1263">
                  <c:v>9844</c:v>
                </c:pt>
                <c:pt idx="1264">
                  <c:v>9850</c:v>
                </c:pt>
                <c:pt idx="1265">
                  <c:v>9850</c:v>
                </c:pt>
                <c:pt idx="1266">
                  <c:v>9850</c:v>
                </c:pt>
                <c:pt idx="1267">
                  <c:v>9867</c:v>
                </c:pt>
                <c:pt idx="1268">
                  <c:v>9878</c:v>
                </c:pt>
                <c:pt idx="1269">
                  <c:v>9882</c:v>
                </c:pt>
                <c:pt idx="1270">
                  <c:v>9882</c:v>
                </c:pt>
                <c:pt idx="1271">
                  <c:v>9899</c:v>
                </c:pt>
                <c:pt idx="1272">
                  <c:v>9910</c:v>
                </c:pt>
                <c:pt idx="1273">
                  <c:v>9918</c:v>
                </c:pt>
                <c:pt idx="1274">
                  <c:v>9927</c:v>
                </c:pt>
                <c:pt idx="1275">
                  <c:v>9935</c:v>
                </c:pt>
                <c:pt idx="1276">
                  <c:v>9943</c:v>
                </c:pt>
                <c:pt idx="1277">
                  <c:v>9949</c:v>
                </c:pt>
                <c:pt idx="1278">
                  <c:v>9955</c:v>
                </c:pt>
                <c:pt idx="1279">
                  <c:v>9959</c:v>
                </c:pt>
                <c:pt idx="1280">
                  <c:v>9962</c:v>
                </c:pt>
                <c:pt idx="1281">
                  <c:v>9964</c:v>
                </c:pt>
                <c:pt idx="1282">
                  <c:v>9965</c:v>
                </c:pt>
                <c:pt idx="1283">
                  <c:v>9966</c:v>
                </c:pt>
                <c:pt idx="1284">
                  <c:v>#N/A</c:v>
                </c:pt>
                <c:pt idx="1285">
                  <c:v>#N/A</c:v>
                </c:pt>
                <c:pt idx="1286">
                  <c:v>#N/A</c:v>
                </c:pt>
                <c:pt idx="1287">
                  <c:v>9967</c:v>
                </c:pt>
                <c:pt idx="1288">
                  <c:v>#N/A</c:v>
                </c:pt>
                <c:pt idx="1289">
                  <c:v>9974</c:v>
                </c:pt>
                <c:pt idx="1290">
                  <c:v>9977</c:v>
                </c:pt>
                <c:pt idx="1291">
                  <c:v>9977</c:v>
                </c:pt>
                <c:pt idx="1292">
                  <c:v>9985</c:v>
                </c:pt>
                <c:pt idx="1293">
                  <c:v>9985</c:v>
                </c:pt>
                <c:pt idx="1294">
                  <c:v>#N/A</c:v>
                </c:pt>
                <c:pt idx="1295">
                  <c:v>10000</c:v>
                </c:pt>
                <c:pt idx="1296">
                  <c:v>10000</c:v>
                </c:pt>
                <c:pt idx="1297">
                  <c:v>10010</c:v>
                </c:pt>
                <c:pt idx="1298">
                  <c:v>10021</c:v>
                </c:pt>
                <c:pt idx="1299">
                  <c:v>10032</c:v>
                </c:pt>
                <c:pt idx="1300">
                  <c:v>10046</c:v>
                </c:pt>
                <c:pt idx="1301">
                  <c:v>10058</c:v>
                </c:pt>
                <c:pt idx="1302">
                  <c:v>10072</c:v>
                </c:pt>
                <c:pt idx="1303">
                  <c:v>10087</c:v>
                </c:pt>
                <c:pt idx="1304">
                  <c:v>10087</c:v>
                </c:pt>
                <c:pt idx="1305">
                  <c:v>10117</c:v>
                </c:pt>
                <c:pt idx="1306">
                  <c:v>10119</c:v>
                </c:pt>
                <c:pt idx="1307">
                  <c:v>10119</c:v>
                </c:pt>
                <c:pt idx="1308">
                  <c:v>10149</c:v>
                </c:pt>
                <c:pt idx="1309">
                  <c:v>10165</c:v>
                </c:pt>
                <c:pt idx="1310">
                  <c:v>10181</c:v>
                </c:pt>
                <c:pt idx="1311">
                  <c:v>10200</c:v>
                </c:pt>
                <c:pt idx="1312">
                  <c:v>10216</c:v>
                </c:pt>
                <c:pt idx="1313">
                  <c:v>10235</c:v>
                </c:pt>
                <c:pt idx="1314">
                  <c:v>10252</c:v>
                </c:pt>
                <c:pt idx="1315">
                  <c:v>10270</c:v>
                </c:pt>
                <c:pt idx="1316">
                  <c:v>10273</c:v>
                </c:pt>
                <c:pt idx="1317">
                  <c:v>10273</c:v>
                </c:pt>
                <c:pt idx="1318">
                  <c:v>10307</c:v>
                </c:pt>
                <c:pt idx="1319">
                  <c:v>10308</c:v>
                </c:pt>
                <c:pt idx="1320">
                  <c:v>10308</c:v>
                </c:pt>
                <c:pt idx="1321">
                  <c:v>10344</c:v>
                </c:pt>
                <c:pt idx="1322">
                  <c:v>10363</c:v>
                </c:pt>
                <c:pt idx="1323">
                  <c:v>10379</c:v>
                </c:pt>
                <c:pt idx="1324">
                  <c:v>10398</c:v>
                </c:pt>
                <c:pt idx="1325">
                  <c:v>10416</c:v>
                </c:pt>
                <c:pt idx="1326">
                  <c:v>10433</c:v>
                </c:pt>
                <c:pt idx="1327">
                  <c:v>10436</c:v>
                </c:pt>
                <c:pt idx="1328">
                  <c:v>10436</c:v>
                </c:pt>
                <c:pt idx="1329">
                  <c:v>10464</c:v>
                </c:pt>
                <c:pt idx="1330">
                  <c:v>10473</c:v>
                </c:pt>
                <c:pt idx="1331">
                  <c:v>10473</c:v>
                </c:pt>
                <c:pt idx="1332">
                  <c:v>10473</c:v>
                </c:pt>
                <c:pt idx="1333">
                  <c:v>10499</c:v>
                </c:pt>
                <c:pt idx="1334">
                  <c:v>10515</c:v>
                </c:pt>
                <c:pt idx="1335">
                  <c:v>10529</c:v>
                </c:pt>
                <c:pt idx="1336">
                  <c:v>10530</c:v>
                </c:pt>
                <c:pt idx="1337">
                  <c:v>10530</c:v>
                </c:pt>
                <c:pt idx="1338">
                  <c:v>10556</c:v>
                </c:pt>
                <c:pt idx="1339">
                  <c:v>10568</c:v>
                </c:pt>
                <c:pt idx="1340">
                  <c:v>10568</c:v>
                </c:pt>
                <c:pt idx="1341">
                  <c:v>10583</c:v>
                </c:pt>
                <c:pt idx="1342">
                  <c:v>10595</c:v>
                </c:pt>
                <c:pt idx="1343">
                  <c:v>10609</c:v>
                </c:pt>
                <c:pt idx="1344">
                  <c:v>10621</c:v>
                </c:pt>
                <c:pt idx="1345">
                  <c:v>10621</c:v>
                </c:pt>
                <c:pt idx="1346">
                  <c:v>10648</c:v>
                </c:pt>
                <c:pt idx="1347">
                  <c:v>10661</c:v>
                </c:pt>
                <c:pt idx="1348">
                  <c:v>10674</c:v>
                </c:pt>
                <c:pt idx="1349">
                  <c:v>10688</c:v>
                </c:pt>
                <c:pt idx="1350">
                  <c:v>10702</c:v>
                </c:pt>
                <c:pt idx="1351">
                  <c:v>10702</c:v>
                </c:pt>
                <c:pt idx="1352">
                  <c:v>10716</c:v>
                </c:pt>
                <c:pt idx="1353">
                  <c:v>10732</c:v>
                </c:pt>
                <c:pt idx="1354">
                  <c:v>10747</c:v>
                </c:pt>
                <c:pt idx="1355">
                  <c:v>10764</c:v>
                </c:pt>
                <c:pt idx="1356">
                  <c:v>10765</c:v>
                </c:pt>
                <c:pt idx="1357">
                  <c:v>10765</c:v>
                </c:pt>
                <c:pt idx="1358">
                  <c:v>10765</c:v>
                </c:pt>
                <c:pt idx="1359">
                  <c:v>10765</c:v>
                </c:pt>
                <c:pt idx="1360">
                  <c:v>10810</c:v>
                </c:pt>
                <c:pt idx="1361">
                  <c:v>10810</c:v>
                </c:pt>
                <c:pt idx="1362">
                  <c:v>10810</c:v>
                </c:pt>
                <c:pt idx="1363">
                  <c:v>10838</c:v>
                </c:pt>
                <c:pt idx="1364">
                  <c:v>10855</c:v>
                </c:pt>
                <c:pt idx="1365">
                  <c:v>10872</c:v>
                </c:pt>
                <c:pt idx="1366">
                  <c:v>10890</c:v>
                </c:pt>
                <c:pt idx="1367">
                  <c:v>10890</c:v>
                </c:pt>
                <c:pt idx="1368">
                  <c:v>10918</c:v>
                </c:pt>
                <c:pt idx="1369">
                  <c:v>10925</c:v>
                </c:pt>
                <c:pt idx="1370">
                  <c:v>10925</c:v>
                </c:pt>
                <c:pt idx="1371">
                  <c:v>10925</c:v>
                </c:pt>
                <c:pt idx="1372">
                  <c:v>10974</c:v>
                </c:pt>
                <c:pt idx="1373">
                  <c:v>10987</c:v>
                </c:pt>
                <c:pt idx="1374">
                  <c:v>11001</c:v>
                </c:pt>
                <c:pt idx="1375">
                  <c:v>11013</c:v>
                </c:pt>
                <c:pt idx="1376">
                  <c:v>11013</c:v>
                </c:pt>
                <c:pt idx="1377">
                  <c:v>11027</c:v>
                </c:pt>
                <c:pt idx="1378">
                  <c:v>11039</c:v>
                </c:pt>
                <c:pt idx="1379">
                  <c:v>11050</c:v>
                </c:pt>
                <c:pt idx="1380">
                  <c:v>11050</c:v>
                </c:pt>
                <c:pt idx="1381">
                  <c:v>11074</c:v>
                </c:pt>
                <c:pt idx="1382">
                  <c:v>11074</c:v>
                </c:pt>
                <c:pt idx="1383">
                  <c:v>#N/A</c:v>
                </c:pt>
                <c:pt idx="1384">
                  <c:v>11094</c:v>
                </c:pt>
                <c:pt idx="1385">
                  <c:v>11094</c:v>
                </c:pt>
                <c:pt idx="1386">
                  <c:v>11104</c:v>
                </c:pt>
                <c:pt idx="1387">
                  <c:v>11105</c:v>
                </c:pt>
                <c:pt idx="1388">
                  <c:v>11105</c:v>
                </c:pt>
                <c:pt idx="1389">
                  <c:v>11122</c:v>
                </c:pt>
                <c:pt idx="1390">
                  <c:v>11131</c:v>
                </c:pt>
                <c:pt idx="1391">
                  <c:v>11137</c:v>
                </c:pt>
                <c:pt idx="1392">
                  <c:v>11138</c:v>
                </c:pt>
                <c:pt idx="1393">
                  <c:v>11138</c:v>
                </c:pt>
                <c:pt idx="1394">
                  <c:v>11150</c:v>
                </c:pt>
                <c:pt idx="1395">
                  <c:v>11150</c:v>
                </c:pt>
                <c:pt idx="1396">
                  <c:v>11155</c:v>
                </c:pt>
                <c:pt idx="1397">
                  <c:v>11160</c:v>
                </c:pt>
                <c:pt idx="1398">
                  <c:v>11162</c:v>
                </c:pt>
                <c:pt idx="1399">
                  <c:v>11162</c:v>
                </c:pt>
                <c:pt idx="1400">
                  <c:v>11169</c:v>
                </c:pt>
                <c:pt idx="1401">
                  <c:v>11172</c:v>
                </c:pt>
                <c:pt idx="1402">
                  <c:v>11172</c:v>
                </c:pt>
                <c:pt idx="1403">
                  <c:v>11174</c:v>
                </c:pt>
                <c:pt idx="1404">
                  <c:v>11175</c:v>
                </c:pt>
                <c:pt idx="1405">
                  <c:v>11176</c:v>
                </c:pt>
                <c:pt idx="1406">
                  <c:v>11176</c:v>
                </c:pt>
                <c:pt idx="1407">
                  <c:v>11177</c:v>
                </c:pt>
                <c:pt idx="1408">
                  <c:v>11177</c:v>
                </c:pt>
                <c:pt idx="1409">
                  <c:v>#N/A</c:v>
                </c:pt>
                <c:pt idx="1410">
                  <c:v>#N/A</c:v>
                </c:pt>
                <c:pt idx="1411">
                  <c:v>#N/A</c:v>
                </c:pt>
                <c:pt idx="1412">
                  <c:v>#N/A</c:v>
                </c:pt>
                <c:pt idx="1413">
                  <c:v>11180</c:v>
                </c:pt>
                <c:pt idx="1414">
                  <c:v>11180</c:v>
                </c:pt>
                <c:pt idx="1415">
                  <c:v>11184</c:v>
                </c:pt>
                <c:pt idx="1416">
                  <c:v>11188</c:v>
                </c:pt>
                <c:pt idx="1417">
                  <c:v>11195</c:v>
                </c:pt>
                <c:pt idx="1418">
                  <c:v>11199</c:v>
                </c:pt>
                <c:pt idx="1419">
                  <c:v>11199</c:v>
                </c:pt>
                <c:pt idx="1420">
                  <c:v>11199</c:v>
                </c:pt>
                <c:pt idx="1421">
                  <c:v>11221</c:v>
                </c:pt>
                <c:pt idx="1422">
                  <c:v>11221</c:v>
                </c:pt>
                <c:pt idx="1423">
                  <c:v>11222</c:v>
                </c:pt>
                <c:pt idx="1424">
                  <c:v>11222</c:v>
                </c:pt>
                <c:pt idx="1425">
                  <c:v>11242</c:v>
                </c:pt>
                <c:pt idx="1426">
                  <c:v>11242</c:v>
                </c:pt>
                <c:pt idx="1427">
                  <c:v>11257</c:v>
                </c:pt>
                <c:pt idx="1428">
                  <c:v>11270</c:v>
                </c:pt>
                <c:pt idx="1429">
                  <c:v>11283</c:v>
                </c:pt>
                <c:pt idx="1430">
                  <c:v>11298</c:v>
                </c:pt>
                <c:pt idx="1431">
                  <c:v>11311</c:v>
                </c:pt>
                <c:pt idx="1432">
                  <c:v>11311</c:v>
                </c:pt>
                <c:pt idx="1433">
                  <c:v>11312</c:v>
                </c:pt>
                <c:pt idx="1434">
                  <c:v>11312</c:v>
                </c:pt>
                <c:pt idx="1435">
                  <c:v>11340</c:v>
                </c:pt>
                <c:pt idx="1436">
                  <c:v>11355</c:v>
                </c:pt>
                <c:pt idx="1437">
                  <c:v>11370</c:v>
                </c:pt>
                <c:pt idx="1438">
                  <c:v>11385</c:v>
                </c:pt>
                <c:pt idx="1439">
                  <c:v>11389</c:v>
                </c:pt>
                <c:pt idx="1440">
                  <c:v>11389</c:v>
                </c:pt>
                <c:pt idx="1441">
                  <c:v>11389</c:v>
                </c:pt>
                <c:pt idx="1442">
                  <c:v>11412</c:v>
                </c:pt>
                <c:pt idx="1443">
                  <c:v>11426</c:v>
                </c:pt>
                <c:pt idx="1444">
                  <c:v>11431</c:v>
                </c:pt>
                <c:pt idx="1445">
                  <c:v>11431</c:v>
                </c:pt>
                <c:pt idx="1446">
                  <c:v>11431</c:v>
                </c:pt>
                <c:pt idx="1447">
                  <c:v>11463</c:v>
                </c:pt>
                <c:pt idx="1448">
                  <c:v>11463</c:v>
                </c:pt>
                <c:pt idx="1449">
                  <c:v>11494</c:v>
                </c:pt>
                <c:pt idx="1450">
                  <c:v>11494</c:v>
                </c:pt>
                <c:pt idx="1451">
                  <c:v>11499</c:v>
                </c:pt>
                <c:pt idx="1452">
                  <c:v>11499</c:v>
                </c:pt>
                <c:pt idx="1453">
                  <c:v>11518</c:v>
                </c:pt>
                <c:pt idx="1454">
                  <c:v>11529</c:v>
                </c:pt>
                <c:pt idx="1455">
                  <c:v>11538</c:v>
                </c:pt>
                <c:pt idx="1456">
                  <c:v>11546</c:v>
                </c:pt>
                <c:pt idx="1457">
                  <c:v>11554</c:v>
                </c:pt>
                <c:pt idx="1458">
                  <c:v>11561</c:v>
                </c:pt>
                <c:pt idx="1459">
                  <c:v>11561</c:v>
                </c:pt>
                <c:pt idx="1460">
                  <c:v>11573</c:v>
                </c:pt>
                <c:pt idx="1461">
                  <c:v>#N/A</c:v>
                </c:pt>
                <c:pt idx="1462">
                  <c:v>#N/A</c:v>
                </c:pt>
                <c:pt idx="1463">
                  <c:v>11584</c:v>
                </c:pt>
                <c:pt idx="1464">
                  <c:v>11590</c:v>
                </c:pt>
                <c:pt idx="1465">
                  <c:v>11595</c:v>
                </c:pt>
                <c:pt idx="1466">
                  <c:v>11601</c:v>
                </c:pt>
                <c:pt idx="1467">
                  <c:v>11601</c:v>
                </c:pt>
                <c:pt idx="1468">
                  <c:v>#N/A</c:v>
                </c:pt>
                <c:pt idx="1469">
                  <c:v>11613</c:v>
                </c:pt>
                <c:pt idx="1470">
                  <c:v>11613</c:v>
                </c:pt>
                <c:pt idx="1471">
                  <c:v>11618</c:v>
                </c:pt>
                <c:pt idx="1472">
                  <c:v>11624</c:v>
                </c:pt>
                <c:pt idx="1473">
                  <c:v>11630</c:v>
                </c:pt>
                <c:pt idx="1474">
                  <c:v>11636</c:v>
                </c:pt>
                <c:pt idx="1475">
                  <c:v>11641</c:v>
                </c:pt>
                <c:pt idx="1476">
                  <c:v>11646</c:v>
                </c:pt>
                <c:pt idx="1477">
                  <c:v>11652</c:v>
                </c:pt>
                <c:pt idx="1478">
                  <c:v>11657</c:v>
                </c:pt>
                <c:pt idx="1479">
                  <c:v>11657</c:v>
                </c:pt>
                <c:pt idx="1480">
                  <c:v>#N/A</c:v>
                </c:pt>
                <c:pt idx="1481">
                  <c:v>11667</c:v>
                </c:pt>
                <c:pt idx="1482">
                  <c:v>11672</c:v>
                </c:pt>
                <c:pt idx="1483">
                  <c:v>11678</c:v>
                </c:pt>
                <c:pt idx="1484">
                  <c:v>11682</c:v>
                </c:pt>
                <c:pt idx="1485">
                  <c:v>11688</c:v>
                </c:pt>
                <c:pt idx="1486">
                  <c:v>11693</c:v>
                </c:pt>
                <c:pt idx="1487">
                  <c:v>11693</c:v>
                </c:pt>
                <c:pt idx="1488">
                  <c:v>11698</c:v>
                </c:pt>
                <c:pt idx="1489">
                  <c:v>11703</c:v>
                </c:pt>
                <c:pt idx="1490">
                  <c:v>11705</c:v>
                </c:pt>
                <c:pt idx="1491">
                  <c:v>11705</c:v>
                </c:pt>
                <c:pt idx="1492">
                  <c:v>11708</c:v>
                </c:pt>
                <c:pt idx="1493">
                  <c:v>11708</c:v>
                </c:pt>
                <c:pt idx="1494">
                  <c:v>11716</c:v>
                </c:pt>
                <c:pt idx="1495">
                  <c:v>11720</c:v>
                </c:pt>
                <c:pt idx="1496">
                  <c:v>11720</c:v>
                </c:pt>
                <c:pt idx="1497">
                  <c:v>11726</c:v>
                </c:pt>
                <c:pt idx="1498">
                  <c:v>11731</c:v>
                </c:pt>
                <c:pt idx="1499">
                  <c:v>11731</c:v>
                </c:pt>
                <c:pt idx="1500">
                  <c:v>11742</c:v>
                </c:pt>
                <c:pt idx="1501">
                  <c:v>11747</c:v>
                </c:pt>
                <c:pt idx="1502">
                  <c:v>11747</c:v>
                </c:pt>
                <c:pt idx="1503">
                  <c:v>11750</c:v>
                </c:pt>
                <c:pt idx="1504">
                  <c:v>11750</c:v>
                </c:pt>
                <c:pt idx="1505">
                  <c:v>11758</c:v>
                </c:pt>
                <c:pt idx="1506">
                  <c:v>11758</c:v>
                </c:pt>
                <c:pt idx="1507">
                  <c:v>11764</c:v>
                </c:pt>
                <c:pt idx="1508">
                  <c:v>11764</c:v>
                </c:pt>
                <c:pt idx="1509">
                  <c:v>11766</c:v>
                </c:pt>
                <c:pt idx="1510">
                  <c:v>11766</c:v>
                </c:pt>
                <c:pt idx="1511">
                  <c:v>11776</c:v>
                </c:pt>
                <c:pt idx="1512">
                  <c:v>11782</c:v>
                </c:pt>
                <c:pt idx="1513">
                  <c:v>11788</c:v>
                </c:pt>
                <c:pt idx="1514">
                  <c:v>11793</c:v>
                </c:pt>
                <c:pt idx="1515">
                  <c:v>11797</c:v>
                </c:pt>
                <c:pt idx="1516">
                  <c:v>11798</c:v>
                </c:pt>
                <c:pt idx="1517">
                  <c:v>11798</c:v>
                </c:pt>
                <c:pt idx="1518">
                  <c:v>11798</c:v>
                </c:pt>
                <c:pt idx="1519">
                  <c:v>11807</c:v>
                </c:pt>
                <c:pt idx="1520">
                  <c:v>11811</c:v>
                </c:pt>
                <c:pt idx="1521">
                  <c:v>11814</c:v>
                </c:pt>
                <c:pt idx="1522">
                  <c:v>11814</c:v>
                </c:pt>
                <c:pt idx="1523">
                  <c:v>11819</c:v>
                </c:pt>
                <c:pt idx="1524">
                  <c:v>11824</c:v>
                </c:pt>
                <c:pt idx="1525">
                  <c:v>11825</c:v>
                </c:pt>
                <c:pt idx="1526">
                  <c:v>11832</c:v>
                </c:pt>
                <c:pt idx="1527">
                  <c:v>11836</c:v>
                </c:pt>
                <c:pt idx="1528">
                  <c:v>11840</c:v>
                </c:pt>
                <c:pt idx="1529">
                  <c:v>11844</c:v>
                </c:pt>
                <c:pt idx="1530">
                  <c:v>11849</c:v>
                </c:pt>
                <c:pt idx="1531">
                  <c:v>11920</c:v>
                </c:pt>
                <c:pt idx="1532">
                  <c:v>11920</c:v>
                </c:pt>
                <c:pt idx="1533">
                  <c:v>11920</c:v>
                </c:pt>
                <c:pt idx="1534">
                  <c:v>11920</c:v>
                </c:pt>
                <c:pt idx="1535">
                  <c:v>11920</c:v>
                </c:pt>
                <c:pt idx="1536">
                  <c:v>11920</c:v>
                </c:pt>
                <c:pt idx="1537">
                  <c:v>11920</c:v>
                </c:pt>
                <c:pt idx="1538">
                  <c:v>11920</c:v>
                </c:pt>
                <c:pt idx="1539">
                  <c:v>11920</c:v>
                </c:pt>
                <c:pt idx="1540">
                  <c:v>11920</c:v>
                </c:pt>
                <c:pt idx="1541">
                  <c:v>11920</c:v>
                </c:pt>
                <c:pt idx="1542">
                  <c:v>11920</c:v>
                </c:pt>
                <c:pt idx="1543">
                  <c:v>11920</c:v>
                </c:pt>
                <c:pt idx="1544">
                  <c:v>11920</c:v>
                </c:pt>
                <c:pt idx="1545">
                  <c:v>11920</c:v>
                </c:pt>
                <c:pt idx="1546">
                  <c:v>11920</c:v>
                </c:pt>
                <c:pt idx="1547">
                  <c:v>11920</c:v>
                </c:pt>
                <c:pt idx="1548">
                  <c:v>11920</c:v>
                </c:pt>
                <c:pt idx="1549">
                  <c:v>11920</c:v>
                </c:pt>
                <c:pt idx="1550">
                  <c:v>11920</c:v>
                </c:pt>
                <c:pt idx="1551">
                  <c:v>11920</c:v>
                </c:pt>
                <c:pt idx="1552">
                  <c:v>11920</c:v>
                </c:pt>
                <c:pt idx="1553">
                  <c:v>11920</c:v>
                </c:pt>
                <c:pt idx="1554">
                  <c:v>11920</c:v>
                </c:pt>
                <c:pt idx="1555">
                  <c:v>11920</c:v>
                </c:pt>
                <c:pt idx="1556">
                  <c:v>11920</c:v>
                </c:pt>
                <c:pt idx="1557">
                  <c:v>11920</c:v>
                </c:pt>
                <c:pt idx="1558">
                  <c:v>11920</c:v>
                </c:pt>
                <c:pt idx="1559">
                  <c:v>11920</c:v>
                </c:pt>
                <c:pt idx="1560">
                  <c:v>11920</c:v>
                </c:pt>
                <c:pt idx="1561">
                  <c:v>11920</c:v>
                </c:pt>
                <c:pt idx="1562">
                  <c:v>11920</c:v>
                </c:pt>
                <c:pt idx="1563">
                  <c:v>11920</c:v>
                </c:pt>
                <c:pt idx="1564">
                  <c:v>11920</c:v>
                </c:pt>
                <c:pt idx="1565">
                  <c:v>11920</c:v>
                </c:pt>
                <c:pt idx="1566">
                  <c:v>11920</c:v>
                </c:pt>
                <c:pt idx="1567">
                  <c:v>11920</c:v>
                </c:pt>
                <c:pt idx="1568">
                  <c:v>11920</c:v>
                </c:pt>
                <c:pt idx="1569">
                  <c:v>11920</c:v>
                </c:pt>
                <c:pt idx="1570">
                  <c:v>11920</c:v>
                </c:pt>
                <c:pt idx="1571">
                  <c:v>11920</c:v>
                </c:pt>
                <c:pt idx="1572">
                  <c:v>11920</c:v>
                </c:pt>
                <c:pt idx="1573">
                  <c:v>11920</c:v>
                </c:pt>
                <c:pt idx="1574">
                  <c:v>11920</c:v>
                </c:pt>
                <c:pt idx="1575">
                  <c:v>11920</c:v>
                </c:pt>
                <c:pt idx="1576">
                  <c:v>11920</c:v>
                </c:pt>
                <c:pt idx="1577">
                  <c:v>11920</c:v>
                </c:pt>
                <c:pt idx="1578">
                  <c:v>11920</c:v>
                </c:pt>
                <c:pt idx="1579">
                  <c:v>11920</c:v>
                </c:pt>
                <c:pt idx="1580">
                  <c:v>11920</c:v>
                </c:pt>
                <c:pt idx="1581">
                  <c:v>11920</c:v>
                </c:pt>
                <c:pt idx="1582">
                  <c:v>11920</c:v>
                </c:pt>
                <c:pt idx="1583">
                  <c:v>11920</c:v>
                </c:pt>
                <c:pt idx="1584">
                  <c:v>11920</c:v>
                </c:pt>
                <c:pt idx="1585">
                  <c:v>11920</c:v>
                </c:pt>
                <c:pt idx="1586">
                  <c:v>11920</c:v>
                </c:pt>
                <c:pt idx="1587">
                  <c:v>11920</c:v>
                </c:pt>
                <c:pt idx="1588">
                  <c:v>11920</c:v>
                </c:pt>
                <c:pt idx="1589">
                  <c:v>11920</c:v>
                </c:pt>
                <c:pt idx="1590">
                  <c:v>11920</c:v>
                </c:pt>
                <c:pt idx="1591">
                  <c:v>11920</c:v>
                </c:pt>
                <c:pt idx="1592">
                  <c:v>11920</c:v>
                </c:pt>
                <c:pt idx="1593">
                  <c:v>11920</c:v>
                </c:pt>
                <c:pt idx="1594">
                  <c:v>11920</c:v>
                </c:pt>
                <c:pt idx="1595">
                  <c:v>11920</c:v>
                </c:pt>
                <c:pt idx="1596">
                  <c:v>11920</c:v>
                </c:pt>
                <c:pt idx="1597">
                  <c:v>11920</c:v>
                </c:pt>
                <c:pt idx="1598">
                  <c:v>11920</c:v>
                </c:pt>
                <c:pt idx="1599">
                  <c:v>11920</c:v>
                </c:pt>
                <c:pt idx="1600">
                  <c:v>11920</c:v>
                </c:pt>
                <c:pt idx="1601">
                  <c:v>11920</c:v>
                </c:pt>
                <c:pt idx="1602">
                  <c:v>11920</c:v>
                </c:pt>
                <c:pt idx="1603">
                  <c:v>11920</c:v>
                </c:pt>
                <c:pt idx="1604">
                  <c:v>11920</c:v>
                </c:pt>
                <c:pt idx="1605">
                  <c:v>11920</c:v>
                </c:pt>
                <c:pt idx="1606">
                  <c:v>11920</c:v>
                </c:pt>
                <c:pt idx="1607">
                  <c:v>11920</c:v>
                </c:pt>
                <c:pt idx="1608">
                  <c:v>11920</c:v>
                </c:pt>
                <c:pt idx="1609">
                  <c:v>11920</c:v>
                </c:pt>
                <c:pt idx="1610">
                  <c:v>11920</c:v>
                </c:pt>
                <c:pt idx="1611">
                  <c:v>11920</c:v>
                </c:pt>
                <c:pt idx="1612">
                  <c:v>11920</c:v>
                </c:pt>
                <c:pt idx="1613">
                  <c:v>11920</c:v>
                </c:pt>
                <c:pt idx="1614">
                  <c:v>11920</c:v>
                </c:pt>
                <c:pt idx="1615">
                  <c:v>11920</c:v>
                </c:pt>
                <c:pt idx="1616">
                  <c:v>11920</c:v>
                </c:pt>
                <c:pt idx="1617">
                  <c:v>11920</c:v>
                </c:pt>
                <c:pt idx="1618">
                  <c:v>11920</c:v>
                </c:pt>
                <c:pt idx="1619">
                  <c:v>11920</c:v>
                </c:pt>
                <c:pt idx="1620">
                  <c:v>11920</c:v>
                </c:pt>
                <c:pt idx="1621">
                  <c:v>11920</c:v>
                </c:pt>
                <c:pt idx="1622">
                  <c:v>11920</c:v>
                </c:pt>
                <c:pt idx="1623">
                  <c:v>11920</c:v>
                </c:pt>
                <c:pt idx="1624">
                  <c:v>11920</c:v>
                </c:pt>
                <c:pt idx="1625">
                  <c:v>11920</c:v>
                </c:pt>
                <c:pt idx="1626">
                  <c:v>11920</c:v>
                </c:pt>
                <c:pt idx="1627">
                  <c:v>11920</c:v>
                </c:pt>
                <c:pt idx="1628">
                  <c:v>11920</c:v>
                </c:pt>
                <c:pt idx="1629">
                  <c:v>11920</c:v>
                </c:pt>
                <c:pt idx="1630">
                  <c:v>11920</c:v>
                </c:pt>
                <c:pt idx="1631">
                  <c:v>11920</c:v>
                </c:pt>
                <c:pt idx="1632">
                  <c:v>11920</c:v>
                </c:pt>
                <c:pt idx="1633">
                  <c:v>11920</c:v>
                </c:pt>
                <c:pt idx="1634">
                  <c:v>11920</c:v>
                </c:pt>
                <c:pt idx="1635">
                  <c:v>11920</c:v>
                </c:pt>
                <c:pt idx="1636">
                  <c:v>11920</c:v>
                </c:pt>
                <c:pt idx="1637">
                  <c:v>11920</c:v>
                </c:pt>
                <c:pt idx="1638">
                  <c:v>11920</c:v>
                </c:pt>
                <c:pt idx="1639">
                  <c:v>11920</c:v>
                </c:pt>
                <c:pt idx="1640">
                  <c:v>11920</c:v>
                </c:pt>
                <c:pt idx="1641">
                  <c:v>11920</c:v>
                </c:pt>
                <c:pt idx="1642">
                  <c:v>11920</c:v>
                </c:pt>
                <c:pt idx="1643">
                  <c:v>11920</c:v>
                </c:pt>
                <c:pt idx="1644">
                  <c:v>11920</c:v>
                </c:pt>
                <c:pt idx="1645">
                  <c:v>11920</c:v>
                </c:pt>
                <c:pt idx="1646">
                  <c:v>11920</c:v>
                </c:pt>
                <c:pt idx="1647">
                  <c:v>11920</c:v>
                </c:pt>
                <c:pt idx="1648">
                  <c:v>11920</c:v>
                </c:pt>
                <c:pt idx="1649">
                  <c:v>11920</c:v>
                </c:pt>
                <c:pt idx="1650">
                  <c:v>11920</c:v>
                </c:pt>
                <c:pt idx="1651">
                  <c:v>11920</c:v>
                </c:pt>
                <c:pt idx="1652">
                  <c:v>11920</c:v>
                </c:pt>
                <c:pt idx="1653">
                  <c:v>11920</c:v>
                </c:pt>
                <c:pt idx="1654">
                  <c:v>11920</c:v>
                </c:pt>
                <c:pt idx="1655">
                  <c:v>11920</c:v>
                </c:pt>
                <c:pt idx="1656">
                  <c:v>11920</c:v>
                </c:pt>
                <c:pt idx="1657">
                  <c:v>11920</c:v>
                </c:pt>
                <c:pt idx="1658">
                  <c:v>11920</c:v>
                </c:pt>
                <c:pt idx="1659">
                  <c:v>11920</c:v>
                </c:pt>
                <c:pt idx="1660">
                  <c:v>11920</c:v>
                </c:pt>
                <c:pt idx="1661">
                  <c:v>11920</c:v>
                </c:pt>
                <c:pt idx="1662">
                  <c:v>11920</c:v>
                </c:pt>
                <c:pt idx="1663">
                  <c:v>11920</c:v>
                </c:pt>
                <c:pt idx="1664">
                  <c:v>11920</c:v>
                </c:pt>
                <c:pt idx="1665">
                  <c:v>11920</c:v>
                </c:pt>
                <c:pt idx="1666">
                  <c:v>11920</c:v>
                </c:pt>
                <c:pt idx="1667">
                  <c:v>11920</c:v>
                </c:pt>
                <c:pt idx="1668">
                  <c:v>11920</c:v>
                </c:pt>
                <c:pt idx="1669">
                  <c:v>11920</c:v>
                </c:pt>
                <c:pt idx="1670">
                  <c:v>11920</c:v>
                </c:pt>
                <c:pt idx="1671">
                  <c:v>11920</c:v>
                </c:pt>
                <c:pt idx="1672">
                  <c:v>11920</c:v>
                </c:pt>
                <c:pt idx="1673">
                  <c:v>11920</c:v>
                </c:pt>
                <c:pt idx="1674">
                  <c:v>11920</c:v>
                </c:pt>
                <c:pt idx="1675">
                  <c:v>11920</c:v>
                </c:pt>
                <c:pt idx="1676">
                  <c:v>11920</c:v>
                </c:pt>
                <c:pt idx="1677">
                  <c:v>11920</c:v>
                </c:pt>
                <c:pt idx="1678">
                  <c:v>11920</c:v>
                </c:pt>
                <c:pt idx="1679">
                  <c:v>11920</c:v>
                </c:pt>
                <c:pt idx="1680">
                  <c:v>11920</c:v>
                </c:pt>
                <c:pt idx="1681">
                  <c:v>11920</c:v>
                </c:pt>
                <c:pt idx="1682">
                  <c:v>11920</c:v>
                </c:pt>
                <c:pt idx="1683">
                  <c:v>11920</c:v>
                </c:pt>
                <c:pt idx="1684">
                  <c:v>11920</c:v>
                </c:pt>
                <c:pt idx="1685">
                  <c:v>11920</c:v>
                </c:pt>
                <c:pt idx="1686">
                  <c:v>11920</c:v>
                </c:pt>
                <c:pt idx="1687">
                  <c:v>11920</c:v>
                </c:pt>
                <c:pt idx="1688">
                  <c:v>11920</c:v>
                </c:pt>
                <c:pt idx="1689">
                  <c:v>11920</c:v>
                </c:pt>
                <c:pt idx="1690">
                  <c:v>11920</c:v>
                </c:pt>
                <c:pt idx="1691">
                  <c:v>11920</c:v>
                </c:pt>
                <c:pt idx="1692">
                  <c:v>11920</c:v>
                </c:pt>
                <c:pt idx="1693">
                  <c:v>11920</c:v>
                </c:pt>
                <c:pt idx="1694">
                  <c:v>11920</c:v>
                </c:pt>
                <c:pt idx="1695">
                  <c:v>11920</c:v>
                </c:pt>
                <c:pt idx="1696">
                  <c:v>11920</c:v>
                </c:pt>
                <c:pt idx="1697">
                  <c:v>11920</c:v>
                </c:pt>
                <c:pt idx="1698">
                  <c:v>11920</c:v>
                </c:pt>
                <c:pt idx="1699">
                  <c:v>11920</c:v>
                </c:pt>
                <c:pt idx="1700">
                  <c:v>11920</c:v>
                </c:pt>
                <c:pt idx="1701">
                  <c:v>11920</c:v>
                </c:pt>
                <c:pt idx="1702">
                  <c:v>11920</c:v>
                </c:pt>
                <c:pt idx="1703">
                  <c:v>11920</c:v>
                </c:pt>
                <c:pt idx="1704">
                  <c:v>11920</c:v>
                </c:pt>
                <c:pt idx="1705">
                  <c:v>11920</c:v>
                </c:pt>
                <c:pt idx="1706">
                  <c:v>11920</c:v>
                </c:pt>
                <c:pt idx="1707">
                  <c:v>11920</c:v>
                </c:pt>
                <c:pt idx="1708">
                  <c:v>11920</c:v>
                </c:pt>
                <c:pt idx="1709">
                  <c:v>11920</c:v>
                </c:pt>
                <c:pt idx="1710">
                  <c:v>11920</c:v>
                </c:pt>
                <c:pt idx="1711">
                  <c:v>11920</c:v>
                </c:pt>
                <c:pt idx="1712">
                  <c:v>11920</c:v>
                </c:pt>
                <c:pt idx="1713">
                  <c:v>11920</c:v>
                </c:pt>
                <c:pt idx="1714">
                  <c:v>11920</c:v>
                </c:pt>
                <c:pt idx="1715">
                  <c:v>11920</c:v>
                </c:pt>
                <c:pt idx="1716">
                  <c:v>11920</c:v>
                </c:pt>
                <c:pt idx="1717">
                  <c:v>11920</c:v>
                </c:pt>
                <c:pt idx="1718">
                  <c:v>11920</c:v>
                </c:pt>
                <c:pt idx="1719">
                  <c:v>11920</c:v>
                </c:pt>
                <c:pt idx="1720">
                  <c:v>11920</c:v>
                </c:pt>
                <c:pt idx="1721">
                  <c:v>11920</c:v>
                </c:pt>
                <c:pt idx="1722">
                  <c:v>11920</c:v>
                </c:pt>
                <c:pt idx="1723">
                  <c:v>11920</c:v>
                </c:pt>
                <c:pt idx="1724">
                  <c:v>11920</c:v>
                </c:pt>
                <c:pt idx="1725">
                  <c:v>11920</c:v>
                </c:pt>
                <c:pt idx="1726">
                  <c:v>11920</c:v>
                </c:pt>
                <c:pt idx="1727">
                  <c:v>11920</c:v>
                </c:pt>
                <c:pt idx="1728">
                  <c:v>11920</c:v>
                </c:pt>
                <c:pt idx="1729">
                  <c:v>11920</c:v>
                </c:pt>
                <c:pt idx="1730">
                  <c:v>11920</c:v>
                </c:pt>
                <c:pt idx="1731">
                  <c:v>11920</c:v>
                </c:pt>
                <c:pt idx="1732">
                  <c:v>11920</c:v>
                </c:pt>
                <c:pt idx="1733">
                  <c:v>11920</c:v>
                </c:pt>
                <c:pt idx="1734">
                  <c:v>11920</c:v>
                </c:pt>
                <c:pt idx="1735">
                  <c:v>11920</c:v>
                </c:pt>
                <c:pt idx="1736">
                  <c:v>11920</c:v>
                </c:pt>
                <c:pt idx="1737">
                  <c:v>11920</c:v>
                </c:pt>
                <c:pt idx="1738">
                  <c:v>11920</c:v>
                </c:pt>
                <c:pt idx="1739">
                  <c:v>11920</c:v>
                </c:pt>
                <c:pt idx="1740">
                  <c:v>11920</c:v>
                </c:pt>
                <c:pt idx="1741">
                  <c:v>11920</c:v>
                </c:pt>
                <c:pt idx="1742">
                  <c:v>11920</c:v>
                </c:pt>
                <c:pt idx="1743">
                  <c:v>11920</c:v>
                </c:pt>
                <c:pt idx="1744">
                  <c:v>11920</c:v>
                </c:pt>
                <c:pt idx="1745">
                  <c:v>11920</c:v>
                </c:pt>
                <c:pt idx="1746">
                  <c:v>11920</c:v>
                </c:pt>
                <c:pt idx="1747">
                  <c:v>11920</c:v>
                </c:pt>
                <c:pt idx="1748">
                  <c:v>11920</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11920</c:v>
                </c:pt>
                <c:pt idx="1818">
                  <c:v>11920</c:v>
                </c:pt>
                <c:pt idx="1819">
                  <c:v>11920</c:v>
                </c:pt>
                <c:pt idx="1820">
                  <c:v>11920</c:v>
                </c:pt>
                <c:pt idx="1821">
                  <c:v>11920</c:v>
                </c:pt>
                <c:pt idx="1822">
                  <c:v>11920</c:v>
                </c:pt>
                <c:pt idx="1823">
                  <c:v>11920</c:v>
                </c:pt>
                <c:pt idx="1824">
                  <c:v>11920</c:v>
                </c:pt>
                <c:pt idx="1825">
                  <c:v>11920</c:v>
                </c:pt>
                <c:pt idx="1826">
                  <c:v>11920</c:v>
                </c:pt>
                <c:pt idx="1827">
                  <c:v>11920</c:v>
                </c:pt>
                <c:pt idx="1828">
                  <c:v>11920</c:v>
                </c:pt>
                <c:pt idx="1829">
                  <c:v>11920</c:v>
                </c:pt>
                <c:pt idx="1830">
                  <c:v>11920</c:v>
                </c:pt>
                <c:pt idx="1831">
                  <c:v>11920</c:v>
                </c:pt>
                <c:pt idx="1832">
                  <c:v>11920</c:v>
                </c:pt>
                <c:pt idx="1833">
                  <c:v>11920</c:v>
                </c:pt>
                <c:pt idx="1834">
                  <c:v>11920</c:v>
                </c:pt>
                <c:pt idx="1835">
                  <c:v>11920</c:v>
                </c:pt>
                <c:pt idx="1836">
                  <c:v>11920</c:v>
                </c:pt>
                <c:pt idx="1837">
                  <c:v>11920</c:v>
                </c:pt>
                <c:pt idx="1838">
                  <c:v>11920</c:v>
                </c:pt>
                <c:pt idx="1839">
                  <c:v>11920</c:v>
                </c:pt>
                <c:pt idx="1840">
                  <c:v>11920</c:v>
                </c:pt>
                <c:pt idx="1841">
                  <c:v>11920</c:v>
                </c:pt>
                <c:pt idx="1842">
                  <c:v>11920</c:v>
                </c:pt>
                <c:pt idx="1843">
                  <c:v>11920</c:v>
                </c:pt>
                <c:pt idx="1844">
                  <c:v>11920</c:v>
                </c:pt>
                <c:pt idx="1845">
                  <c:v>11920</c:v>
                </c:pt>
                <c:pt idx="1846">
                  <c:v>11920</c:v>
                </c:pt>
                <c:pt idx="1847">
                  <c:v>11920</c:v>
                </c:pt>
                <c:pt idx="1848">
                  <c:v>11920</c:v>
                </c:pt>
                <c:pt idx="1849">
                  <c:v>11920</c:v>
                </c:pt>
                <c:pt idx="1850">
                  <c:v>11920</c:v>
                </c:pt>
                <c:pt idx="1851">
                  <c:v>11920</c:v>
                </c:pt>
                <c:pt idx="1852">
                  <c:v>11920</c:v>
                </c:pt>
                <c:pt idx="1853">
                  <c:v>11920</c:v>
                </c:pt>
                <c:pt idx="1854">
                  <c:v>11920</c:v>
                </c:pt>
                <c:pt idx="1855">
                  <c:v>11920</c:v>
                </c:pt>
                <c:pt idx="1856">
                  <c:v>11920</c:v>
                </c:pt>
                <c:pt idx="1857">
                  <c:v>11920</c:v>
                </c:pt>
                <c:pt idx="1858">
                  <c:v>11920</c:v>
                </c:pt>
                <c:pt idx="1859">
                  <c:v>11920</c:v>
                </c:pt>
                <c:pt idx="1860">
                  <c:v>11920</c:v>
                </c:pt>
                <c:pt idx="1861">
                  <c:v>11920</c:v>
                </c:pt>
                <c:pt idx="1862">
                  <c:v>11920</c:v>
                </c:pt>
                <c:pt idx="1863">
                  <c:v>11920</c:v>
                </c:pt>
                <c:pt idx="1864">
                  <c:v>11920</c:v>
                </c:pt>
                <c:pt idx="1865">
                  <c:v>11920</c:v>
                </c:pt>
                <c:pt idx="1866">
                  <c:v>11920</c:v>
                </c:pt>
                <c:pt idx="1867">
                  <c:v>11920</c:v>
                </c:pt>
                <c:pt idx="1868">
                  <c:v>11920</c:v>
                </c:pt>
                <c:pt idx="1869">
                  <c:v>11920</c:v>
                </c:pt>
                <c:pt idx="1870">
                  <c:v>11920</c:v>
                </c:pt>
                <c:pt idx="1871">
                  <c:v>11920</c:v>
                </c:pt>
                <c:pt idx="1872">
                  <c:v>11920</c:v>
                </c:pt>
                <c:pt idx="1873">
                  <c:v>11920</c:v>
                </c:pt>
                <c:pt idx="1874">
                  <c:v>11920</c:v>
                </c:pt>
                <c:pt idx="1875">
                  <c:v>11920</c:v>
                </c:pt>
                <c:pt idx="1876">
                  <c:v>11920</c:v>
                </c:pt>
                <c:pt idx="1877">
                  <c:v>11920</c:v>
                </c:pt>
                <c:pt idx="1878">
                  <c:v>11920</c:v>
                </c:pt>
                <c:pt idx="1879">
                  <c:v>11920</c:v>
                </c:pt>
                <c:pt idx="1880">
                  <c:v>11920</c:v>
                </c:pt>
                <c:pt idx="1881">
                  <c:v>11920</c:v>
                </c:pt>
                <c:pt idx="1882">
                  <c:v>11920</c:v>
                </c:pt>
                <c:pt idx="1883">
                  <c:v>11920</c:v>
                </c:pt>
                <c:pt idx="1884">
                  <c:v>11920</c:v>
                </c:pt>
                <c:pt idx="1885">
                  <c:v>11920</c:v>
                </c:pt>
                <c:pt idx="1886">
                  <c:v>11920</c:v>
                </c:pt>
                <c:pt idx="1887">
                  <c:v>11920</c:v>
                </c:pt>
                <c:pt idx="1888">
                  <c:v>11920</c:v>
                </c:pt>
                <c:pt idx="1889">
                  <c:v>11920</c:v>
                </c:pt>
                <c:pt idx="1890">
                  <c:v>11920</c:v>
                </c:pt>
                <c:pt idx="1891">
                  <c:v>11920</c:v>
                </c:pt>
                <c:pt idx="1892">
                  <c:v>11920</c:v>
                </c:pt>
                <c:pt idx="1893">
                  <c:v>11920</c:v>
                </c:pt>
                <c:pt idx="1894">
                  <c:v>11920</c:v>
                </c:pt>
                <c:pt idx="1895">
                  <c:v>11920</c:v>
                </c:pt>
                <c:pt idx="1896">
                  <c:v>11920</c:v>
                </c:pt>
                <c:pt idx="1897">
                  <c:v>11920</c:v>
                </c:pt>
                <c:pt idx="1898">
                  <c:v>11920</c:v>
                </c:pt>
                <c:pt idx="1899">
                  <c:v>11920</c:v>
                </c:pt>
                <c:pt idx="1900">
                  <c:v>11920</c:v>
                </c:pt>
                <c:pt idx="1901">
                  <c:v>11920</c:v>
                </c:pt>
                <c:pt idx="1902">
                  <c:v>11920</c:v>
                </c:pt>
                <c:pt idx="1903">
                  <c:v>11920</c:v>
                </c:pt>
                <c:pt idx="1904">
                  <c:v>11920</c:v>
                </c:pt>
                <c:pt idx="1905">
                  <c:v>11920</c:v>
                </c:pt>
                <c:pt idx="1906">
                  <c:v>11920</c:v>
                </c:pt>
                <c:pt idx="1907">
                  <c:v>11920</c:v>
                </c:pt>
                <c:pt idx="1908">
                  <c:v>11920</c:v>
                </c:pt>
                <c:pt idx="1909">
                  <c:v>11920</c:v>
                </c:pt>
                <c:pt idx="1910">
                  <c:v>11920</c:v>
                </c:pt>
                <c:pt idx="1911">
                  <c:v>11920</c:v>
                </c:pt>
                <c:pt idx="1912">
                  <c:v>11920</c:v>
                </c:pt>
                <c:pt idx="1913">
                  <c:v>11920</c:v>
                </c:pt>
                <c:pt idx="1914">
                  <c:v>11920</c:v>
                </c:pt>
                <c:pt idx="1915">
                  <c:v>11920</c:v>
                </c:pt>
                <c:pt idx="1916">
                  <c:v>11920</c:v>
                </c:pt>
                <c:pt idx="1917">
                  <c:v>11920</c:v>
                </c:pt>
                <c:pt idx="1918">
                  <c:v>11920</c:v>
                </c:pt>
                <c:pt idx="1919">
                  <c:v>11920</c:v>
                </c:pt>
                <c:pt idx="1920">
                  <c:v>11920</c:v>
                </c:pt>
                <c:pt idx="1921">
                  <c:v>11920</c:v>
                </c:pt>
                <c:pt idx="1922">
                  <c:v>11920</c:v>
                </c:pt>
                <c:pt idx="1923">
                  <c:v>11920</c:v>
                </c:pt>
                <c:pt idx="1924">
                  <c:v>11920</c:v>
                </c:pt>
                <c:pt idx="1925">
                  <c:v>11920</c:v>
                </c:pt>
                <c:pt idx="1926">
                  <c:v>11920</c:v>
                </c:pt>
                <c:pt idx="1927">
                  <c:v>11920</c:v>
                </c:pt>
                <c:pt idx="1928">
                  <c:v>11920</c:v>
                </c:pt>
                <c:pt idx="1929">
                  <c:v>11920</c:v>
                </c:pt>
                <c:pt idx="1930">
                  <c:v>11920</c:v>
                </c:pt>
                <c:pt idx="1931">
                  <c:v>11920</c:v>
                </c:pt>
                <c:pt idx="1932">
                  <c:v>11920</c:v>
                </c:pt>
                <c:pt idx="1933">
                  <c:v>11920</c:v>
                </c:pt>
                <c:pt idx="1934">
                  <c:v>11920</c:v>
                </c:pt>
                <c:pt idx="1935">
                  <c:v>11920</c:v>
                </c:pt>
                <c:pt idx="1936">
                  <c:v>11920</c:v>
                </c:pt>
                <c:pt idx="1937">
                  <c:v>11920</c:v>
                </c:pt>
                <c:pt idx="1938">
                  <c:v>11920</c:v>
                </c:pt>
                <c:pt idx="1939">
                  <c:v>11920</c:v>
                </c:pt>
                <c:pt idx="1940">
                  <c:v>11920</c:v>
                </c:pt>
                <c:pt idx="1941">
                  <c:v>11920</c:v>
                </c:pt>
                <c:pt idx="1942">
                  <c:v>11920</c:v>
                </c:pt>
                <c:pt idx="1943">
                  <c:v>11920</c:v>
                </c:pt>
                <c:pt idx="1944">
                  <c:v>11920</c:v>
                </c:pt>
                <c:pt idx="1945">
                  <c:v>11920</c:v>
                </c:pt>
                <c:pt idx="1946">
                  <c:v>11920</c:v>
                </c:pt>
                <c:pt idx="1947">
                  <c:v>11920</c:v>
                </c:pt>
                <c:pt idx="1948">
                  <c:v>11920</c:v>
                </c:pt>
                <c:pt idx="1949">
                  <c:v>11920</c:v>
                </c:pt>
                <c:pt idx="1950">
                  <c:v>11920</c:v>
                </c:pt>
                <c:pt idx="1951">
                  <c:v>11920</c:v>
                </c:pt>
                <c:pt idx="1952">
                  <c:v>11920</c:v>
                </c:pt>
                <c:pt idx="1953">
                  <c:v>11920</c:v>
                </c:pt>
                <c:pt idx="1954">
                  <c:v>11920</c:v>
                </c:pt>
                <c:pt idx="1955">
                  <c:v>11920</c:v>
                </c:pt>
                <c:pt idx="1956">
                  <c:v>11920</c:v>
                </c:pt>
                <c:pt idx="1957">
                  <c:v>11920</c:v>
                </c:pt>
                <c:pt idx="1958">
                  <c:v>11920</c:v>
                </c:pt>
                <c:pt idx="1959">
                  <c:v>11920</c:v>
                </c:pt>
                <c:pt idx="1960">
                  <c:v>11920</c:v>
                </c:pt>
                <c:pt idx="1961">
                  <c:v>11920</c:v>
                </c:pt>
                <c:pt idx="1962">
                  <c:v>11920</c:v>
                </c:pt>
                <c:pt idx="1963">
                  <c:v>11920</c:v>
                </c:pt>
                <c:pt idx="1964">
                  <c:v>11920</c:v>
                </c:pt>
                <c:pt idx="1965">
                  <c:v>11920</c:v>
                </c:pt>
                <c:pt idx="1966">
                  <c:v>11920</c:v>
                </c:pt>
                <c:pt idx="1967">
                  <c:v>11920</c:v>
                </c:pt>
                <c:pt idx="1968">
                  <c:v>11920</c:v>
                </c:pt>
                <c:pt idx="1969">
                  <c:v>11920</c:v>
                </c:pt>
                <c:pt idx="1970">
                  <c:v>11920</c:v>
                </c:pt>
                <c:pt idx="1971">
                  <c:v>11920</c:v>
                </c:pt>
                <c:pt idx="1972">
                  <c:v>11920</c:v>
                </c:pt>
                <c:pt idx="1973">
                  <c:v>11920</c:v>
                </c:pt>
                <c:pt idx="1974">
                  <c:v>11920</c:v>
                </c:pt>
                <c:pt idx="1975">
                  <c:v>11920</c:v>
                </c:pt>
                <c:pt idx="1976">
                  <c:v>11920</c:v>
                </c:pt>
                <c:pt idx="1977">
                  <c:v>11920</c:v>
                </c:pt>
                <c:pt idx="1978">
                  <c:v>11920</c:v>
                </c:pt>
                <c:pt idx="1979">
                  <c:v>11920</c:v>
                </c:pt>
                <c:pt idx="1980">
                  <c:v>11920</c:v>
                </c:pt>
                <c:pt idx="1981">
                  <c:v>11920</c:v>
                </c:pt>
                <c:pt idx="1982">
                  <c:v>11920</c:v>
                </c:pt>
                <c:pt idx="1983">
                  <c:v>11920</c:v>
                </c:pt>
                <c:pt idx="1984">
                  <c:v>11920</c:v>
                </c:pt>
                <c:pt idx="1985">
                  <c:v>11920</c:v>
                </c:pt>
                <c:pt idx="1986">
                  <c:v>11920</c:v>
                </c:pt>
                <c:pt idx="1987">
                  <c:v>11920</c:v>
                </c:pt>
                <c:pt idx="1988">
                  <c:v>11920</c:v>
                </c:pt>
                <c:pt idx="1989">
                  <c:v>11920</c:v>
                </c:pt>
                <c:pt idx="1990">
                  <c:v>11920</c:v>
                </c:pt>
                <c:pt idx="1991">
                  <c:v>11920</c:v>
                </c:pt>
                <c:pt idx="1992">
                  <c:v>11920</c:v>
                </c:pt>
                <c:pt idx="1993">
                  <c:v>11920</c:v>
                </c:pt>
                <c:pt idx="1994">
                  <c:v>11920</c:v>
                </c:pt>
                <c:pt idx="1995">
                  <c:v>11920</c:v>
                </c:pt>
                <c:pt idx="1996">
                  <c:v>11920</c:v>
                </c:pt>
                <c:pt idx="1997">
                  <c:v>11920</c:v>
                </c:pt>
                <c:pt idx="1998">
                  <c:v>11920</c:v>
                </c:pt>
              </c:numCache>
            </c:numRef>
          </c:xVal>
          <c:yVal>
            <c:numRef>
              <c:f>Calculations!$M$2:$M$2000</c:f>
              <c:numCache>
                <c:formatCode>General</c:formatCode>
                <c:ptCount val="1999"/>
                <c:pt idx="0">
                  <c:v>1.9299999995999999</c:v>
                </c:pt>
                <c:pt idx="1">
                  <c:v>1.9299999995999999</c:v>
                </c:pt>
                <c:pt idx="2">
                  <c:v>4.9799999988000003</c:v>
                </c:pt>
                <c:pt idx="3">
                  <c:v>6.8000000003999999</c:v>
                </c:pt>
                <c:pt idx="4">
                  <c:v>8.1600000012000002</c:v>
                </c:pt>
                <c:pt idx="5">
                  <c:v>10.1599999992</c:v>
                </c:pt>
                <c:pt idx="6">
                  <c:v>11.16</c:v>
                </c:pt>
                <c:pt idx="7">
                  <c:v>11.16</c:v>
                </c:pt>
                <c:pt idx="8">
                  <c:v>12.4999999992</c:v>
                </c:pt>
                <c:pt idx="9">
                  <c:v>12.290000000399999</c:v>
                </c:pt>
                <c:pt idx="10">
                  <c:v>12.1600000008</c:v>
                </c:pt>
                <c:pt idx="11">
                  <c:v>12.269999998799999</c:v>
                </c:pt>
                <c:pt idx="12">
                  <c:v>13.129999999200001</c:v>
                </c:pt>
                <c:pt idx="13">
                  <c:v>14.109999998399999</c:v>
                </c:pt>
                <c:pt idx="14">
                  <c:v>14.9100000012</c:v>
                </c:pt>
                <c:pt idx="15">
                  <c:v>15.630000001200001</c:v>
                </c:pt>
                <c:pt idx="16">
                  <c:v>16.1600000004</c:v>
                </c:pt>
                <c:pt idx="17">
                  <c:v>16.1600000004</c:v>
                </c:pt>
                <c:pt idx="18">
                  <c:v>17.470000000800002</c:v>
                </c:pt>
                <c:pt idx="19">
                  <c:v>18.299999998800001</c:v>
                </c:pt>
                <c:pt idx="20">
                  <c:v>19.059999998399999</c:v>
                </c:pt>
                <c:pt idx="21">
                  <c:v>19.850000000400001</c:v>
                </c:pt>
                <c:pt idx="22">
                  <c:v>22.209999998400001</c:v>
                </c:pt>
                <c:pt idx="23">
                  <c:v>22.209999998400001</c:v>
                </c:pt>
                <c:pt idx="24">
                  <c:v>22.209999998400001</c:v>
                </c:pt>
                <c:pt idx="25">
                  <c:v>26.989999999200002</c:v>
                </c:pt>
                <c:pt idx="26">
                  <c:v>29.530000000800001</c:v>
                </c:pt>
                <c:pt idx="27">
                  <c:v>31.020000001200003</c:v>
                </c:pt>
                <c:pt idx="28">
                  <c:v>32.479999999200004</c:v>
                </c:pt>
                <c:pt idx="29">
                  <c:v>33.850000000800001</c:v>
                </c:pt>
                <c:pt idx="30">
                  <c:v>33.630000001200003</c:v>
                </c:pt>
                <c:pt idx="31">
                  <c:v>33.270000001200003</c:v>
                </c:pt>
                <c:pt idx="32">
                  <c:v>32.870000001599998</c:v>
                </c:pt>
                <c:pt idx="33">
                  <c:v>32.500000000800007</c:v>
                </c:pt>
                <c:pt idx="34">
                  <c:v>32.500000000800007</c:v>
                </c:pt>
                <c:pt idx="35">
                  <c:v>30.880000000799999</c:v>
                </c:pt>
                <c:pt idx="36">
                  <c:v>29.639999998799997</c:v>
                </c:pt>
                <c:pt idx="37">
                  <c:v>28.450000000799999</c:v>
                </c:pt>
                <c:pt idx="38">
                  <c:v>28.450000000799999</c:v>
                </c:pt>
                <c:pt idx="39">
                  <c:v>28.450000000799999</c:v>
                </c:pt>
                <c:pt idx="40">
                  <c:v>27.5900000004</c:v>
                </c:pt>
                <c:pt idx="41">
                  <c:v>27.780000001200001</c:v>
                </c:pt>
                <c:pt idx="42">
                  <c:v>28.220000000399999</c:v>
                </c:pt>
                <c:pt idx="43">
                  <c:v>28.950000001199999</c:v>
                </c:pt>
                <c:pt idx="44">
                  <c:v>29.689999999199998</c:v>
                </c:pt>
                <c:pt idx="45">
                  <c:v>29.689999999199998</c:v>
                </c:pt>
                <c:pt idx="46">
                  <c:v>30.499999999199996</c:v>
                </c:pt>
                <c:pt idx="47">
                  <c:v>31.179999999600003</c:v>
                </c:pt>
                <c:pt idx="48">
                  <c:v>32.230000000799997</c:v>
                </c:pt>
                <c:pt idx="49">
                  <c:v>32.230000000799997</c:v>
                </c:pt>
                <c:pt idx="50">
                  <c:v>35.880000001200003</c:v>
                </c:pt>
                <c:pt idx="51">
                  <c:v>40.489999992000001</c:v>
                </c:pt>
                <c:pt idx="52">
                  <c:v>45.020000015999997</c:v>
                </c:pt>
                <c:pt idx="53">
                  <c:v>45.020000015999997</c:v>
                </c:pt>
                <c:pt idx="54">
                  <c:v>48.87</c:v>
                </c:pt>
                <c:pt idx="55">
                  <c:v>50.109999983999998</c:v>
                </c:pt>
                <c:pt idx="56">
                  <c:v>50.429999987999999</c:v>
                </c:pt>
                <c:pt idx="57">
                  <c:v>50.749999992000006</c:v>
                </c:pt>
                <c:pt idx="58">
                  <c:v>50.749999992000006</c:v>
                </c:pt>
                <c:pt idx="59">
                  <c:v>51.130000008000003</c:v>
                </c:pt>
                <c:pt idx="60">
                  <c:v>51.429999995999999</c:v>
                </c:pt>
                <c:pt idx="61">
                  <c:v>51.429999995999999</c:v>
                </c:pt>
                <c:pt idx="62">
                  <c:v>51.429999995999999</c:v>
                </c:pt>
                <c:pt idx="63">
                  <c:v>51.800000004000005</c:v>
                </c:pt>
                <c:pt idx="64">
                  <c:v>51.800000004000005</c:v>
                </c:pt>
                <c:pt idx="65">
                  <c:v>51.800000004000005</c:v>
                </c:pt>
                <c:pt idx="66">
                  <c:v>51.519999996000003</c:v>
                </c:pt>
                <c:pt idx="67">
                  <c:v>50.699999988000002</c:v>
                </c:pt>
                <c:pt idx="68">
                  <c:v>48.309999984000001</c:v>
                </c:pt>
                <c:pt idx="69">
                  <c:v>48.309999984000001</c:v>
                </c:pt>
                <c:pt idx="70">
                  <c:v>48.309999984000001</c:v>
                </c:pt>
                <c:pt idx="71">
                  <c:v>45.979999992000003</c:v>
                </c:pt>
                <c:pt idx="72">
                  <c:v>43.830000000000005</c:v>
                </c:pt>
                <c:pt idx="73">
                  <c:v>41.630000003999996</c:v>
                </c:pt>
                <c:pt idx="74">
                  <c:v>39.750000012000001</c:v>
                </c:pt>
                <c:pt idx="75">
                  <c:v>39.750000012000001</c:v>
                </c:pt>
                <c:pt idx="76">
                  <c:v>38.049999984000003</c:v>
                </c:pt>
                <c:pt idx="77">
                  <c:v>36.500000004</c:v>
                </c:pt>
                <c:pt idx="78">
                  <c:v>34.92</c:v>
                </c:pt>
                <c:pt idx="79">
                  <c:v>33.2499999996</c:v>
                </c:pt>
                <c:pt idx="80">
                  <c:v>33.2499999996</c:v>
                </c:pt>
                <c:pt idx="81">
                  <c:v>30.9999999996</c:v>
                </c:pt>
                <c:pt idx="82">
                  <c:v>30.9999999996</c:v>
                </c:pt>
                <c:pt idx="83">
                  <c:v>28.419999998400002</c:v>
                </c:pt>
                <c:pt idx="84">
                  <c:v>26.669999998800002</c:v>
                </c:pt>
                <c:pt idx="85">
                  <c:v>24.789999999599999</c:v>
                </c:pt>
                <c:pt idx="86">
                  <c:v>22.330000000799998</c:v>
                </c:pt>
                <c:pt idx="87">
                  <c:v>19.350000000000001</c:v>
                </c:pt>
                <c:pt idx="88">
                  <c:v>15.800000000400003</c:v>
                </c:pt>
                <c:pt idx="89">
                  <c:v>11.540000001600001</c:v>
                </c:pt>
                <c:pt idx="90">
                  <c:v>8.0600000004000005</c:v>
                </c:pt>
                <c:pt idx="91">
                  <c:v>5.1800000003999997</c:v>
                </c:pt>
                <c:pt idx="92">
                  <c:v>5.1800000003999997</c:v>
                </c:pt>
                <c:pt idx="93">
                  <c:v>1.3600000008000002</c:v>
                </c:pt>
                <c:pt idx="94">
                  <c:v>0.56000000160000007</c:v>
                </c:pt>
                <c:pt idx="95">
                  <c:v>0.56000000160000007</c:v>
                </c:pt>
                <c:pt idx="96">
                  <c:v>0.1299999996</c:v>
                </c:pt>
                <c:pt idx="97">
                  <c:v>0</c:v>
                </c:pt>
                <c:pt idx="98">
                  <c:v>0.11999999880000001</c:v>
                </c:pt>
                <c:pt idx="99">
                  <c:v>0.11999999880000001</c:v>
                </c:pt>
                <c:pt idx="100">
                  <c:v>4.2999999983999997</c:v>
                </c:pt>
                <c:pt idx="101">
                  <c:v>8.9399999988000012</c:v>
                </c:pt>
                <c:pt idx="102">
                  <c:v>13.8300000012</c:v>
                </c:pt>
                <c:pt idx="103">
                  <c:v>18.420000001199998</c:v>
                </c:pt>
                <c:pt idx="104">
                  <c:v>18.420000001199998</c:v>
                </c:pt>
                <c:pt idx="105">
                  <c:v>18.420000001199998</c:v>
                </c:pt>
                <c:pt idx="106">
                  <c:v>22.449999999599999</c:v>
                </c:pt>
                <c:pt idx="107">
                  <c:v>27.519999998400003</c:v>
                </c:pt>
                <c:pt idx="108">
                  <c:v>32.04</c:v>
                </c:pt>
                <c:pt idx="109">
                  <c:v>35.200000000800003</c:v>
                </c:pt>
                <c:pt idx="110">
                  <c:v>38.469999996000006</c:v>
                </c:pt>
                <c:pt idx="111">
                  <c:v>41.569999992</c:v>
                </c:pt>
                <c:pt idx="112">
                  <c:v>41.569999992</c:v>
                </c:pt>
                <c:pt idx="113">
                  <c:v>42.879999996000002</c:v>
                </c:pt>
                <c:pt idx="114">
                  <c:v>42.879999996000002</c:v>
                </c:pt>
                <c:pt idx="115">
                  <c:v>43.710000012000002</c:v>
                </c:pt>
                <c:pt idx="116">
                  <c:v>44.46</c:v>
                </c:pt>
                <c:pt idx="117">
                  <c:v>45.230000003999997</c:v>
                </c:pt>
                <c:pt idx="118">
                  <c:v>45.230000003999997</c:v>
                </c:pt>
                <c:pt idx="119">
                  <c:v>45.110000016000001</c:v>
                </c:pt>
                <c:pt idx="120">
                  <c:v>45.110000016000001</c:v>
                </c:pt>
                <c:pt idx="121">
                  <c:v>44.730000000000004</c:v>
                </c:pt>
                <c:pt idx="122">
                  <c:v>44.730000000000004</c:v>
                </c:pt>
                <c:pt idx="123">
                  <c:v>42.450000011999997</c:v>
                </c:pt>
                <c:pt idx="124">
                  <c:v>40.520000015999997</c:v>
                </c:pt>
                <c:pt idx="125">
                  <c:v>39.489999984000001</c:v>
                </c:pt>
                <c:pt idx="126">
                  <c:v>38.630000016000004</c:v>
                </c:pt>
                <c:pt idx="127">
                  <c:v>37.810000008000003</c:v>
                </c:pt>
                <c:pt idx="128">
                  <c:v>37.26</c:v>
                </c:pt>
                <c:pt idx="129">
                  <c:v>36.860000004</c:v>
                </c:pt>
                <c:pt idx="130">
                  <c:v>36.860000004</c:v>
                </c:pt>
                <c:pt idx="131">
                  <c:v>36.860000004</c:v>
                </c:pt>
                <c:pt idx="132">
                  <c:v>36.860000004</c:v>
                </c:pt>
                <c:pt idx="133">
                  <c:v>36.299999988000003</c:v>
                </c:pt>
                <c:pt idx="134">
                  <c:v>36.380000016000004</c:v>
                </c:pt>
                <c:pt idx="135">
                  <c:v>36.389999988000007</c:v>
                </c:pt>
                <c:pt idx="136">
                  <c:v>36.450000000000003</c:v>
                </c:pt>
                <c:pt idx="137">
                  <c:v>36.460000008000002</c:v>
                </c:pt>
                <c:pt idx="138">
                  <c:v>36.330000011999999</c:v>
                </c:pt>
                <c:pt idx="139">
                  <c:v>36.249999983999999</c:v>
                </c:pt>
                <c:pt idx="140">
                  <c:v>36.630000000000003</c:v>
                </c:pt>
                <c:pt idx="141">
                  <c:v>39.669999984</c:v>
                </c:pt>
                <c:pt idx="142">
                  <c:v>39.669999984</c:v>
                </c:pt>
                <c:pt idx="143">
                  <c:v>48.129999984000001</c:v>
                </c:pt>
                <c:pt idx="144">
                  <c:v>49.799999988000003</c:v>
                </c:pt>
                <c:pt idx="145">
                  <c:v>49.799999988000003</c:v>
                </c:pt>
                <c:pt idx="146">
                  <c:v>51.170000004000002</c:v>
                </c:pt>
                <c:pt idx="147">
                  <c:v>51.170000004000002</c:v>
                </c:pt>
                <c:pt idx="148">
                  <c:v>52.490000016000003</c:v>
                </c:pt>
                <c:pt idx="149">
                  <c:v>53.499999996</c:v>
                </c:pt>
                <c:pt idx="150">
                  <c:v>53.499999996</c:v>
                </c:pt>
                <c:pt idx="151">
                  <c:v>54.54</c:v>
                </c:pt>
                <c:pt idx="152">
                  <c:v>54.479999987999996</c:v>
                </c:pt>
                <c:pt idx="153">
                  <c:v>54.479999987999996</c:v>
                </c:pt>
                <c:pt idx="154">
                  <c:v>54.569999987999999</c:v>
                </c:pt>
                <c:pt idx="155">
                  <c:v>54</c:v>
                </c:pt>
                <c:pt idx="156">
                  <c:v>53.780000004000001</c:v>
                </c:pt>
                <c:pt idx="157">
                  <c:v>53.750000016000001</c:v>
                </c:pt>
                <c:pt idx="158">
                  <c:v>53.759999988000004</c:v>
                </c:pt>
                <c:pt idx="159">
                  <c:v>53.759999988000004</c:v>
                </c:pt>
                <c:pt idx="160">
                  <c:v>53.719999991999998</c:v>
                </c:pt>
                <c:pt idx="161">
                  <c:v>53.859999995999999</c:v>
                </c:pt>
                <c:pt idx="162">
                  <c:v>53.859999995999999</c:v>
                </c:pt>
                <c:pt idx="163">
                  <c:v>53.420000004000002</c:v>
                </c:pt>
                <c:pt idx="164">
                  <c:v>53.420000004000002</c:v>
                </c:pt>
                <c:pt idx="165">
                  <c:v>52.530000012000002</c:v>
                </c:pt>
                <c:pt idx="166">
                  <c:v>51.019999992000002</c:v>
                </c:pt>
                <c:pt idx="167">
                  <c:v>48.790000008</c:v>
                </c:pt>
                <c:pt idx="168">
                  <c:v>46.53</c:v>
                </c:pt>
                <c:pt idx="169">
                  <c:v>46.53</c:v>
                </c:pt>
                <c:pt idx="170">
                  <c:v>44.210000016000002</c:v>
                </c:pt>
                <c:pt idx="171">
                  <c:v>42.099999984</c:v>
                </c:pt>
                <c:pt idx="172">
                  <c:v>42.099999984</c:v>
                </c:pt>
                <c:pt idx="173">
                  <c:v>40.650000012</c:v>
                </c:pt>
                <c:pt idx="174">
                  <c:v>38.940000011999999</c:v>
                </c:pt>
                <c:pt idx="175">
                  <c:v>38.940000011999999</c:v>
                </c:pt>
                <c:pt idx="176">
                  <c:v>38.940000011999999</c:v>
                </c:pt>
                <c:pt idx="177">
                  <c:v>38.000000016000001</c:v>
                </c:pt>
                <c:pt idx="178">
                  <c:v>37.190000016000006</c:v>
                </c:pt>
                <c:pt idx="179">
                  <c:v>37.190000016000006</c:v>
                </c:pt>
                <c:pt idx="180">
                  <c:v>35.809999999200002</c:v>
                </c:pt>
                <c:pt idx="181">
                  <c:v>34.179999998400007</c:v>
                </c:pt>
                <c:pt idx="182">
                  <c:v>34.179999998400007</c:v>
                </c:pt>
                <c:pt idx="183">
                  <c:v>31.809999999599999</c:v>
                </c:pt>
                <c:pt idx="184">
                  <c:v>29.649999999599999</c:v>
                </c:pt>
                <c:pt idx="185">
                  <c:v>28.019999998799999</c:v>
                </c:pt>
                <c:pt idx="186">
                  <c:v>26.7500000016</c:v>
                </c:pt>
                <c:pt idx="187">
                  <c:v>25.369999999200001</c:v>
                </c:pt>
                <c:pt idx="188">
                  <c:v>22.539999999599999</c:v>
                </c:pt>
                <c:pt idx="189">
                  <c:v>19.469999998799999</c:v>
                </c:pt>
                <c:pt idx="190">
                  <c:v>15.609999999600001</c:v>
                </c:pt>
                <c:pt idx="191">
                  <c:v>15.609999999600001</c:v>
                </c:pt>
                <c:pt idx="192">
                  <c:v>11.720000001600001</c:v>
                </c:pt>
                <c:pt idx="193">
                  <c:v>8.2000000007999994</c:v>
                </c:pt>
                <c:pt idx="194">
                  <c:v>4.7300000004000005</c:v>
                </c:pt>
                <c:pt idx="195">
                  <c:v>1.2999999996</c:v>
                </c:pt>
                <c:pt idx="196">
                  <c:v>0.15000000119999998</c:v>
                </c:pt>
                <c:pt idx="197">
                  <c:v>0</c:v>
                </c:pt>
                <c:pt idx="198">
                  <c:v>1.5099999984000001</c:v>
                </c:pt>
                <c:pt idx="199">
                  <c:v>1.5099999984000001</c:v>
                </c:pt>
                <c:pt idx="200">
                  <c:v>6.1800000011999998</c:v>
                </c:pt>
                <c:pt idx="201">
                  <c:v>10.1599999992</c:v>
                </c:pt>
                <c:pt idx="202">
                  <c:v>10.1599999992</c:v>
                </c:pt>
                <c:pt idx="203">
                  <c:v>14.360000000400001</c:v>
                </c:pt>
                <c:pt idx="204">
                  <c:v>14.360000000400001</c:v>
                </c:pt>
                <c:pt idx="205">
                  <c:v>18.309999999600002</c:v>
                </c:pt>
                <c:pt idx="206">
                  <c:v>21.899999998799998</c:v>
                </c:pt>
                <c:pt idx="207">
                  <c:v>26.1</c:v>
                </c:pt>
                <c:pt idx="208">
                  <c:v>30.219999998399999</c:v>
                </c:pt>
                <c:pt idx="209">
                  <c:v>34.409999998800004</c:v>
                </c:pt>
                <c:pt idx="210">
                  <c:v>38.549999988000003</c:v>
                </c:pt>
                <c:pt idx="211">
                  <c:v>42.170000004000002</c:v>
                </c:pt>
                <c:pt idx="212">
                  <c:v>44.920000008000002</c:v>
                </c:pt>
                <c:pt idx="213">
                  <c:v>46.869999983999996</c:v>
                </c:pt>
                <c:pt idx="214">
                  <c:v>48.290000004000007</c:v>
                </c:pt>
                <c:pt idx="215">
                  <c:v>49.830000011999999</c:v>
                </c:pt>
                <c:pt idx="216">
                  <c:v>51.329999987999997</c:v>
                </c:pt>
                <c:pt idx="217">
                  <c:v>52.070000004000001</c:v>
                </c:pt>
                <c:pt idx="218">
                  <c:v>52.840000007999997</c:v>
                </c:pt>
                <c:pt idx="219">
                  <c:v>52.840000007999997</c:v>
                </c:pt>
                <c:pt idx="220">
                  <c:v>53.560000008000003</c:v>
                </c:pt>
                <c:pt idx="221">
                  <c:v>53.560000008000003</c:v>
                </c:pt>
                <c:pt idx="222">
                  <c:v>55.069999992</c:v>
                </c:pt>
                <c:pt idx="223">
                  <c:v>55.839999996000003</c:v>
                </c:pt>
                <c:pt idx="224">
                  <c:v>55.839999996000003</c:v>
                </c:pt>
                <c:pt idx="225">
                  <c:v>56.840000004000004</c:v>
                </c:pt>
                <c:pt idx="226">
                  <c:v>56.840000004000004</c:v>
                </c:pt>
                <c:pt idx="227">
                  <c:v>57.099999996000001</c:v>
                </c:pt>
                <c:pt idx="228">
                  <c:v>56.940000011999999</c:v>
                </c:pt>
                <c:pt idx="229">
                  <c:v>56.649999995999998</c:v>
                </c:pt>
                <c:pt idx="230">
                  <c:v>56.400000012</c:v>
                </c:pt>
                <c:pt idx="231">
                  <c:v>56.260000008000006</c:v>
                </c:pt>
                <c:pt idx="232">
                  <c:v>55.940000004000005</c:v>
                </c:pt>
                <c:pt idx="233">
                  <c:v>55.680000012000001</c:v>
                </c:pt>
                <c:pt idx="234">
                  <c:v>55.580000003999999</c:v>
                </c:pt>
                <c:pt idx="235">
                  <c:v>55.580000003999999</c:v>
                </c:pt>
                <c:pt idx="236">
                  <c:v>55.320000012000001</c:v>
                </c:pt>
                <c:pt idx="237">
                  <c:v>54.609999983999998</c:v>
                </c:pt>
                <c:pt idx="238">
                  <c:v>54.609999983999998</c:v>
                </c:pt>
                <c:pt idx="239">
                  <c:v>53.949999996000003</c:v>
                </c:pt>
                <c:pt idx="240">
                  <c:v>53.949999996000003</c:v>
                </c:pt>
                <c:pt idx="241">
                  <c:v>53.01</c:v>
                </c:pt>
                <c:pt idx="242">
                  <c:v>53.01</c:v>
                </c:pt>
                <c:pt idx="243">
                  <c:v>51.509999988000004</c:v>
                </c:pt>
                <c:pt idx="244">
                  <c:v>50.270000004000003</c:v>
                </c:pt>
                <c:pt idx="245">
                  <c:v>48.890000016000002</c:v>
                </c:pt>
                <c:pt idx="246">
                  <c:v>47.890000008000001</c:v>
                </c:pt>
                <c:pt idx="247">
                  <c:v>46.919999988000001</c:v>
                </c:pt>
                <c:pt idx="248">
                  <c:v>45.309999995999995</c:v>
                </c:pt>
                <c:pt idx="249">
                  <c:v>43.689999995999997</c:v>
                </c:pt>
                <c:pt idx="250">
                  <c:v>42.760000008000006</c:v>
                </c:pt>
                <c:pt idx="251">
                  <c:v>41.540000004000007</c:v>
                </c:pt>
                <c:pt idx="252">
                  <c:v>39.849999984</c:v>
                </c:pt>
                <c:pt idx="253">
                  <c:v>38.149999992000005</c:v>
                </c:pt>
                <c:pt idx="254">
                  <c:v>35.979999998400004</c:v>
                </c:pt>
                <c:pt idx="255">
                  <c:v>32.900000000400006</c:v>
                </c:pt>
                <c:pt idx="256">
                  <c:v>30.859999999200003</c:v>
                </c:pt>
                <c:pt idx="257">
                  <c:v>30.859999999200003</c:v>
                </c:pt>
                <c:pt idx="258">
                  <c:v>27.870000001199998</c:v>
                </c:pt>
                <c:pt idx="259">
                  <c:v>27.870000001199998</c:v>
                </c:pt>
                <c:pt idx="260">
                  <c:v>24.400000000799999</c:v>
                </c:pt>
                <c:pt idx="261">
                  <c:v>21.200000000400003</c:v>
                </c:pt>
                <c:pt idx="262">
                  <c:v>18.2300000004</c:v>
                </c:pt>
                <c:pt idx="263">
                  <c:v>15.120000000000001</c:v>
                </c:pt>
                <c:pt idx="264">
                  <c:v>12.0800000016</c:v>
                </c:pt>
                <c:pt idx="265">
                  <c:v>10.280000001600001</c:v>
                </c:pt>
                <c:pt idx="266">
                  <c:v>10.280000001600001</c:v>
                </c:pt>
                <c:pt idx="267">
                  <c:v>9.1500000012000005</c:v>
                </c:pt>
                <c:pt idx="268">
                  <c:v>8.1399999996000005</c:v>
                </c:pt>
                <c:pt idx="269">
                  <c:v>8.1399999996000005</c:v>
                </c:pt>
                <c:pt idx="270">
                  <c:v>7.1399999988000005</c:v>
                </c:pt>
                <c:pt idx="271">
                  <c:v>6.39</c:v>
                </c:pt>
                <c:pt idx="272">
                  <c:v>6.39</c:v>
                </c:pt>
                <c:pt idx="273">
                  <c:v>5.1000000012000006</c:v>
                </c:pt>
                <c:pt idx="274">
                  <c:v>4.8399999984000006</c:v>
                </c:pt>
                <c:pt idx="275">
                  <c:v>5.1000000012000006</c:v>
                </c:pt>
                <c:pt idx="276">
                  <c:v>5.2899999984000008</c:v>
                </c:pt>
                <c:pt idx="277">
                  <c:v>5.5000000008000001</c:v>
                </c:pt>
                <c:pt idx="278">
                  <c:v>5.5000000008000001</c:v>
                </c:pt>
                <c:pt idx="279">
                  <c:v>4.6699999991999999</c:v>
                </c:pt>
                <c:pt idx="280">
                  <c:v>4.6699999991999999</c:v>
                </c:pt>
                <c:pt idx="281">
                  <c:v>4.6699999991999999</c:v>
                </c:pt>
                <c:pt idx="282">
                  <c:v>0.60999999839999997</c:v>
                </c:pt>
                <c:pt idx="283">
                  <c:v>0.50000000039999992</c:v>
                </c:pt>
                <c:pt idx="284">
                  <c:v>0.50000000039999992</c:v>
                </c:pt>
                <c:pt idx="285">
                  <c:v>0</c:v>
                </c:pt>
                <c:pt idx="286">
                  <c:v>2.5599999996</c:v>
                </c:pt>
                <c:pt idx="287">
                  <c:v>2.5599999996</c:v>
                </c:pt>
                <c:pt idx="288">
                  <c:v>6.8100000011999997</c:v>
                </c:pt>
                <c:pt idx="289">
                  <c:v>10.730000001600001</c:v>
                </c:pt>
                <c:pt idx="290">
                  <c:v>14.860000000799999</c:v>
                </c:pt>
                <c:pt idx="291">
                  <c:v>18.9799999992</c:v>
                </c:pt>
                <c:pt idx="292">
                  <c:v>22.849999999200001</c:v>
                </c:pt>
                <c:pt idx="293">
                  <c:v>22.849999999200001</c:v>
                </c:pt>
                <c:pt idx="294">
                  <c:v>22.849999999200001</c:v>
                </c:pt>
                <c:pt idx="295">
                  <c:v>26.799999998400001</c:v>
                </c:pt>
                <c:pt idx="296">
                  <c:v>31.280000000399998</c:v>
                </c:pt>
                <c:pt idx="297">
                  <c:v>34.790000000400006</c:v>
                </c:pt>
                <c:pt idx="298">
                  <c:v>38.570000004000001</c:v>
                </c:pt>
                <c:pt idx="299">
                  <c:v>40.569999983999999</c:v>
                </c:pt>
                <c:pt idx="300">
                  <c:v>42.739999992000001</c:v>
                </c:pt>
                <c:pt idx="301">
                  <c:v>44.880000012000004</c:v>
                </c:pt>
                <c:pt idx="302">
                  <c:v>44.880000012000004</c:v>
                </c:pt>
                <c:pt idx="303">
                  <c:v>48.250000008000001</c:v>
                </c:pt>
                <c:pt idx="304">
                  <c:v>49.470000012000007</c:v>
                </c:pt>
                <c:pt idx="305">
                  <c:v>50.4</c:v>
                </c:pt>
                <c:pt idx="306">
                  <c:v>50.4</c:v>
                </c:pt>
                <c:pt idx="307">
                  <c:v>51.320000016000002</c:v>
                </c:pt>
                <c:pt idx="308">
                  <c:v>52.220000016</c:v>
                </c:pt>
                <c:pt idx="309">
                  <c:v>52.779999996000001</c:v>
                </c:pt>
                <c:pt idx="310">
                  <c:v>53.28</c:v>
                </c:pt>
                <c:pt idx="311">
                  <c:v>53.510000003999998</c:v>
                </c:pt>
                <c:pt idx="312">
                  <c:v>53.830000007999999</c:v>
                </c:pt>
                <c:pt idx="313">
                  <c:v>53.920000008000002</c:v>
                </c:pt>
                <c:pt idx="314">
                  <c:v>54.050000004000005</c:v>
                </c:pt>
                <c:pt idx="315">
                  <c:v>54.240000012000003</c:v>
                </c:pt>
                <c:pt idx="316">
                  <c:v>54.240000012000003</c:v>
                </c:pt>
                <c:pt idx="317">
                  <c:v>54.54</c:v>
                </c:pt>
                <c:pt idx="318">
                  <c:v>54.54</c:v>
                </c:pt>
                <c:pt idx="319">
                  <c:v>54.650000016</c:v>
                </c:pt>
                <c:pt idx="320">
                  <c:v>54.650000016</c:v>
                </c:pt>
                <c:pt idx="321">
                  <c:v>54.81</c:v>
                </c:pt>
                <c:pt idx="322">
                  <c:v>54.81</c:v>
                </c:pt>
                <c:pt idx="323">
                  <c:v>54.519999983999995</c:v>
                </c:pt>
                <c:pt idx="324">
                  <c:v>54.010000008000006</c:v>
                </c:pt>
                <c:pt idx="325">
                  <c:v>53.880000012000004</c:v>
                </c:pt>
                <c:pt idx="326">
                  <c:v>53.709999984</c:v>
                </c:pt>
                <c:pt idx="327">
                  <c:v>53.480000016000005</c:v>
                </c:pt>
                <c:pt idx="328">
                  <c:v>52.999999992000006</c:v>
                </c:pt>
                <c:pt idx="329">
                  <c:v>52.300000007999998</c:v>
                </c:pt>
                <c:pt idx="330">
                  <c:v>52.300000007999998</c:v>
                </c:pt>
                <c:pt idx="331">
                  <c:v>52.300000007999998</c:v>
                </c:pt>
                <c:pt idx="332">
                  <c:v>51.549999984000003</c:v>
                </c:pt>
                <c:pt idx="333">
                  <c:v>51.549999984000003</c:v>
                </c:pt>
                <c:pt idx="334">
                  <c:v>51.159999995999996</c:v>
                </c:pt>
                <c:pt idx="335">
                  <c:v>51.159999995999996</c:v>
                </c:pt>
                <c:pt idx="336">
                  <c:v>51.159999995999996</c:v>
                </c:pt>
                <c:pt idx="337">
                  <c:v>50.510000015999999</c:v>
                </c:pt>
                <c:pt idx="338">
                  <c:v>50.510000015999999</c:v>
                </c:pt>
                <c:pt idx="339">
                  <c:v>50.339999988000002</c:v>
                </c:pt>
                <c:pt idx="340">
                  <c:v>50.339999988000002</c:v>
                </c:pt>
                <c:pt idx="341">
                  <c:v>49.759999992000004</c:v>
                </c:pt>
                <c:pt idx="342">
                  <c:v>49.759999992000004</c:v>
                </c:pt>
                <c:pt idx="343">
                  <c:v>48.87</c:v>
                </c:pt>
                <c:pt idx="344">
                  <c:v>48.200000004000003</c:v>
                </c:pt>
                <c:pt idx="345">
                  <c:v>48.200000004000003</c:v>
                </c:pt>
                <c:pt idx="346">
                  <c:v>47.670000012000003</c:v>
                </c:pt>
                <c:pt idx="347">
                  <c:v>47.199999996000003</c:v>
                </c:pt>
                <c:pt idx="348">
                  <c:v>47.199999996000003</c:v>
                </c:pt>
                <c:pt idx="349">
                  <c:v>46.770000012000004</c:v>
                </c:pt>
                <c:pt idx="350">
                  <c:v>46.26</c:v>
                </c:pt>
                <c:pt idx="351">
                  <c:v>46.26</c:v>
                </c:pt>
                <c:pt idx="352">
                  <c:v>46.479999996000004</c:v>
                </c:pt>
                <c:pt idx="353">
                  <c:v>46.119999996000004</c:v>
                </c:pt>
                <c:pt idx="354">
                  <c:v>46.119999996000004</c:v>
                </c:pt>
                <c:pt idx="355">
                  <c:v>45.849999996000001</c:v>
                </c:pt>
                <c:pt idx="356">
                  <c:v>45.849999996000001</c:v>
                </c:pt>
                <c:pt idx="357">
                  <c:v>44.390000016000002</c:v>
                </c:pt>
                <c:pt idx="358">
                  <c:v>44.390000016000002</c:v>
                </c:pt>
                <c:pt idx="359">
                  <c:v>42.699999996000003</c:v>
                </c:pt>
                <c:pt idx="360">
                  <c:v>41.289999984000005</c:v>
                </c:pt>
                <c:pt idx="361">
                  <c:v>39.120000012000006</c:v>
                </c:pt>
                <c:pt idx="362">
                  <c:v>37.080000000000005</c:v>
                </c:pt>
                <c:pt idx="363">
                  <c:v>37.080000000000005</c:v>
                </c:pt>
                <c:pt idx="364">
                  <c:v>37.080000000000005</c:v>
                </c:pt>
                <c:pt idx="365">
                  <c:v>37.080000000000005</c:v>
                </c:pt>
                <c:pt idx="366">
                  <c:v>36.219999996000006</c:v>
                </c:pt>
                <c:pt idx="367">
                  <c:v>36.269999999999996</c:v>
                </c:pt>
                <c:pt idx="368">
                  <c:v>36.200000016000004</c:v>
                </c:pt>
                <c:pt idx="369">
                  <c:v>36.249999983999999</c:v>
                </c:pt>
                <c:pt idx="370">
                  <c:v>36.510000011999999</c:v>
                </c:pt>
                <c:pt idx="371">
                  <c:v>36.9</c:v>
                </c:pt>
                <c:pt idx="372">
                  <c:v>37.130000003999996</c:v>
                </c:pt>
                <c:pt idx="373">
                  <c:v>37.900000007999999</c:v>
                </c:pt>
                <c:pt idx="374">
                  <c:v>38.310000011999996</c:v>
                </c:pt>
                <c:pt idx="375">
                  <c:v>38.310000011999996</c:v>
                </c:pt>
                <c:pt idx="376">
                  <c:v>39.039999984000005</c:v>
                </c:pt>
                <c:pt idx="377">
                  <c:v>39.020000004000003</c:v>
                </c:pt>
                <c:pt idx="378">
                  <c:v>39.06</c:v>
                </c:pt>
                <c:pt idx="379">
                  <c:v>39.06</c:v>
                </c:pt>
                <c:pt idx="380">
                  <c:v>39.030000012000002</c:v>
                </c:pt>
                <c:pt idx="381">
                  <c:v>38.940000011999999</c:v>
                </c:pt>
                <c:pt idx="382">
                  <c:v>38.940000011999999</c:v>
                </c:pt>
                <c:pt idx="383">
                  <c:v>38.909999988000003</c:v>
                </c:pt>
                <c:pt idx="384">
                  <c:v>38.909999988000003</c:v>
                </c:pt>
                <c:pt idx="385">
                  <c:v>38.909999988000003</c:v>
                </c:pt>
                <c:pt idx="386">
                  <c:v>38.909999988000003</c:v>
                </c:pt>
                <c:pt idx="387">
                  <c:v>38.620000008000005</c:v>
                </c:pt>
                <c:pt idx="388">
                  <c:v>38.319999983999999</c:v>
                </c:pt>
                <c:pt idx="389">
                  <c:v>38.009999988000004</c:v>
                </c:pt>
                <c:pt idx="390">
                  <c:v>38.009999988000004</c:v>
                </c:pt>
                <c:pt idx="391">
                  <c:v>38.009999988000004</c:v>
                </c:pt>
                <c:pt idx="392">
                  <c:v>37.249999992000006</c:v>
                </c:pt>
                <c:pt idx="393">
                  <c:v>37.249999992000006</c:v>
                </c:pt>
                <c:pt idx="394">
                  <c:v>37.249999992000006</c:v>
                </c:pt>
                <c:pt idx="395">
                  <c:v>36.290000016</c:v>
                </c:pt>
                <c:pt idx="396">
                  <c:v>34.980000001200004</c:v>
                </c:pt>
                <c:pt idx="397">
                  <c:v>33.080000000399998</c:v>
                </c:pt>
                <c:pt idx="398">
                  <c:v>30.8400000012</c:v>
                </c:pt>
                <c:pt idx="399">
                  <c:v>29.199999999599999</c:v>
                </c:pt>
                <c:pt idx="400">
                  <c:v>28.149999998400002</c:v>
                </c:pt>
                <c:pt idx="401">
                  <c:v>28.149999998400002</c:v>
                </c:pt>
                <c:pt idx="402">
                  <c:v>24.860000001600003</c:v>
                </c:pt>
                <c:pt idx="403">
                  <c:v>22.8899999988</c:v>
                </c:pt>
                <c:pt idx="404">
                  <c:v>20.869999999200001</c:v>
                </c:pt>
                <c:pt idx="405">
                  <c:v>20.869999999200001</c:v>
                </c:pt>
                <c:pt idx="406">
                  <c:v>18.900000000000002</c:v>
                </c:pt>
                <c:pt idx="407">
                  <c:v>18.900000000000002</c:v>
                </c:pt>
                <c:pt idx="408">
                  <c:v>18.439999999200001</c:v>
                </c:pt>
                <c:pt idx="409">
                  <c:v>18.2300000004</c:v>
                </c:pt>
                <c:pt idx="410">
                  <c:v>18.5900000004</c:v>
                </c:pt>
                <c:pt idx="411">
                  <c:v>19.389999999600001</c:v>
                </c:pt>
                <c:pt idx="412">
                  <c:v>19.389999999600001</c:v>
                </c:pt>
                <c:pt idx="413">
                  <c:v>20.300000000400001</c:v>
                </c:pt>
                <c:pt idx="414">
                  <c:v>21.099999999599998</c:v>
                </c:pt>
                <c:pt idx="415">
                  <c:v>21.700000000799999</c:v>
                </c:pt>
                <c:pt idx="416">
                  <c:v>21.8199999996</c:v>
                </c:pt>
                <c:pt idx="417">
                  <c:v>21.8199999996</c:v>
                </c:pt>
                <c:pt idx="418">
                  <c:v>21.6</c:v>
                </c:pt>
                <c:pt idx="419">
                  <c:v>21.6</c:v>
                </c:pt>
                <c:pt idx="420">
                  <c:v>21.6</c:v>
                </c:pt>
                <c:pt idx="421">
                  <c:v>19.140000001200001</c:v>
                </c:pt>
                <c:pt idx="422">
                  <c:v>17.039999998799999</c:v>
                </c:pt>
                <c:pt idx="423">
                  <c:v>14.460000001200001</c:v>
                </c:pt>
                <c:pt idx="424">
                  <c:v>14.460000001200001</c:v>
                </c:pt>
                <c:pt idx="425">
                  <c:v>14.460000001200001</c:v>
                </c:pt>
                <c:pt idx="426">
                  <c:v>8.6199999983999991</c:v>
                </c:pt>
                <c:pt idx="427">
                  <c:v>8.6199999983999991</c:v>
                </c:pt>
                <c:pt idx="428">
                  <c:v>3.2799999995999998</c:v>
                </c:pt>
                <c:pt idx="429">
                  <c:v>0.78999999840000001</c:v>
                </c:pt>
                <c:pt idx="430">
                  <c:v>0.38999999880000003</c:v>
                </c:pt>
                <c:pt idx="431">
                  <c:v>0.38999999880000003</c:v>
                </c:pt>
                <c:pt idx="432">
                  <c:v>0.88999999919999995</c:v>
                </c:pt>
                <c:pt idx="433">
                  <c:v>0.88999999919999995</c:v>
                </c:pt>
                <c:pt idx="434">
                  <c:v>3.06</c:v>
                </c:pt>
                <c:pt idx="435">
                  <c:v>7.1600000004000002</c:v>
                </c:pt>
                <c:pt idx="436">
                  <c:v>7.1600000004000002</c:v>
                </c:pt>
                <c:pt idx="437">
                  <c:v>12.6</c:v>
                </c:pt>
                <c:pt idx="438">
                  <c:v>12.6</c:v>
                </c:pt>
                <c:pt idx="439">
                  <c:v>17.960000000400001</c:v>
                </c:pt>
                <c:pt idx="440">
                  <c:v>19.720000000800002</c:v>
                </c:pt>
                <c:pt idx="441">
                  <c:v>22.690000000800001</c:v>
                </c:pt>
                <c:pt idx="442">
                  <c:v>26.200000000799999</c:v>
                </c:pt>
                <c:pt idx="443">
                  <c:v>29.400000001199999</c:v>
                </c:pt>
                <c:pt idx="444">
                  <c:v>29.400000001199999</c:v>
                </c:pt>
                <c:pt idx="445">
                  <c:v>32.709999999600001</c:v>
                </c:pt>
                <c:pt idx="446">
                  <c:v>33.689999998799998</c:v>
                </c:pt>
                <c:pt idx="447">
                  <c:v>33.410000001599997</c:v>
                </c:pt>
                <c:pt idx="448">
                  <c:v>33.410000001599997</c:v>
                </c:pt>
                <c:pt idx="449">
                  <c:v>33.339999999600003</c:v>
                </c:pt>
                <c:pt idx="450">
                  <c:v>33.339999999600003</c:v>
                </c:pt>
                <c:pt idx="451">
                  <c:v>32.910000001200004</c:v>
                </c:pt>
                <c:pt idx="452">
                  <c:v>32.910000001200004</c:v>
                </c:pt>
                <c:pt idx="453">
                  <c:v>32.870000001599998</c:v>
                </c:pt>
                <c:pt idx="454">
                  <c:v>32.979999999600004</c:v>
                </c:pt>
                <c:pt idx="455">
                  <c:v>32.979999999600004</c:v>
                </c:pt>
                <c:pt idx="456">
                  <c:v>32.979999999600004</c:v>
                </c:pt>
                <c:pt idx="457">
                  <c:v>32.979999999600004</c:v>
                </c:pt>
                <c:pt idx="458">
                  <c:v>34.120000000800005</c:v>
                </c:pt>
                <c:pt idx="459">
                  <c:v>34.120000000800005</c:v>
                </c:pt>
                <c:pt idx="460">
                  <c:v>33.909999998400004</c:v>
                </c:pt>
                <c:pt idx="461">
                  <c:v>33.940000000799998</c:v>
                </c:pt>
                <c:pt idx="462">
                  <c:v>33.310000000800002</c:v>
                </c:pt>
                <c:pt idx="463">
                  <c:v>32.919999998400002</c:v>
                </c:pt>
                <c:pt idx="464">
                  <c:v>32.5699999992</c:v>
                </c:pt>
                <c:pt idx="465">
                  <c:v>32.230000000799997</c:v>
                </c:pt>
                <c:pt idx="466">
                  <c:v>32.289999998400006</c:v>
                </c:pt>
                <c:pt idx="467">
                  <c:v>32.280000001200001</c:v>
                </c:pt>
                <c:pt idx="468">
                  <c:v>32.109999998399999</c:v>
                </c:pt>
                <c:pt idx="469">
                  <c:v>32.090000000400003</c:v>
                </c:pt>
                <c:pt idx="470">
                  <c:v>32.199999998400003</c:v>
                </c:pt>
                <c:pt idx="471">
                  <c:v>32.339999998799996</c:v>
                </c:pt>
                <c:pt idx="472">
                  <c:v>32.49</c:v>
                </c:pt>
                <c:pt idx="473">
                  <c:v>32.770000000800003</c:v>
                </c:pt>
                <c:pt idx="474">
                  <c:v>33.170000000400002</c:v>
                </c:pt>
                <c:pt idx="475">
                  <c:v>33.419999998800002</c:v>
                </c:pt>
                <c:pt idx="476">
                  <c:v>33.919999999200002</c:v>
                </c:pt>
                <c:pt idx="477">
                  <c:v>33.919999999200002</c:v>
                </c:pt>
                <c:pt idx="478">
                  <c:v>40.970000016</c:v>
                </c:pt>
                <c:pt idx="479">
                  <c:v>45.399999995999998</c:v>
                </c:pt>
                <c:pt idx="480">
                  <c:v>47.7</c:v>
                </c:pt>
                <c:pt idx="481">
                  <c:v>47.7</c:v>
                </c:pt>
                <c:pt idx="482">
                  <c:v>51.540000012</c:v>
                </c:pt>
                <c:pt idx="483">
                  <c:v>51.540000012</c:v>
                </c:pt>
                <c:pt idx="484">
                  <c:v>52.080000011999999</c:v>
                </c:pt>
                <c:pt idx="485">
                  <c:v>52.409999988000003</c:v>
                </c:pt>
                <c:pt idx="486">
                  <c:v>52.819999992</c:v>
                </c:pt>
                <c:pt idx="487">
                  <c:v>52.940000016000006</c:v>
                </c:pt>
                <c:pt idx="488">
                  <c:v>52.940000016000006</c:v>
                </c:pt>
                <c:pt idx="489">
                  <c:v>52.959999996000001</c:v>
                </c:pt>
                <c:pt idx="490">
                  <c:v>52.840000007999997</c:v>
                </c:pt>
                <c:pt idx="491">
                  <c:v>52.729999992000003</c:v>
                </c:pt>
                <c:pt idx="492">
                  <c:v>52.729999992000003</c:v>
                </c:pt>
                <c:pt idx="493">
                  <c:v>52.729999992000003</c:v>
                </c:pt>
                <c:pt idx="494">
                  <c:v>52.549999992000004</c:v>
                </c:pt>
                <c:pt idx="495">
                  <c:v>52.549999992000004</c:v>
                </c:pt>
                <c:pt idx="496">
                  <c:v>51.000000012000001</c:v>
                </c:pt>
                <c:pt idx="497">
                  <c:v>49.190000004000005</c:v>
                </c:pt>
                <c:pt idx="498">
                  <c:v>47.720000016</c:v>
                </c:pt>
                <c:pt idx="499">
                  <c:v>47.720000016</c:v>
                </c:pt>
                <c:pt idx="500">
                  <c:v>46.540000008</c:v>
                </c:pt>
                <c:pt idx="501">
                  <c:v>44.200000007999996</c:v>
                </c:pt>
                <c:pt idx="502">
                  <c:v>41.280000012000002</c:v>
                </c:pt>
                <c:pt idx="503">
                  <c:v>41.280000012000002</c:v>
                </c:pt>
                <c:pt idx="504">
                  <c:v>35.060000000400002</c:v>
                </c:pt>
                <c:pt idx="505">
                  <c:v>35.060000000400002</c:v>
                </c:pt>
                <c:pt idx="506">
                  <c:v>29.509999999200001</c:v>
                </c:pt>
                <c:pt idx="507">
                  <c:v>27.439999999200001</c:v>
                </c:pt>
                <c:pt idx="508">
                  <c:v>27.439999999200001</c:v>
                </c:pt>
                <c:pt idx="509">
                  <c:v>25.11</c:v>
                </c:pt>
                <c:pt idx="510">
                  <c:v>23.079999999600002</c:v>
                </c:pt>
                <c:pt idx="511">
                  <c:v>21.179999998800003</c:v>
                </c:pt>
                <c:pt idx="512">
                  <c:v>19.98</c:v>
                </c:pt>
                <c:pt idx="513">
                  <c:v>19.98</c:v>
                </c:pt>
                <c:pt idx="514">
                  <c:v>19.98</c:v>
                </c:pt>
                <c:pt idx="515">
                  <c:v>18.119999998800001</c:v>
                </c:pt>
                <c:pt idx="516">
                  <c:v>15.630000001200001</c:v>
                </c:pt>
                <c:pt idx="517">
                  <c:v>12.6</c:v>
                </c:pt>
                <c:pt idx="518">
                  <c:v>9.7999999992000006</c:v>
                </c:pt>
                <c:pt idx="519">
                  <c:v>6.9699999995999997</c:v>
                </c:pt>
                <c:pt idx="520">
                  <c:v>3.8300000004000001</c:v>
                </c:pt>
                <c:pt idx="521">
                  <c:v>3.8300000004000001</c:v>
                </c:pt>
                <c:pt idx="522">
                  <c:v>3.8300000004000001</c:v>
                </c:pt>
                <c:pt idx="523">
                  <c:v>1.4500000008</c:v>
                </c:pt>
                <c:pt idx="524">
                  <c:v>0.46000000080000003</c:v>
                </c:pt>
                <c:pt idx="525">
                  <c:v>0.46000000080000003</c:v>
                </c:pt>
                <c:pt idx="526">
                  <c:v>2.1399999984</c:v>
                </c:pt>
                <c:pt idx="527">
                  <c:v>2.1399999984</c:v>
                </c:pt>
                <c:pt idx="528">
                  <c:v>5.7600000000000007</c:v>
                </c:pt>
                <c:pt idx="529">
                  <c:v>5.7600000000000007</c:v>
                </c:pt>
                <c:pt idx="530">
                  <c:v>10.199999998800001</c:v>
                </c:pt>
                <c:pt idx="531">
                  <c:v>14.0000000004</c:v>
                </c:pt>
                <c:pt idx="532">
                  <c:v>18.380000001599999</c:v>
                </c:pt>
                <c:pt idx="533">
                  <c:v>22.41</c:v>
                </c:pt>
                <c:pt idx="534">
                  <c:v>22.41</c:v>
                </c:pt>
                <c:pt idx="535">
                  <c:v>22.41</c:v>
                </c:pt>
                <c:pt idx="536">
                  <c:v>31.0899999996</c:v>
                </c:pt>
                <c:pt idx="537">
                  <c:v>35.550000000000004</c:v>
                </c:pt>
                <c:pt idx="538">
                  <c:v>39.719999987999998</c:v>
                </c:pt>
                <c:pt idx="539">
                  <c:v>39.719999987999998</c:v>
                </c:pt>
                <c:pt idx="540">
                  <c:v>39.719999987999998</c:v>
                </c:pt>
                <c:pt idx="541">
                  <c:v>43.220000016</c:v>
                </c:pt>
                <c:pt idx="542">
                  <c:v>45.889999992</c:v>
                </c:pt>
                <c:pt idx="543">
                  <c:v>48.51</c:v>
                </c:pt>
                <c:pt idx="544">
                  <c:v>50.659999992000003</c:v>
                </c:pt>
                <c:pt idx="545">
                  <c:v>50.659999992000003</c:v>
                </c:pt>
                <c:pt idx="546">
                  <c:v>52.880000003999996</c:v>
                </c:pt>
                <c:pt idx="547">
                  <c:v>55.199999988000002</c:v>
                </c:pt>
                <c:pt idx="548">
                  <c:v>56.949999984000002</c:v>
                </c:pt>
                <c:pt idx="549">
                  <c:v>57.710000016000002</c:v>
                </c:pt>
                <c:pt idx="550">
                  <c:v>58.29999998400001</c:v>
                </c:pt>
                <c:pt idx="551">
                  <c:v>58.29999998400001</c:v>
                </c:pt>
                <c:pt idx="552">
                  <c:v>59.259999996000005</c:v>
                </c:pt>
                <c:pt idx="553">
                  <c:v>59.450000004000003</c:v>
                </c:pt>
                <c:pt idx="554">
                  <c:v>59.810000003999995</c:v>
                </c:pt>
                <c:pt idx="555">
                  <c:v>60.009999983999997</c:v>
                </c:pt>
                <c:pt idx="556">
                  <c:v>60.009999983999997</c:v>
                </c:pt>
                <c:pt idx="557">
                  <c:v>60.009999983999997</c:v>
                </c:pt>
                <c:pt idx="558">
                  <c:v>59.370000012000006</c:v>
                </c:pt>
                <c:pt idx="559">
                  <c:v>58.830000011999999</c:v>
                </c:pt>
                <c:pt idx="560">
                  <c:v>58.830000011999999</c:v>
                </c:pt>
                <c:pt idx="561">
                  <c:v>58.830000011999999</c:v>
                </c:pt>
                <c:pt idx="562">
                  <c:v>58.259999988000004</c:v>
                </c:pt>
                <c:pt idx="563">
                  <c:v>56.549999988000003</c:v>
                </c:pt>
                <c:pt idx="564">
                  <c:v>56.549999988000003</c:v>
                </c:pt>
                <c:pt idx="565">
                  <c:v>53.849999988</c:v>
                </c:pt>
                <c:pt idx="566">
                  <c:v>52.2</c:v>
                </c:pt>
                <c:pt idx="567">
                  <c:v>51.069999996</c:v>
                </c:pt>
                <c:pt idx="568">
                  <c:v>51.069999996</c:v>
                </c:pt>
                <c:pt idx="569">
                  <c:v>49.970000016</c:v>
                </c:pt>
                <c:pt idx="570">
                  <c:v>48.170000015999996</c:v>
                </c:pt>
                <c:pt idx="571">
                  <c:v>48.170000015999996</c:v>
                </c:pt>
                <c:pt idx="572">
                  <c:v>48.170000015999996</c:v>
                </c:pt>
                <c:pt idx="573">
                  <c:v>47.180000016000001</c:v>
                </c:pt>
                <c:pt idx="574">
                  <c:v>46.940000004000005</c:v>
                </c:pt>
                <c:pt idx="575">
                  <c:v>46.940000004000005</c:v>
                </c:pt>
                <c:pt idx="576">
                  <c:v>46.940000004000005</c:v>
                </c:pt>
                <c:pt idx="577">
                  <c:v>47.409999984000002</c:v>
                </c:pt>
                <c:pt idx="578">
                  <c:v>48.650000004000006</c:v>
                </c:pt>
                <c:pt idx="579">
                  <c:v>49.719999996000006</c:v>
                </c:pt>
                <c:pt idx="580">
                  <c:v>50.820000012000001</c:v>
                </c:pt>
                <c:pt idx="581">
                  <c:v>53.250000012000001</c:v>
                </c:pt>
                <c:pt idx="582">
                  <c:v>56.229999984000003</c:v>
                </c:pt>
                <c:pt idx="583">
                  <c:v>58.830000011999999</c:v>
                </c:pt>
                <c:pt idx="584">
                  <c:v>58.830000011999999</c:v>
                </c:pt>
                <c:pt idx="585">
                  <c:v>61.430000004000007</c:v>
                </c:pt>
                <c:pt idx="586">
                  <c:v>62.650000008000006</c:v>
                </c:pt>
                <c:pt idx="587">
                  <c:v>62.650000008000006</c:v>
                </c:pt>
                <c:pt idx="588">
                  <c:v>62.650000008000006</c:v>
                </c:pt>
                <c:pt idx="589">
                  <c:v>63.879999983999994</c:v>
                </c:pt>
                <c:pt idx="590">
                  <c:v>63.879999983999994</c:v>
                </c:pt>
                <c:pt idx="591">
                  <c:v>64.260000000000005</c:v>
                </c:pt>
                <c:pt idx="592">
                  <c:v>64.829999987999997</c:v>
                </c:pt>
                <c:pt idx="593">
                  <c:v>65.000000016000001</c:v>
                </c:pt>
                <c:pt idx="594">
                  <c:v>65.189999988000011</c:v>
                </c:pt>
                <c:pt idx="595">
                  <c:v>65.109999995999999</c:v>
                </c:pt>
                <c:pt idx="596">
                  <c:v>64.760000003999991</c:v>
                </c:pt>
                <c:pt idx="597">
                  <c:v>64.779999984</c:v>
                </c:pt>
                <c:pt idx="598">
                  <c:v>64.89</c:v>
                </c:pt>
                <c:pt idx="599">
                  <c:v>65.030000004000001</c:v>
                </c:pt>
                <c:pt idx="600">
                  <c:v>65.180000015999994</c:v>
                </c:pt>
                <c:pt idx="601">
                  <c:v>65.189999988000011</c:v>
                </c:pt>
                <c:pt idx="602">
                  <c:v>65.409999983999995</c:v>
                </c:pt>
                <c:pt idx="603">
                  <c:v>65.490000011999996</c:v>
                </c:pt>
                <c:pt idx="604">
                  <c:v>65.580000011999999</c:v>
                </c:pt>
                <c:pt idx="605">
                  <c:v>65.580000011999999</c:v>
                </c:pt>
                <c:pt idx="606">
                  <c:v>65.800000008000012</c:v>
                </c:pt>
                <c:pt idx="607">
                  <c:v>65.769999984000009</c:v>
                </c:pt>
                <c:pt idx="608">
                  <c:v>65.750000004</c:v>
                </c:pt>
                <c:pt idx="609">
                  <c:v>65.980000008000005</c:v>
                </c:pt>
                <c:pt idx="610">
                  <c:v>65.459999988000007</c:v>
                </c:pt>
                <c:pt idx="611">
                  <c:v>65.459999988000007</c:v>
                </c:pt>
                <c:pt idx="612">
                  <c:v>65.180000015999994</c:v>
                </c:pt>
                <c:pt idx="613">
                  <c:v>65.180000015999994</c:v>
                </c:pt>
                <c:pt idx="614">
                  <c:v>64.509999984000004</c:v>
                </c:pt>
                <c:pt idx="615">
                  <c:v>63.050000004000005</c:v>
                </c:pt>
                <c:pt idx="616">
                  <c:v>62.200000008000004</c:v>
                </c:pt>
                <c:pt idx="617">
                  <c:v>62.200000008000004</c:v>
                </c:pt>
                <c:pt idx="618">
                  <c:v>60.249999996</c:v>
                </c:pt>
                <c:pt idx="619">
                  <c:v>60.249999996</c:v>
                </c:pt>
                <c:pt idx="620">
                  <c:v>59.119999991999997</c:v>
                </c:pt>
                <c:pt idx="621">
                  <c:v>58.029999984</c:v>
                </c:pt>
                <c:pt idx="622">
                  <c:v>56.589999984000002</c:v>
                </c:pt>
                <c:pt idx="623">
                  <c:v>54.110000016000001</c:v>
                </c:pt>
                <c:pt idx="624">
                  <c:v>51.930000000000007</c:v>
                </c:pt>
                <c:pt idx="625">
                  <c:v>50.010000011999999</c:v>
                </c:pt>
                <c:pt idx="626">
                  <c:v>50.010000011999999</c:v>
                </c:pt>
                <c:pt idx="627">
                  <c:v>48.380000003999996</c:v>
                </c:pt>
                <c:pt idx="628">
                  <c:v>46.860000012</c:v>
                </c:pt>
                <c:pt idx="629">
                  <c:v>45.140000004000001</c:v>
                </c:pt>
                <c:pt idx="630">
                  <c:v>43.350000012000002</c:v>
                </c:pt>
                <c:pt idx="631">
                  <c:v>41.879999988000002</c:v>
                </c:pt>
                <c:pt idx="632">
                  <c:v>41.879999988000002</c:v>
                </c:pt>
                <c:pt idx="633">
                  <c:v>41.879999988000002</c:v>
                </c:pt>
                <c:pt idx="634">
                  <c:v>40.700000016000004</c:v>
                </c:pt>
                <c:pt idx="635">
                  <c:v>39.530000016000002</c:v>
                </c:pt>
                <c:pt idx="636">
                  <c:v>38.639999988000007</c:v>
                </c:pt>
                <c:pt idx="637">
                  <c:v>37.569999996</c:v>
                </c:pt>
                <c:pt idx="638">
                  <c:v>37.569999996</c:v>
                </c:pt>
                <c:pt idx="639">
                  <c:v>37.569999996</c:v>
                </c:pt>
                <c:pt idx="640">
                  <c:v>36.249999983999999</c:v>
                </c:pt>
                <c:pt idx="641">
                  <c:v>34.449999998400003</c:v>
                </c:pt>
                <c:pt idx="642">
                  <c:v>31.960000000800001</c:v>
                </c:pt>
                <c:pt idx="643">
                  <c:v>29.180000001600003</c:v>
                </c:pt>
                <c:pt idx="644">
                  <c:v>29.180000001600003</c:v>
                </c:pt>
                <c:pt idx="645">
                  <c:v>21.7500000012</c:v>
                </c:pt>
                <c:pt idx="646">
                  <c:v>18.870000001199998</c:v>
                </c:pt>
                <c:pt idx="647">
                  <c:v>15.03</c:v>
                </c:pt>
                <c:pt idx="648">
                  <c:v>15.03</c:v>
                </c:pt>
                <c:pt idx="649">
                  <c:v>11.109999999600001</c:v>
                </c:pt>
                <c:pt idx="650">
                  <c:v>6.8900000004000006</c:v>
                </c:pt>
                <c:pt idx="651">
                  <c:v>3.2799999995999998</c:v>
                </c:pt>
                <c:pt idx="652">
                  <c:v>0.87000000119999998</c:v>
                </c:pt>
                <c:pt idx="653">
                  <c:v>0.54</c:v>
                </c:pt>
                <c:pt idx="654">
                  <c:v>0.54</c:v>
                </c:pt>
                <c:pt idx="655">
                  <c:v>0</c:v>
                </c:pt>
                <c:pt idx="656">
                  <c:v>1.9100000016000003</c:v>
                </c:pt>
                <c:pt idx="657">
                  <c:v>1.9100000016000003</c:v>
                </c:pt>
                <c:pt idx="658">
                  <c:v>1.9100000016000003</c:v>
                </c:pt>
                <c:pt idx="659">
                  <c:v>6.0699999996000003</c:v>
                </c:pt>
                <c:pt idx="660">
                  <c:v>10.170000000000002</c:v>
                </c:pt>
                <c:pt idx="661">
                  <c:v>10.170000000000002</c:v>
                </c:pt>
                <c:pt idx="662">
                  <c:v>14.519999998799999</c:v>
                </c:pt>
                <c:pt idx="663">
                  <c:v>18.600000001200002</c:v>
                </c:pt>
                <c:pt idx="664">
                  <c:v>18.600000001200002</c:v>
                </c:pt>
                <c:pt idx="665">
                  <c:v>22.8899999988</c:v>
                </c:pt>
                <c:pt idx="666">
                  <c:v>27.039999999599999</c:v>
                </c:pt>
                <c:pt idx="667">
                  <c:v>31.309999999200002</c:v>
                </c:pt>
                <c:pt idx="668">
                  <c:v>34.019999999999996</c:v>
                </c:pt>
                <c:pt idx="669">
                  <c:v>34.940000001600005</c:v>
                </c:pt>
                <c:pt idx="670">
                  <c:v>35.6799999996</c:v>
                </c:pt>
                <c:pt idx="671">
                  <c:v>35.6799999996</c:v>
                </c:pt>
                <c:pt idx="672">
                  <c:v>36.370000008000005</c:v>
                </c:pt>
                <c:pt idx="673">
                  <c:v>36.370000008000005</c:v>
                </c:pt>
                <c:pt idx="674">
                  <c:v>36.939999995999997</c:v>
                </c:pt>
                <c:pt idx="675">
                  <c:v>36.370000008000005</c:v>
                </c:pt>
                <c:pt idx="676">
                  <c:v>35.64</c:v>
                </c:pt>
                <c:pt idx="677">
                  <c:v>35.64</c:v>
                </c:pt>
                <c:pt idx="678">
                  <c:v>34.4300000004</c:v>
                </c:pt>
                <c:pt idx="679">
                  <c:v>32.49</c:v>
                </c:pt>
                <c:pt idx="680">
                  <c:v>31.010000000400002</c:v>
                </c:pt>
                <c:pt idx="681">
                  <c:v>29.580000001200002</c:v>
                </c:pt>
                <c:pt idx="682">
                  <c:v>27.870000001199998</c:v>
                </c:pt>
                <c:pt idx="683">
                  <c:v>25.8400000008</c:v>
                </c:pt>
                <c:pt idx="684">
                  <c:v>23.829999998400002</c:v>
                </c:pt>
                <c:pt idx="685">
                  <c:v>23.829999998400002</c:v>
                </c:pt>
                <c:pt idx="686">
                  <c:v>20.43</c:v>
                </c:pt>
                <c:pt idx="687">
                  <c:v>19.950000001200003</c:v>
                </c:pt>
                <c:pt idx="688">
                  <c:v>19.950000001200003</c:v>
                </c:pt>
                <c:pt idx="689">
                  <c:v>19.950000001200003</c:v>
                </c:pt>
                <c:pt idx="690">
                  <c:v>19.130000000400003</c:v>
                </c:pt>
                <c:pt idx="691">
                  <c:v>18.969999998400002</c:v>
                </c:pt>
                <c:pt idx="692">
                  <c:v>18.809999999999999</c:v>
                </c:pt>
                <c:pt idx="693">
                  <c:v>18.7700000004</c:v>
                </c:pt>
                <c:pt idx="694">
                  <c:v>18.7499999988</c:v>
                </c:pt>
                <c:pt idx="695">
                  <c:v>18.540000000000003</c:v>
                </c:pt>
                <c:pt idx="696">
                  <c:v>18.489999999600002</c:v>
                </c:pt>
                <c:pt idx="697">
                  <c:v>18.2499999984</c:v>
                </c:pt>
                <c:pt idx="698">
                  <c:v>17.960000000400001</c:v>
                </c:pt>
                <c:pt idx="699">
                  <c:v>17.899999999200002</c:v>
                </c:pt>
                <c:pt idx="700">
                  <c:v>17.9799999984</c:v>
                </c:pt>
                <c:pt idx="701">
                  <c:v>18.190000000800001</c:v>
                </c:pt>
                <c:pt idx="702">
                  <c:v>18.4299999984</c:v>
                </c:pt>
                <c:pt idx="703">
                  <c:v>18.690000001200001</c:v>
                </c:pt>
                <c:pt idx="704">
                  <c:v>19.010000001600002</c:v>
                </c:pt>
                <c:pt idx="705">
                  <c:v>19.010000001600002</c:v>
                </c:pt>
                <c:pt idx="706">
                  <c:v>19.829999998800002</c:v>
                </c:pt>
                <c:pt idx="707">
                  <c:v>20.149999999200002</c:v>
                </c:pt>
                <c:pt idx="708">
                  <c:v>20.149999999200002</c:v>
                </c:pt>
                <c:pt idx="709">
                  <c:v>21.78</c:v>
                </c:pt>
                <c:pt idx="710">
                  <c:v>21.78</c:v>
                </c:pt>
                <c:pt idx="711">
                  <c:v>27.3200000004</c:v>
                </c:pt>
                <c:pt idx="712">
                  <c:v>29.469999999600002</c:v>
                </c:pt>
                <c:pt idx="713">
                  <c:v>31.579999999200002</c:v>
                </c:pt>
                <c:pt idx="714">
                  <c:v>33.350000000400001</c:v>
                </c:pt>
                <c:pt idx="715">
                  <c:v>33.350000000400001</c:v>
                </c:pt>
                <c:pt idx="716">
                  <c:v>34.869999999600005</c:v>
                </c:pt>
                <c:pt idx="717">
                  <c:v>34.869999999600005</c:v>
                </c:pt>
                <c:pt idx="718">
                  <c:v>34.869999999600005</c:v>
                </c:pt>
                <c:pt idx="719">
                  <c:v>36.600000012000002</c:v>
                </c:pt>
                <c:pt idx="720">
                  <c:v>36.799999992000004</c:v>
                </c:pt>
                <c:pt idx="721">
                  <c:v>36.799999992000004</c:v>
                </c:pt>
                <c:pt idx="722">
                  <c:v>36.799999992000004</c:v>
                </c:pt>
                <c:pt idx="723">
                  <c:v>35.880000001200003</c:v>
                </c:pt>
                <c:pt idx="724">
                  <c:v>35.399999998800006</c:v>
                </c:pt>
                <c:pt idx="725">
                  <c:v>35.4300000012</c:v>
                </c:pt>
                <c:pt idx="726">
                  <c:v>35.4300000012</c:v>
                </c:pt>
                <c:pt idx="727">
                  <c:v>35.399999998800006</c:v>
                </c:pt>
                <c:pt idx="728">
                  <c:v>35.769999999600003</c:v>
                </c:pt>
                <c:pt idx="729">
                  <c:v>36.069999983999999</c:v>
                </c:pt>
                <c:pt idx="730">
                  <c:v>36.299999988000003</c:v>
                </c:pt>
                <c:pt idx="731">
                  <c:v>36.299999988000003</c:v>
                </c:pt>
                <c:pt idx="732">
                  <c:v>36.849999996000001</c:v>
                </c:pt>
                <c:pt idx="733">
                  <c:v>38.080000007999999</c:v>
                </c:pt>
                <c:pt idx="734">
                  <c:v>42.609999995999999</c:v>
                </c:pt>
                <c:pt idx="735">
                  <c:v>42.609999995999999</c:v>
                </c:pt>
                <c:pt idx="736">
                  <c:v>46.839999996000003</c:v>
                </c:pt>
                <c:pt idx="737">
                  <c:v>50.609999987999998</c:v>
                </c:pt>
                <c:pt idx="738">
                  <c:v>54</c:v>
                </c:pt>
                <c:pt idx="739">
                  <c:v>54</c:v>
                </c:pt>
                <c:pt idx="740">
                  <c:v>55.980000000000004</c:v>
                </c:pt>
                <c:pt idx="741">
                  <c:v>57.06</c:v>
                </c:pt>
                <c:pt idx="742">
                  <c:v>57.06</c:v>
                </c:pt>
                <c:pt idx="743">
                  <c:v>58.370000003999998</c:v>
                </c:pt>
                <c:pt idx="744">
                  <c:v>58.619999988000004</c:v>
                </c:pt>
                <c:pt idx="745">
                  <c:v>58.290000012</c:v>
                </c:pt>
                <c:pt idx="746">
                  <c:v>57.790000008</c:v>
                </c:pt>
                <c:pt idx="747">
                  <c:v>57.790000008</c:v>
                </c:pt>
                <c:pt idx="748">
                  <c:v>57.579999984000004</c:v>
                </c:pt>
                <c:pt idx="749">
                  <c:v>57.120000012000006</c:v>
                </c:pt>
                <c:pt idx="750">
                  <c:v>57.120000012000006</c:v>
                </c:pt>
                <c:pt idx="751">
                  <c:v>56.540000016</c:v>
                </c:pt>
                <c:pt idx="752">
                  <c:v>56.149999992000005</c:v>
                </c:pt>
                <c:pt idx="753">
                  <c:v>55.839999996000003</c:v>
                </c:pt>
                <c:pt idx="754">
                  <c:v>55.839999996000003</c:v>
                </c:pt>
                <c:pt idx="755">
                  <c:v>55.839999996000003</c:v>
                </c:pt>
                <c:pt idx="756">
                  <c:v>55.360000008</c:v>
                </c:pt>
                <c:pt idx="757">
                  <c:v>54.579999996000005</c:v>
                </c:pt>
                <c:pt idx="758">
                  <c:v>54.579999996000005</c:v>
                </c:pt>
                <c:pt idx="759">
                  <c:v>52.520000004000003</c:v>
                </c:pt>
                <c:pt idx="760">
                  <c:v>50.169999996000001</c:v>
                </c:pt>
                <c:pt idx="761">
                  <c:v>50.169999996000001</c:v>
                </c:pt>
                <c:pt idx="762">
                  <c:v>47.79</c:v>
                </c:pt>
                <c:pt idx="763">
                  <c:v>47.79</c:v>
                </c:pt>
                <c:pt idx="764">
                  <c:v>45.050000004000005</c:v>
                </c:pt>
                <c:pt idx="765">
                  <c:v>42.03</c:v>
                </c:pt>
                <c:pt idx="766">
                  <c:v>38.97</c:v>
                </c:pt>
                <c:pt idx="767">
                  <c:v>36.010000008000006</c:v>
                </c:pt>
                <c:pt idx="768">
                  <c:v>33.689999998799998</c:v>
                </c:pt>
                <c:pt idx="769">
                  <c:v>30.9300000012</c:v>
                </c:pt>
                <c:pt idx="770">
                  <c:v>28.08</c:v>
                </c:pt>
                <c:pt idx="771">
                  <c:v>25.369999999200001</c:v>
                </c:pt>
                <c:pt idx="772">
                  <c:v>22.780000000800001</c:v>
                </c:pt>
                <c:pt idx="773">
                  <c:v>19.689999998399998</c:v>
                </c:pt>
                <c:pt idx="774">
                  <c:v>16.650000000000002</c:v>
                </c:pt>
                <c:pt idx="775">
                  <c:v>13.269999999600001</c:v>
                </c:pt>
                <c:pt idx="776">
                  <c:v>9.6000000011999997</c:v>
                </c:pt>
                <c:pt idx="777">
                  <c:v>6.4299999996000006</c:v>
                </c:pt>
                <c:pt idx="778">
                  <c:v>6.4299999996000006</c:v>
                </c:pt>
                <c:pt idx="779">
                  <c:v>0.63</c:v>
                </c:pt>
                <c:pt idx="780">
                  <c:v>0.63</c:v>
                </c:pt>
                <c:pt idx="781">
                  <c:v>0.56999999879999996</c:v>
                </c:pt>
                <c:pt idx="782">
                  <c:v>0.56999999879999996</c:v>
                </c:pt>
                <c:pt idx="783">
                  <c:v>0</c:v>
                </c:pt>
                <c:pt idx="784">
                  <c:v>2.6499999996000003</c:v>
                </c:pt>
                <c:pt idx="785">
                  <c:v>2.6499999996000003</c:v>
                </c:pt>
                <c:pt idx="786">
                  <c:v>2.6499999996000003</c:v>
                </c:pt>
                <c:pt idx="787">
                  <c:v>7.5399999984000008</c:v>
                </c:pt>
                <c:pt idx="788">
                  <c:v>9.8700000012000011</c:v>
                </c:pt>
                <c:pt idx="789">
                  <c:v>9.8700000012000011</c:v>
                </c:pt>
                <c:pt idx="790">
                  <c:v>12.1600000008</c:v>
                </c:pt>
                <c:pt idx="791">
                  <c:v>12.4099999992</c:v>
                </c:pt>
                <c:pt idx="792">
                  <c:v>12.0899999988</c:v>
                </c:pt>
                <c:pt idx="793">
                  <c:v>12.449999998800001</c:v>
                </c:pt>
                <c:pt idx="794">
                  <c:v>12.4899999984</c:v>
                </c:pt>
                <c:pt idx="795">
                  <c:v>12.039999998400001</c:v>
                </c:pt>
                <c:pt idx="796">
                  <c:v>11.599999999200001</c:v>
                </c:pt>
                <c:pt idx="797">
                  <c:v>11.130000001200001</c:v>
                </c:pt>
                <c:pt idx="798">
                  <c:v>11.130000001200001</c:v>
                </c:pt>
                <c:pt idx="799">
                  <c:v>10.71</c:v>
                </c:pt>
                <c:pt idx="800">
                  <c:v>10.2499999992</c:v>
                </c:pt>
                <c:pt idx="801">
                  <c:v>11.530000000800001</c:v>
                </c:pt>
                <c:pt idx="802">
                  <c:v>14.2400000016</c:v>
                </c:pt>
                <c:pt idx="803">
                  <c:v>16.880000000400003</c:v>
                </c:pt>
                <c:pt idx="804">
                  <c:v>19.209999999600001</c:v>
                </c:pt>
                <c:pt idx="805">
                  <c:v>19.209999999600001</c:v>
                </c:pt>
                <c:pt idx="806">
                  <c:v>21.790000000800003</c:v>
                </c:pt>
                <c:pt idx="807">
                  <c:v>21.790000000800003</c:v>
                </c:pt>
                <c:pt idx="808">
                  <c:v>23.839999999200003</c:v>
                </c:pt>
                <c:pt idx="809">
                  <c:v>25.220000001599999</c:v>
                </c:pt>
                <c:pt idx="810">
                  <c:v>26.64</c:v>
                </c:pt>
                <c:pt idx="811">
                  <c:v>27.920000001600002</c:v>
                </c:pt>
                <c:pt idx="812">
                  <c:v>28.599999998400001</c:v>
                </c:pt>
                <c:pt idx="813">
                  <c:v>29.670000001200002</c:v>
                </c:pt>
                <c:pt idx="814">
                  <c:v>30.989999998799998</c:v>
                </c:pt>
                <c:pt idx="815">
                  <c:v>32.780000001600001</c:v>
                </c:pt>
                <c:pt idx="816">
                  <c:v>34.6799999988</c:v>
                </c:pt>
                <c:pt idx="817">
                  <c:v>36.709999992</c:v>
                </c:pt>
                <c:pt idx="818">
                  <c:v>37.959999984</c:v>
                </c:pt>
                <c:pt idx="819">
                  <c:v>39.089999988000002</c:v>
                </c:pt>
                <c:pt idx="820">
                  <c:v>39.089999988000002</c:v>
                </c:pt>
                <c:pt idx="821">
                  <c:v>42.080000003999999</c:v>
                </c:pt>
                <c:pt idx="822">
                  <c:v>43.2</c:v>
                </c:pt>
                <c:pt idx="823">
                  <c:v>43.949999988000002</c:v>
                </c:pt>
                <c:pt idx="824">
                  <c:v>44.830000007999999</c:v>
                </c:pt>
                <c:pt idx="825">
                  <c:v>44.830000007999999</c:v>
                </c:pt>
                <c:pt idx="826">
                  <c:v>44.830000007999999</c:v>
                </c:pt>
                <c:pt idx="827">
                  <c:v>45.650000016</c:v>
                </c:pt>
                <c:pt idx="828">
                  <c:v>45.929999987999999</c:v>
                </c:pt>
                <c:pt idx="829">
                  <c:v>46.019999988000002</c:v>
                </c:pt>
                <c:pt idx="830">
                  <c:v>46.019999988000002</c:v>
                </c:pt>
                <c:pt idx="831">
                  <c:v>45.849999996000001</c:v>
                </c:pt>
                <c:pt idx="832">
                  <c:v>45.789999984000005</c:v>
                </c:pt>
                <c:pt idx="833">
                  <c:v>45.619999992000004</c:v>
                </c:pt>
                <c:pt idx="834">
                  <c:v>45.429999984000005</c:v>
                </c:pt>
                <c:pt idx="835">
                  <c:v>45.290000016</c:v>
                </c:pt>
                <c:pt idx="836">
                  <c:v>45.290000016</c:v>
                </c:pt>
                <c:pt idx="837">
                  <c:v>45.129999996000002</c:v>
                </c:pt>
                <c:pt idx="838">
                  <c:v>45.129999996000002</c:v>
                </c:pt>
                <c:pt idx="839">
                  <c:v>45.129999996000002</c:v>
                </c:pt>
                <c:pt idx="840">
                  <c:v>44.870000003999998</c:v>
                </c:pt>
                <c:pt idx="841">
                  <c:v>44.870000003999998</c:v>
                </c:pt>
                <c:pt idx="842">
                  <c:v>44.870000003999998</c:v>
                </c:pt>
                <c:pt idx="843">
                  <c:v>44.489999988000001</c:v>
                </c:pt>
                <c:pt idx="844">
                  <c:v>43.65</c:v>
                </c:pt>
                <c:pt idx="845">
                  <c:v>42.099999984</c:v>
                </c:pt>
                <c:pt idx="846">
                  <c:v>42.099999984</c:v>
                </c:pt>
                <c:pt idx="847">
                  <c:v>40.280000004000001</c:v>
                </c:pt>
                <c:pt idx="848">
                  <c:v>39.549999995999997</c:v>
                </c:pt>
                <c:pt idx="849">
                  <c:v>39.549999995999997</c:v>
                </c:pt>
                <c:pt idx="850">
                  <c:v>38.890000008000001</c:v>
                </c:pt>
                <c:pt idx="851">
                  <c:v>38.07</c:v>
                </c:pt>
                <c:pt idx="852">
                  <c:v>37.080000000000005</c:v>
                </c:pt>
                <c:pt idx="853">
                  <c:v>36.169999992000001</c:v>
                </c:pt>
                <c:pt idx="854">
                  <c:v>33.8600000016</c:v>
                </c:pt>
                <c:pt idx="855">
                  <c:v>31.8200000004</c:v>
                </c:pt>
                <c:pt idx="856">
                  <c:v>30.69</c:v>
                </c:pt>
                <c:pt idx="857">
                  <c:v>29.120000000400001</c:v>
                </c:pt>
                <c:pt idx="858">
                  <c:v>27.45</c:v>
                </c:pt>
                <c:pt idx="859">
                  <c:v>27.45</c:v>
                </c:pt>
                <c:pt idx="860">
                  <c:v>25.490000001600002</c:v>
                </c:pt>
                <c:pt idx="861">
                  <c:v>23.799999999600001</c:v>
                </c:pt>
                <c:pt idx="862">
                  <c:v>21.890000001600001</c:v>
                </c:pt>
                <c:pt idx="863">
                  <c:v>19.079999999999998</c:v>
                </c:pt>
                <c:pt idx="864">
                  <c:v>15.4400000004</c:v>
                </c:pt>
                <c:pt idx="865">
                  <c:v>15.4400000004</c:v>
                </c:pt>
                <c:pt idx="866">
                  <c:v>12.9999999996</c:v>
                </c:pt>
                <c:pt idx="867">
                  <c:v>12.9999999996</c:v>
                </c:pt>
                <c:pt idx="868">
                  <c:v>12.210000001200001</c:v>
                </c:pt>
                <c:pt idx="869">
                  <c:v>12.210000001200001</c:v>
                </c:pt>
                <c:pt idx="870">
                  <c:v>12.020000000400001</c:v>
                </c:pt>
                <c:pt idx="871">
                  <c:v>12.5799999984</c:v>
                </c:pt>
                <c:pt idx="872">
                  <c:v>13.200000001199999</c:v>
                </c:pt>
                <c:pt idx="873">
                  <c:v>13.200000001199999</c:v>
                </c:pt>
                <c:pt idx="874">
                  <c:v>14.2300000008</c:v>
                </c:pt>
                <c:pt idx="875">
                  <c:v>14.2300000008</c:v>
                </c:pt>
                <c:pt idx="876">
                  <c:v>14.9299999992</c:v>
                </c:pt>
                <c:pt idx="877">
                  <c:v>14.9900000004</c:v>
                </c:pt>
                <c:pt idx="878">
                  <c:v>14.9900000004</c:v>
                </c:pt>
                <c:pt idx="879">
                  <c:v>14.690000001600001</c:v>
                </c:pt>
                <c:pt idx="880">
                  <c:v>14.690000001600001</c:v>
                </c:pt>
                <c:pt idx="881">
                  <c:v>14.3399999988</c:v>
                </c:pt>
                <c:pt idx="882">
                  <c:v>14.3399999988</c:v>
                </c:pt>
                <c:pt idx="883">
                  <c:v>14.3399999988</c:v>
                </c:pt>
                <c:pt idx="884">
                  <c:v>13.6900000008</c:v>
                </c:pt>
                <c:pt idx="885">
                  <c:v>13.3999999992</c:v>
                </c:pt>
                <c:pt idx="886">
                  <c:v>13.1500000008</c:v>
                </c:pt>
                <c:pt idx="887">
                  <c:v>13.1500000008</c:v>
                </c:pt>
                <c:pt idx="888">
                  <c:v>12.69</c:v>
                </c:pt>
                <c:pt idx="889">
                  <c:v>12.430000000800002</c:v>
                </c:pt>
                <c:pt idx="890">
                  <c:v>11.120000000400001</c:v>
                </c:pt>
                <c:pt idx="891">
                  <c:v>11.120000000400001</c:v>
                </c:pt>
                <c:pt idx="892">
                  <c:v>11.879999999999999</c:v>
                </c:pt>
                <c:pt idx="893">
                  <c:v>12.629999998800001</c:v>
                </c:pt>
                <c:pt idx="894">
                  <c:v>13.950000000000001</c:v>
                </c:pt>
                <c:pt idx="895">
                  <c:v>13.950000000000001</c:v>
                </c:pt>
                <c:pt idx="896">
                  <c:v>14.6000000016</c:v>
                </c:pt>
                <c:pt idx="897">
                  <c:v>14.889999999600001</c:v>
                </c:pt>
                <c:pt idx="898">
                  <c:v>14.820000001199999</c:v>
                </c:pt>
                <c:pt idx="899">
                  <c:v>14.529999999600001</c:v>
                </c:pt>
                <c:pt idx="900">
                  <c:v>14.529999999600001</c:v>
                </c:pt>
                <c:pt idx="901">
                  <c:v>14.289999998400001</c:v>
                </c:pt>
                <c:pt idx="902">
                  <c:v>14.289999998400001</c:v>
                </c:pt>
                <c:pt idx="903">
                  <c:v>14.289999998400001</c:v>
                </c:pt>
                <c:pt idx="904">
                  <c:v>14.019999998399999</c:v>
                </c:pt>
                <c:pt idx="905">
                  <c:v>14.019999998399999</c:v>
                </c:pt>
                <c:pt idx="906">
                  <c:v>14.3499999996</c:v>
                </c:pt>
                <c:pt idx="907">
                  <c:v>14.3499999996</c:v>
                </c:pt>
                <c:pt idx="908">
                  <c:v>15.450000001200001</c:v>
                </c:pt>
                <c:pt idx="909">
                  <c:v>16.1600000004</c:v>
                </c:pt>
                <c:pt idx="910">
                  <c:v>16.769999998799999</c:v>
                </c:pt>
                <c:pt idx="911">
                  <c:v>18.119999998800001</c:v>
                </c:pt>
                <c:pt idx="912">
                  <c:v>18.950000000400003</c:v>
                </c:pt>
                <c:pt idx="913">
                  <c:v>18.950000000400003</c:v>
                </c:pt>
                <c:pt idx="914">
                  <c:v>19.4799999996</c:v>
                </c:pt>
                <c:pt idx="915">
                  <c:v>19.89</c:v>
                </c:pt>
                <c:pt idx="916">
                  <c:v>19.89</c:v>
                </c:pt>
                <c:pt idx="917">
                  <c:v>20.099999998799998</c:v>
                </c:pt>
                <c:pt idx="918">
                  <c:v>20.310000001199999</c:v>
                </c:pt>
                <c:pt idx="919">
                  <c:v>20.310000001199999</c:v>
                </c:pt>
                <c:pt idx="920">
                  <c:v>20.369999998800001</c:v>
                </c:pt>
                <c:pt idx="921">
                  <c:v>20.369999998800001</c:v>
                </c:pt>
                <c:pt idx="922">
                  <c:v>20.3199999984</c:v>
                </c:pt>
                <c:pt idx="923">
                  <c:v>19.779999998400001</c:v>
                </c:pt>
                <c:pt idx="924">
                  <c:v>19.599999998400001</c:v>
                </c:pt>
                <c:pt idx="925">
                  <c:v>19.5900000012</c:v>
                </c:pt>
                <c:pt idx="926">
                  <c:v>19.649999998799998</c:v>
                </c:pt>
                <c:pt idx="927">
                  <c:v>19.779999998400001</c:v>
                </c:pt>
                <c:pt idx="928">
                  <c:v>19.940000000400001</c:v>
                </c:pt>
                <c:pt idx="929">
                  <c:v>20.080000000799998</c:v>
                </c:pt>
                <c:pt idx="930">
                  <c:v>20.080000000799998</c:v>
                </c:pt>
                <c:pt idx="931">
                  <c:v>20.080000000799998</c:v>
                </c:pt>
                <c:pt idx="932">
                  <c:v>20.869999999200001</c:v>
                </c:pt>
                <c:pt idx="933">
                  <c:v>21.170000001600002</c:v>
                </c:pt>
                <c:pt idx="934">
                  <c:v>21.170000001600002</c:v>
                </c:pt>
                <c:pt idx="935">
                  <c:v>21.260000001600002</c:v>
                </c:pt>
                <c:pt idx="936">
                  <c:v>21.2299999992</c:v>
                </c:pt>
                <c:pt idx="937">
                  <c:v>21.3199999992</c:v>
                </c:pt>
                <c:pt idx="938">
                  <c:v>21.3199999992</c:v>
                </c:pt>
                <c:pt idx="939">
                  <c:v>20.850000001200002</c:v>
                </c:pt>
                <c:pt idx="940">
                  <c:v>20.1800000016</c:v>
                </c:pt>
                <c:pt idx="941">
                  <c:v>20.1800000016</c:v>
                </c:pt>
                <c:pt idx="942">
                  <c:v>20.1800000016</c:v>
                </c:pt>
                <c:pt idx="943">
                  <c:v>17.579999998800002</c:v>
                </c:pt>
                <c:pt idx="944">
                  <c:v>15.800000000400003</c:v>
                </c:pt>
                <c:pt idx="945">
                  <c:v>13.550000000400001</c:v>
                </c:pt>
                <c:pt idx="946">
                  <c:v>10.789999999200001</c:v>
                </c:pt>
                <c:pt idx="947">
                  <c:v>7.6299999983999998</c:v>
                </c:pt>
                <c:pt idx="948">
                  <c:v>5.8799999987999998</c:v>
                </c:pt>
                <c:pt idx="949">
                  <c:v>3.9099999995999997</c:v>
                </c:pt>
                <c:pt idx="950">
                  <c:v>1.1000000016</c:v>
                </c:pt>
                <c:pt idx="951">
                  <c:v>0.63</c:v>
                </c:pt>
                <c:pt idx="952">
                  <c:v>0.63</c:v>
                </c:pt>
                <c:pt idx="953">
                  <c:v>0.78000000120000001</c:v>
                </c:pt>
                <c:pt idx="954">
                  <c:v>0.78000000120000001</c:v>
                </c:pt>
                <c:pt idx="955">
                  <c:v>0.78000000120000001</c:v>
                </c:pt>
                <c:pt idx="956">
                  <c:v>5.0299999992000002</c:v>
                </c:pt>
                <c:pt idx="957">
                  <c:v>9.2000000015999994</c:v>
                </c:pt>
                <c:pt idx="958">
                  <c:v>9.2000000015999994</c:v>
                </c:pt>
                <c:pt idx="959">
                  <c:v>18.519999998400003</c:v>
                </c:pt>
                <c:pt idx="960">
                  <c:v>22.079999998800002</c:v>
                </c:pt>
                <c:pt idx="961">
                  <c:v>22.079999998800002</c:v>
                </c:pt>
                <c:pt idx="962">
                  <c:v>26.200000000799999</c:v>
                </c:pt>
                <c:pt idx="963">
                  <c:v>29.9800000008</c:v>
                </c:pt>
                <c:pt idx="964">
                  <c:v>33.119999999999997</c:v>
                </c:pt>
                <c:pt idx="965">
                  <c:v>36.280000008000002</c:v>
                </c:pt>
                <c:pt idx="966">
                  <c:v>39.409999992000003</c:v>
                </c:pt>
                <c:pt idx="967">
                  <c:v>42.57</c:v>
                </c:pt>
                <c:pt idx="968">
                  <c:v>42.57</c:v>
                </c:pt>
                <c:pt idx="969">
                  <c:v>46.000000008000001</c:v>
                </c:pt>
                <c:pt idx="970">
                  <c:v>46.000000008000001</c:v>
                </c:pt>
                <c:pt idx="971">
                  <c:v>49.41</c:v>
                </c:pt>
                <c:pt idx="972">
                  <c:v>52.279999992</c:v>
                </c:pt>
                <c:pt idx="973">
                  <c:v>55.029999996000001</c:v>
                </c:pt>
                <c:pt idx="974">
                  <c:v>55.029999996000001</c:v>
                </c:pt>
                <c:pt idx="975">
                  <c:v>57.740000003999995</c:v>
                </c:pt>
                <c:pt idx="976">
                  <c:v>58.730000004000004</c:v>
                </c:pt>
                <c:pt idx="977">
                  <c:v>58.730000004000004</c:v>
                </c:pt>
                <c:pt idx="978">
                  <c:v>59.919999984000007</c:v>
                </c:pt>
                <c:pt idx="979">
                  <c:v>60.980000004000004</c:v>
                </c:pt>
                <c:pt idx="980">
                  <c:v>62.079999983999997</c:v>
                </c:pt>
                <c:pt idx="981">
                  <c:v>62.340000012000004</c:v>
                </c:pt>
                <c:pt idx="982">
                  <c:v>62.489999988000001</c:v>
                </c:pt>
                <c:pt idx="983">
                  <c:v>62.579999987999997</c:v>
                </c:pt>
                <c:pt idx="984">
                  <c:v>62.629999992000002</c:v>
                </c:pt>
                <c:pt idx="985">
                  <c:v>62.849999987999993</c:v>
                </c:pt>
                <c:pt idx="986">
                  <c:v>63.129999996000002</c:v>
                </c:pt>
                <c:pt idx="987">
                  <c:v>63.020000016000004</c:v>
                </c:pt>
                <c:pt idx="988">
                  <c:v>62.38000000800001</c:v>
                </c:pt>
                <c:pt idx="989">
                  <c:v>62.38000000800001</c:v>
                </c:pt>
                <c:pt idx="990">
                  <c:v>61.549999991999996</c:v>
                </c:pt>
                <c:pt idx="991">
                  <c:v>61.359999983999998</c:v>
                </c:pt>
                <c:pt idx="992">
                  <c:v>61.139999988000007</c:v>
                </c:pt>
                <c:pt idx="993">
                  <c:v>61.139999988000007</c:v>
                </c:pt>
                <c:pt idx="994">
                  <c:v>61.139999988000007</c:v>
                </c:pt>
                <c:pt idx="995">
                  <c:v>59.590000007999997</c:v>
                </c:pt>
                <c:pt idx="996">
                  <c:v>57.679999991999999</c:v>
                </c:pt>
                <c:pt idx="997">
                  <c:v>55.050000011999998</c:v>
                </c:pt>
                <c:pt idx="998">
                  <c:v>52.890000012000002</c:v>
                </c:pt>
                <c:pt idx="999">
                  <c:v>52.890000012000002</c:v>
                </c:pt>
                <c:pt idx="1000">
                  <c:v>50.339999988000002</c:v>
                </c:pt>
                <c:pt idx="1001">
                  <c:v>48.579999984000004</c:v>
                </c:pt>
                <c:pt idx="1002">
                  <c:v>47.030000004000001</c:v>
                </c:pt>
                <c:pt idx="1003">
                  <c:v>47.030000004000001</c:v>
                </c:pt>
                <c:pt idx="1004">
                  <c:v>46.109999987999998</c:v>
                </c:pt>
                <c:pt idx="1005">
                  <c:v>46.069999992</c:v>
                </c:pt>
                <c:pt idx="1006">
                  <c:v>46.109999987999998</c:v>
                </c:pt>
                <c:pt idx="1007">
                  <c:v>46.130000003999996</c:v>
                </c:pt>
                <c:pt idx="1008">
                  <c:v>46.17</c:v>
                </c:pt>
                <c:pt idx="1009">
                  <c:v>46.080000000000005</c:v>
                </c:pt>
                <c:pt idx="1010">
                  <c:v>45.979999992000003</c:v>
                </c:pt>
                <c:pt idx="1011">
                  <c:v>45.889999992</c:v>
                </c:pt>
                <c:pt idx="1012">
                  <c:v>45.889999992</c:v>
                </c:pt>
                <c:pt idx="1013">
                  <c:v>46.770000012000004</c:v>
                </c:pt>
                <c:pt idx="1014">
                  <c:v>46.770000012000004</c:v>
                </c:pt>
                <c:pt idx="1015">
                  <c:v>53.430000012000001</c:v>
                </c:pt>
                <c:pt idx="1016">
                  <c:v>56.689999991999997</c:v>
                </c:pt>
                <c:pt idx="1017">
                  <c:v>58.579999991999998</c:v>
                </c:pt>
                <c:pt idx="1018">
                  <c:v>59.339999988000002</c:v>
                </c:pt>
                <c:pt idx="1019">
                  <c:v>59.379999983999994</c:v>
                </c:pt>
                <c:pt idx="1020">
                  <c:v>59.289999984000005</c:v>
                </c:pt>
                <c:pt idx="1021">
                  <c:v>59.140000008000001</c:v>
                </c:pt>
                <c:pt idx="1022">
                  <c:v>59.140000008000001</c:v>
                </c:pt>
                <c:pt idx="1023">
                  <c:v>58.979999987999996</c:v>
                </c:pt>
                <c:pt idx="1024">
                  <c:v>58.979999987999996</c:v>
                </c:pt>
                <c:pt idx="1025">
                  <c:v>58.680000000000007</c:v>
                </c:pt>
                <c:pt idx="1026">
                  <c:v>58.680000000000007</c:v>
                </c:pt>
                <c:pt idx="1027">
                  <c:v>57.549999995999997</c:v>
                </c:pt>
                <c:pt idx="1028">
                  <c:v>57.549999995999997</c:v>
                </c:pt>
                <c:pt idx="1029">
                  <c:v>56.599999992000001</c:v>
                </c:pt>
                <c:pt idx="1030">
                  <c:v>56.180000016000001</c:v>
                </c:pt>
                <c:pt idx="1031">
                  <c:v>54.399999995999998</c:v>
                </c:pt>
                <c:pt idx="1032">
                  <c:v>52.530000012000002</c:v>
                </c:pt>
                <c:pt idx="1033">
                  <c:v>49.430000016000001</c:v>
                </c:pt>
                <c:pt idx="1034">
                  <c:v>49.430000016000001</c:v>
                </c:pt>
                <c:pt idx="1035">
                  <c:v>45.789999984000005</c:v>
                </c:pt>
                <c:pt idx="1036">
                  <c:v>45.789999984000005</c:v>
                </c:pt>
                <c:pt idx="1037">
                  <c:v>42.66</c:v>
                </c:pt>
                <c:pt idx="1038">
                  <c:v>42.66</c:v>
                </c:pt>
                <c:pt idx="1039">
                  <c:v>41.950000007999996</c:v>
                </c:pt>
                <c:pt idx="1040">
                  <c:v>41.950000007999996</c:v>
                </c:pt>
                <c:pt idx="1041">
                  <c:v>42.170000004000002</c:v>
                </c:pt>
                <c:pt idx="1042">
                  <c:v>42.170000004000002</c:v>
                </c:pt>
                <c:pt idx="1043">
                  <c:v>42.990000012000003</c:v>
                </c:pt>
                <c:pt idx="1044">
                  <c:v>45.36</c:v>
                </c:pt>
                <c:pt idx="1045">
                  <c:v>47.459999988</c:v>
                </c:pt>
                <c:pt idx="1046">
                  <c:v>47.260000008000006</c:v>
                </c:pt>
                <c:pt idx="1047">
                  <c:v>47.260000008000006</c:v>
                </c:pt>
                <c:pt idx="1048">
                  <c:v>47.869999992000004</c:v>
                </c:pt>
                <c:pt idx="1049">
                  <c:v>50.770000008000004</c:v>
                </c:pt>
                <c:pt idx="1050">
                  <c:v>53.740000008000003</c:v>
                </c:pt>
                <c:pt idx="1051">
                  <c:v>55.17</c:v>
                </c:pt>
                <c:pt idx="1052">
                  <c:v>55.919999988000001</c:v>
                </c:pt>
                <c:pt idx="1053">
                  <c:v>56.570000004000001</c:v>
                </c:pt>
                <c:pt idx="1054">
                  <c:v>56.919999996000001</c:v>
                </c:pt>
                <c:pt idx="1055">
                  <c:v>57.250000008000001</c:v>
                </c:pt>
                <c:pt idx="1056">
                  <c:v>57.489999984000001</c:v>
                </c:pt>
                <c:pt idx="1057">
                  <c:v>56.800000007999998</c:v>
                </c:pt>
                <c:pt idx="1058">
                  <c:v>55.789999991999998</c:v>
                </c:pt>
                <c:pt idx="1059">
                  <c:v>54.830000016000007</c:v>
                </c:pt>
                <c:pt idx="1060">
                  <c:v>54.150000012</c:v>
                </c:pt>
                <c:pt idx="1061">
                  <c:v>53.309999988000001</c:v>
                </c:pt>
                <c:pt idx="1062">
                  <c:v>53.309999988000001</c:v>
                </c:pt>
                <c:pt idx="1063">
                  <c:v>52.830000000000005</c:v>
                </c:pt>
                <c:pt idx="1064">
                  <c:v>51.919999992000001</c:v>
                </c:pt>
                <c:pt idx="1065">
                  <c:v>51.919999992000001</c:v>
                </c:pt>
                <c:pt idx="1066">
                  <c:v>50.950000007999996</c:v>
                </c:pt>
                <c:pt idx="1067">
                  <c:v>49.470000012000007</c:v>
                </c:pt>
                <c:pt idx="1068">
                  <c:v>49.470000012000007</c:v>
                </c:pt>
                <c:pt idx="1069">
                  <c:v>47.07</c:v>
                </c:pt>
                <c:pt idx="1070">
                  <c:v>47.07</c:v>
                </c:pt>
                <c:pt idx="1071">
                  <c:v>47.07</c:v>
                </c:pt>
                <c:pt idx="1072">
                  <c:v>43.499999987999999</c:v>
                </c:pt>
                <c:pt idx="1073">
                  <c:v>40.340000016000005</c:v>
                </c:pt>
                <c:pt idx="1074">
                  <c:v>40.340000016000005</c:v>
                </c:pt>
                <c:pt idx="1075">
                  <c:v>37.069999992</c:v>
                </c:pt>
                <c:pt idx="1076">
                  <c:v>37.069999992</c:v>
                </c:pt>
                <c:pt idx="1077">
                  <c:v>33.810000001200002</c:v>
                </c:pt>
                <c:pt idx="1078">
                  <c:v>30.260000001599998</c:v>
                </c:pt>
                <c:pt idx="1079">
                  <c:v>27.0699999984</c:v>
                </c:pt>
                <c:pt idx="1080">
                  <c:v>27.0699999984</c:v>
                </c:pt>
                <c:pt idx="1081">
                  <c:v>23.690000001600001</c:v>
                </c:pt>
                <c:pt idx="1082">
                  <c:v>20.810000001600002</c:v>
                </c:pt>
                <c:pt idx="1083">
                  <c:v>18.259999999199998</c:v>
                </c:pt>
                <c:pt idx="1084">
                  <c:v>15.6800000016</c:v>
                </c:pt>
                <c:pt idx="1085">
                  <c:v>12.7400000004</c:v>
                </c:pt>
                <c:pt idx="1086">
                  <c:v>10.2399999984</c:v>
                </c:pt>
                <c:pt idx="1087">
                  <c:v>7.6399999992000005</c:v>
                </c:pt>
                <c:pt idx="1088">
                  <c:v>4.7400000012000003</c:v>
                </c:pt>
                <c:pt idx="1089">
                  <c:v>1.6999999992000001</c:v>
                </c:pt>
                <c:pt idx="1090">
                  <c:v>0.2000000016</c:v>
                </c:pt>
                <c:pt idx="1091">
                  <c:v>0.1699999992</c:v>
                </c:pt>
                <c:pt idx="1092">
                  <c:v>0</c:v>
                </c:pt>
                <c:pt idx="1093">
                  <c:v>1.0500000011999999</c:v>
                </c:pt>
                <c:pt idx="1094">
                  <c:v>1.0500000011999999</c:v>
                </c:pt>
                <c:pt idx="1095">
                  <c:v>4.9899999996000002</c:v>
                </c:pt>
                <c:pt idx="1096">
                  <c:v>9.6500000016000005</c:v>
                </c:pt>
                <c:pt idx="1097">
                  <c:v>13.780000000800001</c:v>
                </c:pt>
                <c:pt idx="1098">
                  <c:v>17.8899999984</c:v>
                </c:pt>
                <c:pt idx="1099">
                  <c:v>22.3400000016</c:v>
                </c:pt>
                <c:pt idx="1100">
                  <c:v>22.3400000016</c:v>
                </c:pt>
                <c:pt idx="1101">
                  <c:v>26.790000001199999</c:v>
                </c:pt>
                <c:pt idx="1102">
                  <c:v>26.790000001199999</c:v>
                </c:pt>
                <c:pt idx="1103">
                  <c:v>31.380000001200003</c:v>
                </c:pt>
                <c:pt idx="1104">
                  <c:v>36.299999988000003</c:v>
                </c:pt>
                <c:pt idx="1105">
                  <c:v>40.610000016000001</c:v>
                </c:pt>
                <c:pt idx="1106">
                  <c:v>45.81</c:v>
                </c:pt>
                <c:pt idx="1107">
                  <c:v>49.169999988000001</c:v>
                </c:pt>
                <c:pt idx="1108">
                  <c:v>52.700000004000003</c:v>
                </c:pt>
                <c:pt idx="1109">
                  <c:v>55.440000000000005</c:v>
                </c:pt>
                <c:pt idx="1110">
                  <c:v>58.129999992000002</c:v>
                </c:pt>
                <c:pt idx="1111">
                  <c:v>58.129999992000002</c:v>
                </c:pt>
                <c:pt idx="1112">
                  <c:v>60.059999988000001</c:v>
                </c:pt>
                <c:pt idx="1113">
                  <c:v>61.260000011999999</c:v>
                </c:pt>
                <c:pt idx="1114">
                  <c:v>62.780000004000009</c:v>
                </c:pt>
                <c:pt idx="1115">
                  <c:v>64.010000016000006</c:v>
                </c:pt>
                <c:pt idx="1116">
                  <c:v>64.010000016000006</c:v>
                </c:pt>
                <c:pt idx="1117">
                  <c:v>64.820000016000009</c:v>
                </c:pt>
                <c:pt idx="1118">
                  <c:v>65.840000004000004</c:v>
                </c:pt>
                <c:pt idx="1119">
                  <c:v>65.840000004000004</c:v>
                </c:pt>
                <c:pt idx="1120">
                  <c:v>66.69</c:v>
                </c:pt>
                <c:pt idx="1121">
                  <c:v>67.410000000000011</c:v>
                </c:pt>
                <c:pt idx="1122">
                  <c:v>68.150000015999993</c:v>
                </c:pt>
                <c:pt idx="1123">
                  <c:v>68.150000015999993</c:v>
                </c:pt>
                <c:pt idx="1124">
                  <c:v>67.899999996000005</c:v>
                </c:pt>
                <c:pt idx="1125">
                  <c:v>68.159999987999996</c:v>
                </c:pt>
                <c:pt idx="1126">
                  <c:v>68.159999987999996</c:v>
                </c:pt>
                <c:pt idx="1127">
                  <c:v>67.95</c:v>
                </c:pt>
                <c:pt idx="1128">
                  <c:v>67.849999991999994</c:v>
                </c:pt>
                <c:pt idx="1129">
                  <c:v>67.849999991999994</c:v>
                </c:pt>
                <c:pt idx="1130">
                  <c:v>67.659999983999995</c:v>
                </c:pt>
                <c:pt idx="1131">
                  <c:v>67.659999983999995</c:v>
                </c:pt>
                <c:pt idx="1132">
                  <c:v>67.659999983999995</c:v>
                </c:pt>
                <c:pt idx="1133">
                  <c:v>67.410000000000011</c:v>
                </c:pt>
                <c:pt idx="1134">
                  <c:v>67.290000012000007</c:v>
                </c:pt>
                <c:pt idx="1135">
                  <c:v>66.890000016000002</c:v>
                </c:pt>
                <c:pt idx="1136">
                  <c:v>66.890000016000002</c:v>
                </c:pt>
                <c:pt idx="1137">
                  <c:v>66.589999992000003</c:v>
                </c:pt>
                <c:pt idx="1138">
                  <c:v>66.020000003999996</c:v>
                </c:pt>
                <c:pt idx="1139">
                  <c:v>65.490000011999996</c:v>
                </c:pt>
                <c:pt idx="1140">
                  <c:v>65.040000012000007</c:v>
                </c:pt>
                <c:pt idx="1141">
                  <c:v>64.569999995999993</c:v>
                </c:pt>
                <c:pt idx="1142">
                  <c:v>63.950000004000003</c:v>
                </c:pt>
                <c:pt idx="1143">
                  <c:v>63.360000000000007</c:v>
                </c:pt>
                <c:pt idx="1144">
                  <c:v>63.360000000000007</c:v>
                </c:pt>
                <c:pt idx="1145">
                  <c:v>62.520000012000004</c:v>
                </c:pt>
                <c:pt idx="1146">
                  <c:v>61.610000003999993</c:v>
                </c:pt>
                <c:pt idx="1147">
                  <c:v>61.610000003999993</c:v>
                </c:pt>
                <c:pt idx="1148">
                  <c:v>60.660000000000004</c:v>
                </c:pt>
                <c:pt idx="1149">
                  <c:v>59.630000004000003</c:v>
                </c:pt>
                <c:pt idx="1150">
                  <c:v>58.889999988000007</c:v>
                </c:pt>
                <c:pt idx="1151">
                  <c:v>58.889999988000007</c:v>
                </c:pt>
                <c:pt idx="1152">
                  <c:v>58.889999988000007</c:v>
                </c:pt>
                <c:pt idx="1153">
                  <c:v>58.129999992000002</c:v>
                </c:pt>
                <c:pt idx="1154">
                  <c:v>56.109999995999999</c:v>
                </c:pt>
                <c:pt idx="1155">
                  <c:v>56.109999995999999</c:v>
                </c:pt>
                <c:pt idx="1156">
                  <c:v>54.799999992000004</c:v>
                </c:pt>
                <c:pt idx="1157">
                  <c:v>54.799999992000004</c:v>
                </c:pt>
                <c:pt idx="1158">
                  <c:v>53.049999995999997</c:v>
                </c:pt>
                <c:pt idx="1159">
                  <c:v>53.049999995999997</c:v>
                </c:pt>
                <c:pt idx="1160">
                  <c:v>50.709999996000001</c:v>
                </c:pt>
                <c:pt idx="1161">
                  <c:v>48.589999991999996</c:v>
                </c:pt>
                <c:pt idx="1162">
                  <c:v>46.230000012000005</c:v>
                </c:pt>
                <c:pt idx="1163">
                  <c:v>44.129999988000002</c:v>
                </c:pt>
                <c:pt idx="1164">
                  <c:v>42.509999988000004</c:v>
                </c:pt>
                <c:pt idx="1165">
                  <c:v>40.489999992000001</c:v>
                </c:pt>
                <c:pt idx="1166">
                  <c:v>39.210000012000002</c:v>
                </c:pt>
                <c:pt idx="1167">
                  <c:v>37.879999992000002</c:v>
                </c:pt>
                <c:pt idx="1168">
                  <c:v>37.249999992000006</c:v>
                </c:pt>
                <c:pt idx="1169">
                  <c:v>36.820000008000001</c:v>
                </c:pt>
                <c:pt idx="1170">
                  <c:v>36.36</c:v>
                </c:pt>
                <c:pt idx="1171">
                  <c:v>36.020000015999997</c:v>
                </c:pt>
                <c:pt idx="1172">
                  <c:v>35.1799999992</c:v>
                </c:pt>
                <c:pt idx="1173">
                  <c:v>33.6399999984</c:v>
                </c:pt>
                <c:pt idx="1174">
                  <c:v>32.280000001200001</c:v>
                </c:pt>
                <c:pt idx="1175">
                  <c:v>32.280000001200001</c:v>
                </c:pt>
                <c:pt idx="1176">
                  <c:v>31.430000001600003</c:v>
                </c:pt>
                <c:pt idx="1177">
                  <c:v>30.129999998400002</c:v>
                </c:pt>
                <c:pt idx="1178">
                  <c:v>28.419999998400002</c:v>
                </c:pt>
                <c:pt idx="1179">
                  <c:v>26.740000000800002</c:v>
                </c:pt>
                <c:pt idx="1180">
                  <c:v>26.740000000800002</c:v>
                </c:pt>
                <c:pt idx="1181">
                  <c:v>26.740000000800002</c:v>
                </c:pt>
                <c:pt idx="1182">
                  <c:v>24.490000000800002</c:v>
                </c:pt>
                <c:pt idx="1183">
                  <c:v>21.7299999996</c:v>
                </c:pt>
                <c:pt idx="1184">
                  <c:v>21.7299999996</c:v>
                </c:pt>
                <c:pt idx="1185">
                  <c:v>19.310000000400002</c:v>
                </c:pt>
                <c:pt idx="1186">
                  <c:v>16.440000001200001</c:v>
                </c:pt>
                <c:pt idx="1187">
                  <c:v>13.299999998400001</c:v>
                </c:pt>
                <c:pt idx="1188">
                  <c:v>13.299999998400001</c:v>
                </c:pt>
                <c:pt idx="1189">
                  <c:v>9.5600000016000006</c:v>
                </c:pt>
                <c:pt idx="1190">
                  <c:v>5.8899999995999996</c:v>
                </c:pt>
                <c:pt idx="1191">
                  <c:v>5.8899999995999996</c:v>
                </c:pt>
                <c:pt idx="1192">
                  <c:v>3.2900000004000001</c:v>
                </c:pt>
                <c:pt idx="1193">
                  <c:v>0.5199999984</c:v>
                </c:pt>
                <c:pt idx="1194">
                  <c:v>0.15999999840000001</c:v>
                </c:pt>
                <c:pt idx="1195">
                  <c:v>0</c:v>
                </c:pt>
                <c:pt idx="1196">
                  <c:v>1.7700000012000001</c:v>
                </c:pt>
                <c:pt idx="1197">
                  <c:v>1.7700000012000001</c:v>
                </c:pt>
                <c:pt idx="1198">
                  <c:v>5.8700000016000002</c:v>
                </c:pt>
                <c:pt idx="1199">
                  <c:v>10.8299999988</c:v>
                </c:pt>
                <c:pt idx="1200">
                  <c:v>15.199999999200001</c:v>
                </c:pt>
                <c:pt idx="1201">
                  <c:v>19.829999998800002</c:v>
                </c:pt>
                <c:pt idx="1202">
                  <c:v>24.459999998400001</c:v>
                </c:pt>
                <c:pt idx="1203">
                  <c:v>24.459999998400001</c:v>
                </c:pt>
                <c:pt idx="1204">
                  <c:v>27.830000001599998</c:v>
                </c:pt>
                <c:pt idx="1205">
                  <c:v>28.609999999199999</c:v>
                </c:pt>
                <c:pt idx="1206">
                  <c:v>27.799999999200001</c:v>
                </c:pt>
                <c:pt idx="1207">
                  <c:v>27.799999999200001</c:v>
                </c:pt>
                <c:pt idx="1208">
                  <c:v>26.28</c:v>
                </c:pt>
                <c:pt idx="1209">
                  <c:v>25.5700000008</c:v>
                </c:pt>
                <c:pt idx="1210">
                  <c:v>24.900000001200002</c:v>
                </c:pt>
                <c:pt idx="1211">
                  <c:v>24.900000001200002</c:v>
                </c:pt>
                <c:pt idx="1212">
                  <c:v>25.099999999200001</c:v>
                </c:pt>
                <c:pt idx="1213">
                  <c:v>25.099999999200001</c:v>
                </c:pt>
                <c:pt idx="1214">
                  <c:v>27.119999998800001</c:v>
                </c:pt>
                <c:pt idx="1215">
                  <c:v>27.6800000004</c:v>
                </c:pt>
                <c:pt idx="1216">
                  <c:v>28.450000000799999</c:v>
                </c:pt>
                <c:pt idx="1217">
                  <c:v>28.450000000799999</c:v>
                </c:pt>
                <c:pt idx="1218">
                  <c:v>29.760000001200005</c:v>
                </c:pt>
                <c:pt idx="1219">
                  <c:v>33.950000001600003</c:v>
                </c:pt>
                <c:pt idx="1220">
                  <c:v>33.950000001600003</c:v>
                </c:pt>
                <c:pt idx="1221">
                  <c:v>38.120000003999998</c:v>
                </c:pt>
                <c:pt idx="1222">
                  <c:v>42.599999988</c:v>
                </c:pt>
                <c:pt idx="1223">
                  <c:v>44.920000008000002</c:v>
                </c:pt>
                <c:pt idx="1224">
                  <c:v>47.059999992000002</c:v>
                </c:pt>
                <c:pt idx="1225">
                  <c:v>47.059999992000002</c:v>
                </c:pt>
                <c:pt idx="1226">
                  <c:v>49.41</c:v>
                </c:pt>
                <c:pt idx="1227">
                  <c:v>50.510000015999999</c:v>
                </c:pt>
                <c:pt idx="1228">
                  <c:v>52.940000016000006</c:v>
                </c:pt>
                <c:pt idx="1229">
                  <c:v>55.419999984</c:v>
                </c:pt>
                <c:pt idx="1230">
                  <c:v>57.020000004000003</c:v>
                </c:pt>
                <c:pt idx="1231">
                  <c:v>57.269999988000002</c:v>
                </c:pt>
                <c:pt idx="1232">
                  <c:v>57.920000004000002</c:v>
                </c:pt>
                <c:pt idx="1233">
                  <c:v>58.709999988</c:v>
                </c:pt>
                <c:pt idx="1234">
                  <c:v>58.95</c:v>
                </c:pt>
                <c:pt idx="1235">
                  <c:v>58.929999983999998</c:v>
                </c:pt>
                <c:pt idx="1236">
                  <c:v>58.929999983999998</c:v>
                </c:pt>
                <c:pt idx="1237">
                  <c:v>59.289999984000005</c:v>
                </c:pt>
                <c:pt idx="1238">
                  <c:v>59.730000011999998</c:v>
                </c:pt>
                <c:pt idx="1239">
                  <c:v>59.900000004000006</c:v>
                </c:pt>
                <c:pt idx="1240">
                  <c:v>60.040000008</c:v>
                </c:pt>
                <c:pt idx="1241">
                  <c:v>60.040000008</c:v>
                </c:pt>
                <c:pt idx="1242">
                  <c:v>60.040000008</c:v>
                </c:pt>
                <c:pt idx="1243">
                  <c:v>60.140000016000002</c:v>
                </c:pt>
                <c:pt idx="1244">
                  <c:v>60.140000016000002</c:v>
                </c:pt>
                <c:pt idx="1245">
                  <c:v>59.85</c:v>
                </c:pt>
                <c:pt idx="1246">
                  <c:v>59.730000011999998</c:v>
                </c:pt>
                <c:pt idx="1247">
                  <c:v>59.730000011999998</c:v>
                </c:pt>
                <c:pt idx="1248">
                  <c:v>59.330000016</c:v>
                </c:pt>
                <c:pt idx="1249">
                  <c:v>59.330000016</c:v>
                </c:pt>
                <c:pt idx="1250">
                  <c:v>58.420000008000002</c:v>
                </c:pt>
                <c:pt idx="1251">
                  <c:v>57.629999988000002</c:v>
                </c:pt>
                <c:pt idx="1252">
                  <c:v>56.469999996000006</c:v>
                </c:pt>
                <c:pt idx="1253">
                  <c:v>56.469999996000006</c:v>
                </c:pt>
                <c:pt idx="1254">
                  <c:v>56.469999996000006</c:v>
                </c:pt>
                <c:pt idx="1255">
                  <c:v>54.470000016</c:v>
                </c:pt>
                <c:pt idx="1256">
                  <c:v>51.900000012</c:v>
                </c:pt>
                <c:pt idx="1257">
                  <c:v>50.780000016000002</c:v>
                </c:pt>
                <c:pt idx="1258">
                  <c:v>49.650000012</c:v>
                </c:pt>
                <c:pt idx="1259">
                  <c:v>47.919999996000001</c:v>
                </c:pt>
                <c:pt idx="1260">
                  <c:v>46.689999984000004</c:v>
                </c:pt>
                <c:pt idx="1261">
                  <c:v>45.36</c:v>
                </c:pt>
                <c:pt idx="1262">
                  <c:v>44.470000008</c:v>
                </c:pt>
                <c:pt idx="1263">
                  <c:v>43.490000016000003</c:v>
                </c:pt>
                <c:pt idx="1264">
                  <c:v>42.519999996000003</c:v>
                </c:pt>
                <c:pt idx="1265">
                  <c:v>42.519999996000003</c:v>
                </c:pt>
                <c:pt idx="1266">
                  <c:v>42.519999996000003</c:v>
                </c:pt>
                <c:pt idx="1267">
                  <c:v>41.49</c:v>
                </c:pt>
                <c:pt idx="1268">
                  <c:v>40.839999984000002</c:v>
                </c:pt>
                <c:pt idx="1269">
                  <c:v>40.060000008000003</c:v>
                </c:pt>
                <c:pt idx="1270">
                  <c:v>40.060000008000003</c:v>
                </c:pt>
                <c:pt idx="1271">
                  <c:v>39.15</c:v>
                </c:pt>
                <c:pt idx="1272">
                  <c:v>37.029999996000001</c:v>
                </c:pt>
                <c:pt idx="1273">
                  <c:v>34.790000000400006</c:v>
                </c:pt>
                <c:pt idx="1274">
                  <c:v>33.090000001200004</c:v>
                </c:pt>
                <c:pt idx="1275">
                  <c:v>30.660000001200004</c:v>
                </c:pt>
                <c:pt idx="1276">
                  <c:v>27.380000001599999</c:v>
                </c:pt>
                <c:pt idx="1277">
                  <c:v>24.48</c:v>
                </c:pt>
                <c:pt idx="1278">
                  <c:v>21.6</c:v>
                </c:pt>
                <c:pt idx="1279">
                  <c:v>17.37</c:v>
                </c:pt>
                <c:pt idx="1280">
                  <c:v>13.0100000004</c:v>
                </c:pt>
                <c:pt idx="1281">
                  <c:v>8.5700000016000004</c:v>
                </c:pt>
                <c:pt idx="1282">
                  <c:v>5.4299999987999996</c:v>
                </c:pt>
                <c:pt idx="1283">
                  <c:v>2.4199999992000003</c:v>
                </c:pt>
                <c:pt idx="1284">
                  <c:v>0.50000000039999992</c:v>
                </c:pt>
                <c:pt idx="1285">
                  <c:v>0.2000000016</c:v>
                </c:pt>
                <c:pt idx="1286">
                  <c:v>0</c:v>
                </c:pt>
                <c:pt idx="1287">
                  <c:v>3.2100000012000001</c:v>
                </c:pt>
                <c:pt idx="1288">
                  <c:v>7.5099999996000006</c:v>
                </c:pt>
                <c:pt idx="1289">
                  <c:v>11.810000001600001</c:v>
                </c:pt>
                <c:pt idx="1290">
                  <c:v>15.800000000400003</c:v>
                </c:pt>
                <c:pt idx="1291">
                  <c:v>15.800000000400003</c:v>
                </c:pt>
                <c:pt idx="1292">
                  <c:v>19.990000000800002</c:v>
                </c:pt>
                <c:pt idx="1293">
                  <c:v>19.990000000800002</c:v>
                </c:pt>
                <c:pt idx="1294">
                  <c:v>24.239999998800002</c:v>
                </c:pt>
                <c:pt idx="1295">
                  <c:v>28.1599999992</c:v>
                </c:pt>
                <c:pt idx="1296">
                  <c:v>28.1599999992</c:v>
                </c:pt>
                <c:pt idx="1297">
                  <c:v>32.289999998400006</c:v>
                </c:pt>
                <c:pt idx="1298">
                  <c:v>36.609999983999998</c:v>
                </c:pt>
                <c:pt idx="1299">
                  <c:v>40.709999988</c:v>
                </c:pt>
                <c:pt idx="1300">
                  <c:v>43.620000012000006</c:v>
                </c:pt>
                <c:pt idx="1301">
                  <c:v>46.940000004000005</c:v>
                </c:pt>
                <c:pt idx="1302">
                  <c:v>49.119999983999996</c:v>
                </c:pt>
                <c:pt idx="1303">
                  <c:v>51.369999983999996</c:v>
                </c:pt>
                <c:pt idx="1304">
                  <c:v>51.369999983999996</c:v>
                </c:pt>
                <c:pt idx="1305">
                  <c:v>54.489999996000002</c:v>
                </c:pt>
                <c:pt idx="1306">
                  <c:v>55.850000004000002</c:v>
                </c:pt>
                <c:pt idx="1307">
                  <c:v>55.850000004000002</c:v>
                </c:pt>
                <c:pt idx="1308">
                  <c:v>57.080000016000007</c:v>
                </c:pt>
                <c:pt idx="1309">
                  <c:v>58.550000004000005</c:v>
                </c:pt>
                <c:pt idx="1310">
                  <c:v>60.059999988000001</c:v>
                </c:pt>
                <c:pt idx="1311">
                  <c:v>61.2</c:v>
                </c:pt>
                <c:pt idx="1312">
                  <c:v>62.269999991999995</c:v>
                </c:pt>
                <c:pt idx="1313">
                  <c:v>63.249999984000006</c:v>
                </c:pt>
                <c:pt idx="1314">
                  <c:v>64.410000011999998</c:v>
                </c:pt>
                <c:pt idx="1315">
                  <c:v>65.229999984000003</c:v>
                </c:pt>
                <c:pt idx="1316">
                  <c:v>65.390000004000001</c:v>
                </c:pt>
                <c:pt idx="1317">
                  <c:v>65.390000004000001</c:v>
                </c:pt>
                <c:pt idx="1318">
                  <c:v>65.660000003999997</c:v>
                </c:pt>
                <c:pt idx="1319">
                  <c:v>65.580000011999999</c:v>
                </c:pt>
                <c:pt idx="1320">
                  <c:v>65.580000011999999</c:v>
                </c:pt>
                <c:pt idx="1321">
                  <c:v>65.580000011999999</c:v>
                </c:pt>
                <c:pt idx="1322">
                  <c:v>65.610000000000014</c:v>
                </c:pt>
                <c:pt idx="1323">
                  <c:v>65.570000004000008</c:v>
                </c:pt>
                <c:pt idx="1324">
                  <c:v>65.480000004000004</c:v>
                </c:pt>
                <c:pt idx="1325">
                  <c:v>64.299999995999997</c:v>
                </c:pt>
                <c:pt idx="1326">
                  <c:v>62.759999988000004</c:v>
                </c:pt>
                <c:pt idx="1327">
                  <c:v>61.269999984000002</c:v>
                </c:pt>
                <c:pt idx="1328">
                  <c:v>61.269999984000002</c:v>
                </c:pt>
                <c:pt idx="1329">
                  <c:v>60.350000004000002</c:v>
                </c:pt>
                <c:pt idx="1330">
                  <c:v>59.969999988000005</c:v>
                </c:pt>
                <c:pt idx="1331">
                  <c:v>59.969999988000005</c:v>
                </c:pt>
                <c:pt idx="1332">
                  <c:v>59.969999988000005</c:v>
                </c:pt>
                <c:pt idx="1333">
                  <c:v>58.370000003999998</c:v>
                </c:pt>
                <c:pt idx="1334">
                  <c:v>56.25</c:v>
                </c:pt>
                <c:pt idx="1335">
                  <c:v>53.830000007999999</c:v>
                </c:pt>
                <c:pt idx="1336">
                  <c:v>51.980000003999997</c:v>
                </c:pt>
                <c:pt idx="1337">
                  <c:v>51.980000003999997</c:v>
                </c:pt>
                <c:pt idx="1338">
                  <c:v>50.019999983999995</c:v>
                </c:pt>
                <c:pt idx="1339">
                  <c:v>48.42</c:v>
                </c:pt>
                <c:pt idx="1340">
                  <c:v>48.42</c:v>
                </c:pt>
                <c:pt idx="1341">
                  <c:v>46.209999996000001</c:v>
                </c:pt>
                <c:pt idx="1342">
                  <c:v>46.069999992</c:v>
                </c:pt>
                <c:pt idx="1343">
                  <c:v>46.149999983999997</c:v>
                </c:pt>
                <c:pt idx="1344">
                  <c:v>46.479999996000004</c:v>
                </c:pt>
                <c:pt idx="1345">
                  <c:v>46.479999996000004</c:v>
                </c:pt>
                <c:pt idx="1346">
                  <c:v>47.430000000000007</c:v>
                </c:pt>
                <c:pt idx="1347">
                  <c:v>47.949999984000002</c:v>
                </c:pt>
                <c:pt idx="1348">
                  <c:v>48.620000015999999</c:v>
                </c:pt>
                <c:pt idx="1349">
                  <c:v>49.100000004000002</c:v>
                </c:pt>
                <c:pt idx="1350">
                  <c:v>49.420000008000002</c:v>
                </c:pt>
                <c:pt idx="1351">
                  <c:v>49.420000008000002</c:v>
                </c:pt>
                <c:pt idx="1352">
                  <c:v>50.050000007999998</c:v>
                </c:pt>
                <c:pt idx="1353">
                  <c:v>52.250000004</c:v>
                </c:pt>
                <c:pt idx="1354">
                  <c:v>56.559999995999995</c:v>
                </c:pt>
                <c:pt idx="1355">
                  <c:v>60.019999991999995</c:v>
                </c:pt>
                <c:pt idx="1356">
                  <c:v>63.330000011999999</c:v>
                </c:pt>
                <c:pt idx="1357">
                  <c:v>63.330000011999999</c:v>
                </c:pt>
                <c:pt idx="1358">
                  <c:v>63.330000011999999</c:v>
                </c:pt>
                <c:pt idx="1359">
                  <c:v>63.330000011999999</c:v>
                </c:pt>
                <c:pt idx="1360">
                  <c:v>65.7</c:v>
                </c:pt>
                <c:pt idx="1361">
                  <c:v>65.7</c:v>
                </c:pt>
                <c:pt idx="1362">
                  <c:v>65.7</c:v>
                </c:pt>
                <c:pt idx="1363">
                  <c:v>66.300000012000012</c:v>
                </c:pt>
                <c:pt idx="1364">
                  <c:v>65.509999992000004</c:v>
                </c:pt>
                <c:pt idx="1365">
                  <c:v>64.590000012000004</c:v>
                </c:pt>
                <c:pt idx="1366">
                  <c:v>63.699999984000009</c:v>
                </c:pt>
                <c:pt idx="1367">
                  <c:v>63.699999984000009</c:v>
                </c:pt>
                <c:pt idx="1368">
                  <c:v>61.440000011999999</c:v>
                </c:pt>
                <c:pt idx="1369">
                  <c:v>60.770000016000004</c:v>
                </c:pt>
                <c:pt idx="1370">
                  <c:v>60.770000016000004</c:v>
                </c:pt>
                <c:pt idx="1371">
                  <c:v>60.770000016000004</c:v>
                </c:pt>
                <c:pt idx="1372">
                  <c:v>55.820000016000002</c:v>
                </c:pt>
                <c:pt idx="1373">
                  <c:v>52.970000003999999</c:v>
                </c:pt>
                <c:pt idx="1374">
                  <c:v>50.770000008000004</c:v>
                </c:pt>
                <c:pt idx="1375">
                  <c:v>48.51</c:v>
                </c:pt>
                <c:pt idx="1376">
                  <c:v>48.51</c:v>
                </c:pt>
                <c:pt idx="1377">
                  <c:v>46.720000008</c:v>
                </c:pt>
                <c:pt idx="1378">
                  <c:v>44.889999983999999</c:v>
                </c:pt>
                <c:pt idx="1379">
                  <c:v>43.29</c:v>
                </c:pt>
                <c:pt idx="1380">
                  <c:v>43.29</c:v>
                </c:pt>
                <c:pt idx="1381">
                  <c:v>40.870000008000005</c:v>
                </c:pt>
                <c:pt idx="1382">
                  <c:v>40.870000008000005</c:v>
                </c:pt>
                <c:pt idx="1383">
                  <c:v>39.759999983999997</c:v>
                </c:pt>
                <c:pt idx="1384">
                  <c:v>38.450000016000004</c:v>
                </c:pt>
                <c:pt idx="1385">
                  <c:v>38.450000016000004</c:v>
                </c:pt>
                <c:pt idx="1386">
                  <c:v>36.140000004000001</c:v>
                </c:pt>
                <c:pt idx="1387">
                  <c:v>34.260000001200005</c:v>
                </c:pt>
                <c:pt idx="1388">
                  <c:v>34.260000001200005</c:v>
                </c:pt>
                <c:pt idx="1389">
                  <c:v>32.169999999600002</c:v>
                </c:pt>
                <c:pt idx="1390">
                  <c:v>30.250000000800004</c:v>
                </c:pt>
                <c:pt idx="1391">
                  <c:v>27.640000000800001</c:v>
                </c:pt>
                <c:pt idx="1392">
                  <c:v>25.009999999199998</c:v>
                </c:pt>
                <c:pt idx="1393">
                  <c:v>25.009999999199998</c:v>
                </c:pt>
                <c:pt idx="1394">
                  <c:v>22.2699999996</c:v>
                </c:pt>
                <c:pt idx="1395">
                  <c:v>22.2699999996</c:v>
                </c:pt>
                <c:pt idx="1396">
                  <c:v>20.360000001600003</c:v>
                </c:pt>
                <c:pt idx="1397">
                  <c:v>19.050000001200001</c:v>
                </c:pt>
                <c:pt idx="1398">
                  <c:v>17.6600000016</c:v>
                </c:pt>
                <c:pt idx="1399">
                  <c:v>17.6600000016</c:v>
                </c:pt>
                <c:pt idx="1400">
                  <c:v>15.620000000399999</c:v>
                </c:pt>
                <c:pt idx="1401">
                  <c:v>12.7699999992</c:v>
                </c:pt>
                <c:pt idx="1402">
                  <c:v>12.7699999992</c:v>
                </c:pt>
                <c:pt idx="1403">
                  <c:v>9.0600000012000006</c:v>
                </c:pt>
                <c:pt idx="1404">
                  <c:v>5.8600000008000004</c:v>
                </c:pt>
                <c:pt idx="1405">
                  <c:v>2.8100000016000002</c:v>
                </c:pt>
                <c:pt idx="1406">
                  <c:v>2.8100000016000002</c:v>
                </c:pt>
                <c:pt idx="1407">
                  <c:v>0.60000000119999997</c:v>
                </c:pt>
                <c:pt idx="1408">
                  <c:v>0.60000000119999997</c:v>
                </c:pt>
                <c:pt idx="1409">
                  <c:v>0.21999999960000002</c:v>
                </c:pt>
                <c:pt idx="1410">
                  <c:v>0.21999999960000002</c:v>
                </c:pt>
                <c:pt idx="1411">
                  <c:v>2.2399999992000001</c:v>
                </c:pt>
                <c:pt idx="1412">
                  <c:v>2.2399999992000001</c:v>
                </c:pt>
                <c:pt idx="1413">
                  <c:v>6.9199999991999999</c:v>
                </c:pt>
                <c:pt idx="1414">
                  <c:v>6.9199999991999999</c:v>
                </c:pt>
                <c:pt idx="1415">
                  <c:v>11.220000001200001</c:v>
                </c:pt>
                <c:pt idx="1416">
                  <c:v>16.189999999200001</c:v>
                </c:pt>
                <c:pt idx="1417">
                  <c:v>20.25</c:v>
                </c:pt>
                <c:pt idx="1418">
                  <c:v>24.860000001600003</c:v>
                </c:pt>
                <c:pt idx="1419">
                  <c:v>24.860000001600003</c:v>
                </c:pt>
                <c:pt idx="1420">
                  <c:v>24.860000001600003</c:v>
                </c:pt>
                <c:pt idx="1421">
                  <c:v>34.229999998799997</c:v>
                </c:pt>
                <c:pt idx="1422">
                  <c:v>34.229999998799997</c:v>
                </c:pt>
                <c:pt idx="1423">
                  <c:v>38.059999992000002</c:v>
                </c:pt>
                <c:pt idx="1424">
                  <c:v>38.059999992000002</c:v>
                </c:pt>
                <c:pt idx="1425">
                  <c:v>41.060000016000004</c:v>
                </c:pt>
                <c:pt idx="1426">
                  <c:v>41.060000016000004</c:v>
                </c:pt>
                <c:pt idx="1427">
                  <c:v>43.700000004000003</c:v>
                </c:pt>
                <c:pt idx="1428">
                  <c:v>46.479999996000004</c:v>
                </c:pt>
                <c:pt idx="1429">
                  <c:v>48.110000004</c:v>
                </c:pt>
                <c:pt idx="1430">
                  <c:v>49.460000004000001</c:v>
                </c:pt>
                <c:pt idx="1431">
                  <c:v>50.389999992</c:v>
                </c:pt>
                <c:pt idx="1432">
                  <c:v>50.389999992</c:v>
                </c:pt>
                <c:pt idx="1433">
                  <c:v>51.059999988000001</c:v>
                </c:pt>
                <c:pt idx="1434">
                  <c:v>51.059999988000001</c:v>
                </c:pt>
                <c:pt idx="1435">
                  <c:v>51.869999987999996</c:v>
                </c:pt>
                <c:pt idx="1436">
                  <c:v>52.340000004000004</c:v>
                </c:pt>
                <c:pt idx="1437">
                  <c:v>52.660000008000004</c:v>
                </c:pt>
                <c:pt idx="1438">
                  <c:v>52.279999992</c:v>
                </c:pt>
                <c:pt idx="1439">
                  <c:v>51.710000004000001</c:v>
                </c:pt>
                <c:pt idx="1440">
                  <c:v>51.710000004000001</c:v>
                </c:pt>
                <c:pt idx="1441">
                  <c:v>51.710000004000001</c:v>
                </c:pt>
                <c:pt idx="1442">
                  <c:v>51.059999988000001</c:v>
                </c:pt>
                <c:pt idx="1443">
                  <c:v>49.489999992000001</c:v>
                </c:pt>
                <c:pt idx="1444">
                  <c:v>47.319999983999999</c:v>
                </c:pt>
                <c:pt idx="1445">
                  <c:v>47.319999983999999</c:v>
                </c:pt>
                <c:pt idx="1446">
                  <c:v>47.319999983999999</c:v>
                </c:pt>
                <c:pt idx="1447">
                  <c:v>45.140000004000001</c:v>
                </c:pt>
                <c:pt idx="1448">
                  <c:v>45.140000004000001</c:v>
                </c:pt>
                <c:pt idx="1449">
                  <c:v>43.419999996000001</c:v>
                </c:pt>
                <c:pt idx="1450">
                  <c:v>43.419999996000001</c:v>
                </c:pt>
                <c:pt idx="1451">
                  <c:v>38.509999992000004</c:v>
                </c:pt>
                <c:pt idx="1452">
                  <c:v>38.509999992000004</c:v>
                </c:pt>
                <c:pt idx="1453">
                  <c:v>35.970000001200006</c:v>
                </c:pt>
                <c:pt idx="1454">
                  <c:v>34.859999998799999</c:v>
                </c:pt>
                <c:pt idx="1455">
                  <c:v>33.760000000800005</c:v>
                </c:pt>
                <c:pt idx="1456">
                  <c:v>31.970000001599999</c:v>
                </c:pt>
                <c:pt idx="1457">
                  <c:v>29.869999999200001</c:v>
                </c:pt>
                <c:pt idx="1458">
                  <c:v>26.390000001600001</c:v>
                </c:pt>
                <c:pt idx="1459">
                  <c:v>26.390000001600001</c:v>
                </c:pt>
                <c:pt idx="1460">
                  <c:v>20.630000001599999</c:v>
                </c:pt>
                <c:pt idx="1461">
                  <c:v>20.2299999984</c:v>
                </c:pt>
                <c:pt idx="1462">
                  <c:v>20.2299999984</c:v>
                </c:pt>
                <c:pt idx="1463">
                  <c:v>20.170000000800002</c:v>
                </c:pt>
                <c:pt idx="1464">
                  <c:v>20.239999999200002</c:v>
                </c:pt>
                <c:pt idx="1465">
                  <c:v>20.329999999200002</c:v>
                </c:pt>
                <c:pt idx="1466">
                  <c:v>20.599999999200001</c:v>
                </c:pt>
                <c:pt idx="1467">
                  <c:v>20.599999999200001</c:v>
                </c:pt>
                <c:pt idx="1468">
                  <c:v>20.710000000799997</c:v>
                </c:pt>
                <c:pt idx="1469">
                  <c:v>20.779999999200001</c:v>
                </c:pt>
                <c:pt idx="1470">
                  <c:v>20.779999999200001</c:v>
                </c:pt>
                <c:pt idx="1471">
                  <c:v>20.810000001600002</c:v>
                </c:pt>
                <c:pt idx="1472">
                  <c:v>20.720000001599999</c:v>
                </c:pt>
                <c:pt idx="1473">
                  <c:v>20.61</c:v>
                </c:pt>
                <c:pt idx="1474">
                  <c:v>20.450000001599999</c:v>
                </c:pt>
                <c:pt idx="1475">
                  <c:v>20.149999999200002</c:v>
                </c:pt>
                <c:pt idx="1476">
                  <c:v>19.89</c:v>
                </c:pt>
                <c:pt idx="1477">
                  <c:v>19.609999999199999</c:v>
                </c:pt>
                <c:pt idx="1478">
                  <c:v>19.2700000008</c:v>
                </c:pt>
                <c:pt idx="1479">
                  <c:v>19.2700000008</c:v>
                </c:pt>
                <c:pt idx="1480">
                  <c:v>18.8399999988</c:v>
                </c:pt>
                <c:pt idx="1481">
                  <c:v>18.5900000004</c:v>
                </c:pt>
                <c:pt idx="1482">
                  <c:v>18.500000000400004</c:v>
                </c:pt>
                <c:pt idx="1483">
                  <c:v>18.5699999988</c:v>
                </c:pt>
                <c:pt idx="1484">
                  <c:v>18.510000001200002</c:v>
                </c:pt>
                <c:pt idx="1485">
                  <c:v>18.299999998800001</c:v>
                </c:pt>
                <c:pt idx="1486">
                  <c:v>18.060000001199999</c:v>
                </c:pt>
                <c:pt idx="1487">
                  <c:v>18.060000001199999</c:v>
                </c:pt>
                <c:pt idx="1488">
                  <c:v>17.859999999599999</c:v>
                </c:pt>
                <c:pt idx="1489">
                  <c:v>17.619999998400001</c:v>
                </c:pt>
                <c:pt idx="1490">
                  <c:v>16.800000001200001</c:v>
                </c:pt>
                <c:pt idx="1491">
                  <c:v>16.800000001200001</c:v>
                </c:pt>
                <c:pt idx="1492">
                  <c:v>15.6700000008</c:v>
                </c:pt>
                <c:pt idx="1493">
                  <c:v>15.6700000008</c:v>
                </c:pt>
                <c:pt idx="1494">
                  <c:v>16.350000001200002</c:v>
                </c:pt>
                <c:pt idx="1495">
                  <c:v>16.989999998399998</c:v>
                </c:pt>
                <c:pt idx="1496">
                  <c:v>16.989999998399998</c:v>
                </c:pt>
                <c:pt idx="1497">
                  <c:v>17.73</c:v>
                </c:pt>
                <c:pt idx="1498">
                  <c:v>18.2499999984</c:v>
                </c:pt>
                <c:pt idx="1499">
                  <c:v>18.2499999984</c:v>
                </c:pt>
                <c:pt idx="1500">
                  <c:v>19.3200000012</c:v>
                </c:pt>
                <c:pt idx="1501">
                  <c:v>19.829999998800002</c:v>
                </c:pt>
                <c:pt idx="1502">
                  <c:v>19.829999998800002</c:v>
                </c:pt>
                <c:pt idx="1503">
                  <c:v>20.25</c:v>
                </c:pt>
                <c:pt idx="1504">
                  <c:v>20.25</c:v>
                </c:pt>
                <c:pt idx="1505">
                  <c:v>20.6399999988</c:v>
                </c:pt>
                <c:pt idx="1506">
                  <c:v>20.6399999988</c:v>
                </c:pt>
                <c:pt idx="1507">
                  <c:v>20.9300000004</c:v>
                </c:pt>
                <c:pt idx="1508">
                  <c:v>20.9300000004</c:v>
                </c:pt>
                <c:pt idx="1509">
                  <c:v>21.110000000399999</c:v>
                </c:pt>
                <c:pt idx="1510">
                  <c:v>21.110000000399999</c:v>
                </c:pt>
                <c:pt idx="1511">
                  <c:v>21.139999999200001</c:v>
                </c:pt>
                <c:pt idx="1512">
                  <c:v>20.7</c:v>
                </c:pt>
                <c:pt idx="1513">
                  <c:v>19.929999999600003</c:v>
                </c:pt>
                <c:pt idx="1514">
                  <c:v>18.8399999988</c:v>
                </c:pt>
                <c:pt idx="1515">
                  <c:v>18.0200000016</c:v>
                </c:pt>
                <c:pt idx="1516">
                  <c:v>17.5700000016</c:v>
                </c:pt>
                <c:pt idx="1517">
                  <c:v>17.5700000016</c:v>
                </c:pt>
                <c:pt idx="1518">
                  <c:v>17.5700000016</c:v>
                </c:pt>
                <c:pt idx="1519">
                  <c:v>16.980000001200001</c:v>
                </c:pt>
                <c:pt idx="1520">
                  <c:v>16.239999999600002</c:v>
                </c:pt>
                <c:pt idx="1521">
                  <c:v>14.950000000799999</c:v>
                </c:pt>
                <c:pt idx="1522">
                  <c:v>14.950000000799999</c:v>
                </c:pt>
                <c:pt idx="1523">
                  <c:v>14.609999998800001</c:v>
                </c:pt>
                <c:pt idx="1524">
                  <c:v>14.490000000000002</c:v>
                </c:pt>
                <c:pt idx="1525">
                  <c:v>14.370000001200001</c:v>
                </c:pt>
                <c:pt idx="1526">
                  <c:v>14.529999999600001</c:v>
                </c:pt>
                <c:pt idx="1527">
                  <c:v>14.960000001600001</c:v>
                </c:pt>
                <c:pt idx="1528">
                  <c:v>15.2700000012</c:v>
                </c:pt>
                <c:pt idx="1529">
                  <c:v>15.689999998800001</c:v>
                </c:pt>
                <c:pt idx="1530">
                  <c:v>15.6499999992</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7.7600000015999999</c:v>
                </c:pt>
                <c:pt idx="1750">
                  <c:v>11.289999999600001</c:v>
                </c:pt>
                <c:pt idx="1751">
                  <c:v>11.289999999600001</c:v>
                </c:pt>
                <c:pt idx="1752">
                  <c:v>14.299999999200001</c:v>
                </c:pt>
                <c:pt idx="1753">
                  <c:v>17.420000000399998</c:v>
                </c:pt>
                <c:pt idx="1754">
                  <c:v>17.420000000399998</c:v>
                </c:pt>
                <c:pt idx="1755">
                  <c:v>19.4100000012</c:v>
                </c:pt>
                <c:pt idx="1756">
                  <c:v>19.4100000012</c:v>
                </c:pt>
                <c:pt idx="1757">
                  <c:v>19.850000000400001</c:v>
                </c:pt>
                <c:pt idx="1758">
                  <c:v>19.850000000400001</c:v>
                </c:pt>
                <c:pt idx="1759">
                  <c:v>20.199999999599999</c:v>
                </c:pt>
                <c:pt idx="1760">
                  <c:v>20.199999999599999</c:v>
                </c:pt>
                <c:pt idx="1761">
                  <c:v>20.739999999600002</c:v>
                </c:pt>
                <c:pt idx="1762">
                  <c:v>20.829999999600002</c:v>
                </c:pt>
                <c:pt idx="1763">
                  <c:v>20.829999999600002</c:v>
                </c:pt>
                <c:pt idx="1764">
                  <c:v>20.760000001200002</c:v>
                </c:pt>
                <c:pt idx="1765">
                  <c:v>20.760000001200002</c:v>
                </c:pt>
                <c:pt idx="1766">
                  <c:v>19.929999999600003</c:v>
                </c:pt>
                <c:pt idx="1767">
                  <c:v>19.929999999600003</c:v>
                </c:pt>
                <c:pt idx="1768">
                  <c:v>18.2300000004</c:v>
                </c:pt>
                <c:pt idx="1769">
                  <c:v>18.2300000004</c:v>
                </c:pt>
                <c:pt idx="1770">
                  <c:v>14.590000000800002</c:v>
                </c:pt>
                <c:pt idx="1771">
                  <c:v>14.590000000800002</c:v>
                </c:pt>
                <c:pt idx="1772">
                  <c:v>13.799999998800001</c:v>
                </c:pt>
                <c:pt idx="1773">
                  <c:v>13.799999998800001</c:v>
                </c:pt>
                <c:pt idx="1774">
                  <c:v>13.759999999200001</c:v>
                </c:pt>
                <c:pt idx="1775">
                  <c:v>13.719999999600001</c:v>
                </c:pt>
                <c:pt idx="1776">
                  <c:v>13.68</c:v>
                </c:pt>
                <c:pt idx="1777">
                  <c:v>13.550000000400001</c:v>
                </c:pt>
                <c:pt idx="1778">
                  <c:v>13.550000000400001</c:v>
                </c:pt>
                <c:pt idx="1779">
                  <c:v>13.550000000400001</c:v>
                </c:pt>
                <c:pt idx="1780">
                  <c:v>14.569999999200002</c:v>
                </c:pt>
                <c:pt idx="1781">
                  <c:v>14.889999999600001</c:v>
                </c:pt>
                <c:pt idx="1782">
                  <c:v>14.640000001199999</c:v>
                </c:pt>
                <c:pt idx="1783">
                  <c:v>14.640000001199999</c:v>
                </c:pt>
                <c:pt idx="1784">
                  <c:v>14.550000001200001</c:v>
                </c:pt>
                <c:pt idx="1785">
                  <c:v>14.699999998799999</c:v>
                </c:pt>
                <c:pt idx="1786">
                  <c:v>14.699999998799999</c:v>
                </c:pt>
                <c:pt idx="1787">
                  <c:v>15.099999998400001</c:v>
                </c:pt>
                <c:pt idx="1788">
                  <c:v>15.099999998400001</c:v>
                </c:pt>
                <c:pt idx="1789">
                  <c:v>15.099999998400001</c:v>
                </c:pt>
                <c:pt idx="1790">
                  <c:v>15.350000000400001</c:v>
                </c:pt>
                <c:pt idx="1791">
                  <c:v>15.310000000799999</c:v>
                </c:pt>
                <c:pt idx="1792">
                  <c:v>15.249999999599998</c:v>
                </c:pt>
                <c:pt idx="1793">
                  <c:v>15.249999999599998</c:v>
                </c:pt>
                <c:pt idx="1794">
                  <c:v>15.0599999988</c:v>
                </c:pt>
                <c:pt idx="1795">
                  <c:v>15.0599999988</c:v>
                </c:pt>
                <c:pt idx="1796">
                  <c:v>14.960000001600001</c:v>
                </c:pt>
                <c:pt idx="1797">
                  <c:v>15.000000001200002</c:v>
                </c:pt>
                <c:pt idx="1798">
                  <c:v>14.730000001200001</c:v>
                </c:pt>
                <c:pt idx="1799">
                  <c:v>14.730000001200001</c:v>
                </c:pt>
                <c:pt idx="1800">
                  <c:v>14.730000001200001</c:v>
                </c:pt>
                <c:pt idx="1801">
                  <c:v>13.849999999200001</c:v>
                </c:pt>
                <c:pt idx="1802">
                  <c:v>13.3899999984</c:v>
                </c:pt>
                <c:pt idx="1803">
                  <c:v>13.029999998400001</c:v>
                </c:pt>
                <c:pt idx="1804">
                  <c:v>12.3199999992</c:v>
                </c:pt>
                <c:pt idx="1805">
                  <c:v>11.220000001200001</c:v>
                </c:pt>
                <c:pt idx="1806">
                  <c:v>10.050000001199999</c:v>
                </c:pt>
                <c:pt idx="1807">
                  <c:v>10.050000001199999</c:v>
                </c:pt>
                <c:pt idx="1808">
                  <c:v>6.5499999983999997</c:v>
                </c:pt>
                <c:pt idx="1809">
                  <c:v>4.3999999992000003</c:v>
                </c:pt>
                <c:pt idx="1810">
                  <c:v>4.3999999992000003</c:v>
                </c:pt>
                <c:pt idx="1811">
                  <c:v>1.9299999995999999</c:v>
                </c:pt>
                <c:pt idx="1812">
                  <c:v>0.88999999919999995</c:v>
                </c:pt>
                <c:pt idx="1813">
                  <c:v>0.21999999960000002</c:v>
                </c:pt>
                <c:pt idx="1814">
                  <c:v>0.21999999960000002</c:v>
                </c:pt>
                <c:pt idx="1815">
                  <c:v>0.1299999996</c:v>
                </c:pt>
                <c:pt idx="1816">
                  <c:v>0.1299999996</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numCache>
            </c:numRef>
          </c:yVal>
          <c:smooth val="0"/>
          <c:extLst xmlns:c15="http://schemas.microsoft.com/office/drawing/2012/chart">
            <c:ext xmlns:c16="http://schemas.microsoft.com/office/drawing/2014/chart" uri="{C3380CC4-5D6E-409C-BE32-E72D297353CC}">
              <c16:uniqueId val="{00000000-CB54-4601-812E-5D5493BCD4A9}"/>
            </c:ext>
          </c:extLst>
        </c:ser>
        <c:ser>
          <c:idx val="1"/>
          <c:order val="1"/>
          <c:tx>
            <c:v>Line Speed</c:v>
          </c:tx>
          <c:spPr>
            <a:ln w="7620" cap="rnd">
              <a:solidFill>
                <a:srgbClr val="FF0000"/>
              </a:solidFill>
              <a:prstDash val="dash"/>
              <a:round/>
            </a:ln>
            <a:effectLst>
              <a:outerShdw blurRad="57150" dist="19050" dir="5400000" algn="ctr" rotWithShape="0">
                <a:srgbClr val="000000">
                  <a:alpha val="63000"/>
                </a:srgbClr>
              </a:outerShdw>
            </a:effectLst>
          </c:spPr>
          <c:marker>
            <c:symbol val="none"/>
          </c:marker>
          <c:dPt>
            <c:idx val="54"/>
            <c:marker>
              <c:symbol val="none"/>
            </c:marker>
            <c:bubble3D val="0"/>
            <c:extLst>
              <c:ext xmlns:c16="http://schemas.microsoft.com/office/drawing/2014/chart" uri="{C3380CC4-5D6E-409C-BE32-E72D297353CC}">
                <c16:uniqueId val="{00000001-CB54-4601-812E-5D5493BCD4A9}"/>
              </c:ext>
            </c:extLst>
          </c:dPt>
          <c:dLbls>
            <c:dLbl>
              <c:idx val="0"/>
              <c:delete val="1"/>
              <c:extLst>
                <c:ext xmlns:c15="http://schemas.microsoft.com/office/drawing/2012/chart" uri="{CE6537A1-D6FC-4f65-9D91-7224C49458BB}"/>
                <c:ext xmlns:c16="http://schemas.microsoft.com/office/drawing/2014/chart" uri="{C3380CC4-5D6E-409C-BE32-E72D297353CC}">
                  <c16:uniqueId val="{00000002-CB54-4601-812E-5D5493BCD4A9}"/>
                </c:ext>
              </c:extLst>
            </c:dLbl>
            <c:dLbl>
              <c:idx val="1"/>
              <c:delete val="1"/>
              <c:extLst>
                <c:ext xmlns:c15="http://schemas.microsoft.com/office/drawing/2012/chart" uri="{CE6537A1-D6FC-4f65-9D91-7224C49458BB}"/>
                <c:ext xmlns:c16="http://schemas.microsoft.com/office/drawing/2014/chart" uri="{C3380CC4-5D6E-409C-BE32-E72D297353CC}">
                  <c16:uniqueId val="{00000003-CB54-4601-812E-5D5493BCD4A9}"/>
                </c:ext>
              </c:extLst>
            </c:dLbl>
            <c:dLbl>
              <c:idx val="2"/>
              <c:layout>
                <c:manualLayout>
                  <c:x val="-5.4616825874355714E-3"/>
                  <c:y val="-8.3594566353187051E-3"/>
                </c:manualLayout>
              </c:layout>
              <c:tx>
                <c:rich>
                  <a:bodyPr/>
                  <a:lstStyle/>
                  <a:p>
                    <a:r>
                      <a:rPr lang="en-US" sz="600">
                        <a:solidFill>
                          <a:schemeClr val="accent2"/>
                        </a:solidFill>
                      </a:rPr>
                      <a:t>I27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CB54-4601-812E-5D5493BCD4A9}"/>
                </c:ext>
              </c:extLst>
            </c:dLbl>
            <c:dLbl>
              <c:idx val="3"/>
              <c:delete val="1"/>
              <c:extLst>
                <c:ext xmlns:c15="http://schemas.microsoft.com/office/drawing/2012/chart" uri="{CE6537A1-D6FC-4f65-9D91-7224C49458BB}"/>
                <c:ext xmlns:c16="http://schemas.microsoft.com/office/drawing/2014/chart" uri="{C3380CC4-5D6E-409C-BE32-E72D297353CC}">
                  <c16:uniqueId val="{00000005-CB54-4601-812E-5D5493BCD4A9}"/>
                </c:ext>
              </c:extLst>
            </c:dLbl>
            <c:dLbl>
              <c:idx val="4"/>
              <c:delete val="1"/>
              <c:extLst>
                <c:ext xmlns:c15="http://schemas.microsoft.com/office/drawing/2012/chart" uri="{CE6537A1-D6FC-4f65-9D91-7224C49458BB}"/>
                <c:ext xmlns:c16="http://schemas.microsoft.com/office/drawing/2014/chart" uri="{C3380CC4-5D6E-409C-BE32-E72D297353CC}">
                  <c16:uniqueId val="{00000006-CB54-4601-812E-5D5493BCD4A9}"/>
                </c:ext>
              </c:extLst>
            </c:dLbl>
            <c:dLbl>
              <c:idx val="5"/>
              <c:delete val="1"/>
              <c:extLst>
                <c:ext xmlns:c15="http://schemas.microsoft.com/office/drawing/2012/chart" uri="{CE6537A1-D6FC-4f65-9D91-7224C49458BB}"/>
                <c:ext xmlns:c16="http://schemas.microsoft.com/office/drawing/2014/chart" uri="{C3380CC4-5D6E-409C-BE32-E72D297353CC}">
                  <c16:uniqueId val="{00000007-CB54-4601-812E-5D5493BCD4A9}"/>
                </c:ext>
              </c:extLst>
            </c:dLbl>
            <c:dLbl>
              <c:idx val="6"/>
              <c:layout>
                <c:manualLayout>
                  <c:x val="-4.0962619405766785E-3"/>
                  <c:y val="-8.3594566353187051E-3"/>
                </c:manualLayout>
              </c:layout>
              <c:tx>
                <c:rich>
                  <a:bodyPr/>
                  <a:lstStyle/>
                  <a:p>
                    <a:r>
                      <a:rPr lang="en-US" sz="500">
                        <a:solidFill>
                          <a:schemeClr val="accent2"/>
                        </a:solidFill>
                      </a:rPr>
                      <a:t>I26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CB54-4601-812E-5D5493BCD4A9}"/>
                </c:ext>
              </c:extLst>
            </c:dLbl>
            <c:dLbl>
              <c:idx val="7"/>
              <c:delete val="1"/>
              <c:extLst>
                <c:ext xmlns:c15="http://schemas.microsoft.com/office/drawing/2012/chart" uri="{CE6537A1-D6FC-4f65-9D91-7224C49458BB}"/>
                <c:ext xmlns:c16="http://schemas.microsoft.com/office/drawing/2014/chart" uri="{C3380CC4-5D6E-409C-BE32-E72D297353CC}">
                  <c16:uniqueId val="{00000009-CB54-4601-812E-5D5493BCD4A9}"/>
                </c:ext>
              </c:extLst>
            </c:dLbl>
            <c:dLbl>
              <c:idx val="8"/>
              <c:delete val="1"/>
              <c:extLst>
                <c:ext xmlns:c15="http://schemas.microsoft.com/office/drawing/2012/chart" uri="{CE6537A1-D6FC-4f65-9D91-7224C49458BB}"/>
                <c:ext xmlns:c16="http://schemas.microsoft.com/office/drawing/2014/chart" uri="{C3380CC4-5D6E-409C-BE32-E72D297353CC}">
                  <c16:uniqueId val="{0000000A-CB54-4601-812E-5D5493BCD4A9}"/>
                </c:ext>
              </c:extLst>
            </c:dLbl>
            <c:dLbl>
              <c:idx val="9"/>
              <c:delete val="1"/>
              <c:extLst>
                <c:ext xmlns:c15="http://schemas.microsoft.com/office/drawing/2012/chart" uri="{CE6537A1-D6FC-4f65-9D91-7224C49458BB}"/>
                <c:ext xmlns:c16="http://schemas.microsoft.com/office/drawing/2014/chart" uri="{C3380CC4-5D6E-409C-BE32-E72D297353CC}">
                  <c16:uniqueId val="{0000000B-CB54-4601-812E-5D5493BCD4A9}"/>
                </c:ext>
              </c:extLst>
            </c:dLbl>
            <c:dLbl>
              <c:idx val="10"/>
              <c:delete val="1"/>
              <c:extLst>
                <c:ext xmlns:c15="http://schemas.microsoft.com/office/drawing/2012/chart" uri="{CE6537A1-D6FC-4f65-9D91-7224C49458BB}"/>
                <c:ext xmlns:c16="http://schemas.microsoft.com/office/drawing/2014/chart" uri="{C3380CC4-5D6E-409C-BE32-E72D297353CC}">
                  <c16:uniqueId val="{0000000C-CB54-4601-812E-5D5493BCD4A9}"/>
                </c:ext>
              </c:extLst>
            </c:dLbl>
            <c:dLbl>
              <c:idx val="11"/>
              <c:layout>
                <c:manualLayout>
                  <c:x val="-2.3212150996601191E-2"/>
                  <c:y val="-8.3594566353187814E-3"/>
                </c:manualLayout>
              </c:layout>
              <c:tx>
                <c:rich>
                  <a:bodyPr/>
                  <a:lstStyle/>
                  <a:p>
                    <a:r>
                      <a:rPr lang="en-US" sz="500">
                        <a:solidFill>
                          <a:schemeClr val="accent2"/>
                        </a:solidFill>
                      </a:rPr>
                      <a:t>I25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CB54-4601-812E-5D5493BCD4A9}"/>
                </c:ext>
              </c:extLst>
            </c:dLbl>
            <c:dLbl>
              <c:idx val="12"/>
              <c:delete val="1"/>
              <c:extLst>
                <c:ext xmlns:c15="http://schemas.microsoft.com/office/drawing/2012/chart" uri="{CE6537A1-D6FC-4f65-9D91-7224C49458BB}"/>
                <c:ext xmlns:c16="http://schemas.microsoft.com/office/drawing/2014/chart" uri="{C3380CC4-5D6E-409C-BE32-E72D297353CC}">
                  <c16:uniqueId val="{0000000E-CB54-4601-812E-5D5493BCD4A9}"/>
                </c:ext>
              </c:extLst>
            </c:dLbl>
            <c:dLbl>
              <c:idx val="13"/>
              <c:delete val="1"/>
              <c:extLst>
                <c:ext xmlns:c15="http://schemas.microsoft.com/office/drawing/2012/chart" uri="{CE6537A1-D6FC-4f65-9D91-7224C49458BB}"/>
                <c:ext xmlns:c16="http://schemas.microsoft.com/office/drawing/2014/chart" uri="{C3380CC4-5D6E-409C-BE32-E72D297353CC}">
                  <c16:uniqueId val="{0000000F-CB54-4601-812E-5D5493BCD4A9}"/>
                </c:ext>
              </c:extLst>
            </c:dLbl>
            <c:dLbl>
              <c:idx val="14"/>
              <c:delete val="1"/>
              <c:extLst>
                <c:ext xmlns:c15="http://schemas.microsoft.com/office/drawing/2012/chart" uri="{CE6537A1-D6FC-4f65-9D91-7224C49458BB}"/>
                <c:ext xmlns:c16="http://schemas.microsoft.com/office/drawing/2014/chart" uri="{C3380CC4-5D6E-409C-BE32-E72D297353CC}">
                  <c16:uniqueId val="{00000010-CB54-4601-812E-5D5493BCD4A9}"/>
                </c:ext>
              </c:extLst>
            </c:dLbl>
            <c:dLbl>
              <c:idx val="15"/>
              <c:delete val="1"/>
              <c:extLst>
                <c:ext xmlns:c15="http://schemas.microsoft.com/office/drawing/2012/chart" uri="{CE6537A1-D6FC-4f65-9D91-7224C49458BB}"/>
                <c:ext xmlns:c16="http://schemas.microsoft.com/office/drawing/2014/chart" uri="{C3380CC4-5D6E-409C-BE32-E72D297353CC}">
                  <c16:uniqueId val="{00000011-CB54-4601-812E-5D5493BCD4A9}"/>
                </c:ext>
              </c:extLst>
            </c:dLbl>
            <c:dLbl>
              <c:idx val="16"/>
              <c:delete val="1"/>
              <c:extLst>
                <c:ext xmlns:c15="http://schemas.microsoft.com/office/drawing/2012/chart" uri="{CE6537A1-D6FC-4f65-9D91-7224C49458BB}"/>
                <c:ext xmlns:c16="http://schemas.microsoft.com/office/drawing/2014/chart" uri="{C3380CC4-5D6E-409C-BE32-E72D297353CC}">
                  <c16:uniqueId val="{00000012-CB54-4601-812E-5D5493BCD4A9}"/>
                </c:ext>
              </c:extLst>
            </c:dLbl>
            <c:dLbl>
              <c:idx val="17"/>
              <c:delete val="1"/>
              <c:extLst>
                <c:ext xmlns:c15="http://schemas.microsoft.com/office/drawing/2012/chart" uri="{CE6537A1-D6FC-4f65-9D91-7224C49458BB}"/>
                <c:ext xmlns:c16="http://schemas.microsoft.com/office/drawing/2014/chart" uri="{C3380CC4-5D6E-409C-BE32-E72D297353CC}">
                  <c16:uniqueId val="{00000013-CB54-4601-812E-5D5493BCD4A9}"/>
                </c:ext>
              </c:extLst>
            </c:dLbl>
            <c:dLbl>
              <c:idx val="18"/>
              <c:layout>
                <c:manualLayout>
                  <c:x val="-2.5943016983635485E-2"/>
                  <c:y val="-9.2789968652038386E-3"/>
                </c:manualLayout>
              </c:layout>
              <c:tx>
                <c:rich>
                  <a:bodyPr/>
                  <a:lstStyle/>
                  <a:p>
                    <a:r>
                      <a:rPr lang="en-US" sz="500">
                        <a:solidFill>
                          <a:schemeClr val="accent2"/>
                        </a:solidFill>
                      </a:rPr>
                      <a:t>I24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CB54-4601-812E-5D5493BCD4A9}"/>
                </c:ext>
              </c:extLst>
            </c:dLbl>
            <c:dLbl>
              <c:idx val="19"/>
              <c:delete val="1"/>
              <c:extLst>
                <c:ext xmlns:c15="http://schemas.microsoft.com/office/drawing/2012/chart" uri="{CE6537A1-D6FC-4f65-9D91-7224C49458BB}"/>
                <c:ext xmlns:c16="http://schemas.microsoft.com/office/drawing/2014/chart" uri="{C3380CC4-5D6E-409C-BE32-E72D297353CC}">
                  <c16:uniqueId val="{00000015-CB54-4601-812E-5D5493BCD4A9}"/>
                </c:ext>
              </c:extLst>
            </c:dLbl>
            <c:dLbl>
              <c:idx val="20"/>
              <c:delete val="1"/>
              <c:extLst>
                <c:ext xmlns:c15="http://schemas.microsoft.com/office/drawing/2012/chart" uri="{CE6537A1-D6FC-4f65-9D91-7224C49458BB}"/>
                <c:ext xmlns:c16="http://schemas.microsoft.com/office/drawing/2014/chart" uri="{C3380CC4-5D6E-409C-BE32-E72D297353CC}">
                  <c16:uniqueId val="{00000016-CB54-4601-812E-5D5493BCD4A9}"/>
                </c:ext>
              </c:extLst>
            </c:dLbl>
            <c:dLbl>
              <c:idx val="21"/>
              <c:delete val="1"/>
              <c:extLst>
                <c:ext xmlns:c15="http://schemas.microsoft.com/office/drawing/2012/chart" uri="{CE6537A1-D6FC-4f65-9D91-7224C49458BB}"/>
                <c:ext xmlns:c16="http://schemas.microsoft.com/office/drawing/2014/chart" uri="{C3380CC4-5D6E-409C-BE32-E72D297353CC}">
                  <c16:uniqueId val="{00000017-CB54-4601-812E-5D5493BCD4A9}"/>
                </c:ext>
              </c:extLst>
            </c:dLbl>
            <c:dLbl>
              <c:idx val="22"/>
              <c:delete val="1"/>
              <c:extLst>
                <c:ext xmlns:c15="http://schemas.microsoft.com/office/drawing/2012/chart" uri="{CE6537A1-D6FC-4f65-9D91-7224C49458BB}"/>
                <c:ext xmlns:c16="http://schemas.microsoft.com/office/drawing/2014/chart" uri="{C3380CC4-5D6E-409C-BE32-E72D297353CC}">
                  <c16:uniqueId val="{00000018-CB54-4601-812E-5D5493BCD4A9}"/>
                </c:ext>
              </c:extLst>
            </c:dLbl>
            <c:dLbl>
              <c:idx val="23"/>
              <c:delete val="1"/>
              <c:extLst>
                <c:ext xmlns:c15="http://schemas.microsoft.com/office/drawing/2012/chart" uri="{CE6537A1-D6FC-4f65-9D91-7224C49458BB}"/>
                <c:ext xmlns:c16="http://schemas.microsoft.com/office/drawing/2014/chart" uri="{C3380CC4-5D6E-409C-BE32-E72D297353CC}">
                  <c16:uniqueId val="{00000019-CB54-4601-812E-5D5493BCD4A9}"/>
                </c:ext>
              </c:extLst>
            </c:dLbl>
            <c:dLbl>
              <c:idx val="24"/>
              <c:delete val="1"/>
              <c:extLst>
                <c:ext xmlns:c15="http://schemas.microsoft.com/office/drawing/2012/chart" uri="{CE6537A1-D6FC-4f65-9D91-7224C49458BB}"/>
                <c:ext xmlns:c16="http://schemas.microsoft.com/office/drawing/2014/chart" uri="{C3380CC4-5D6E-409C-BE32-E72D297353CC}">
                  <c16:uniqueId val="{0000001A-CB54-4601-812E-5D5493BCD4A9}"/>
                </c:ext>
              </c:extLst>
            </c:dLbl>
            <c:dLbl>
              <c:idx val="25"/>
              <c:delete val="1"/>
              <c:extLst>
                <c:ext xmlns:c15="http://schemas.microsoft.com/office/drawing/2012/chart" uri="{CE6537A1-D6FC-4f65-9D91-7224C49458BB}"/>
                <c:ext xmlns:c16="http://schemas.microsoft.com/office/drawing/2014/chart" uri="{C3380CC4-5D6E-409C-BE32-E72D297353CC}">
                  <c16:uniqueId val="{0000001B-CB54-4601-812E-5D5493BCD4A9}"/>
                </c:ext>
              </c:extLst>
            </c:dLbl>
            <c:dLbl>
              <c:idx val="26"/>
              <c:layout>
                <c:manualLayout>
                  <c:x val="-2.7738686510340053E-2"/>
                  <c:y val="-7.350113959629409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r>
                      <a:rPr lang="en-US" sz="500">
                        <a:solidFill>
                          <a:schemeClr val="accent2"/>
                        </a:solidFill>
                      </a:rPr>
                      <a:t>I23</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8065934065934066E-2"/>
                      <c:h val="1.6361420592335748E-2"/>
                    </c:manualLayout>
                  </c15:layout>
                  <c15:showDataLabelsRange val="0"/>
                </c:ext>
                <c:ext xmlns:c16="http://schemas.microsoft.com/office/drawing/2014/chart" uri="{C3380CC4-5D6E-409C-BE32-E72D297353CC}">
                  <c16:uniqueId val="{0000001C-CB54-4601-812E-5D5493BCD4A9}"/>
                </c:ext>
              </c:extLst>
            </c:dLbl>
            <c:dLbl>
              <c:idx val="27"/>
              <c:delete val="1"/>
              <c:extLst>
                <c:ext xmlns:c15="http://schemas.microsoft.com/office/drawing/2012/chart" uri="{CE6537A1-D6FC-4f65-9D91-7224C49458BB}"/>
                <c:ext xmlns:c16="http://schemas.microsoft.com/office/drawing/2014/chart" uri="{C3380CC4-5D6E-409C-BE32-E72D297353CC}">
                  <c16:uniqueId val="{0000001D-CB54-4601-812E-5D5493BCD4A9}"/>
                </c:ext>
              </c:extLst>
            </c:dLbl>
            <c:dLbl>
              <c:idx val="28"/>
              <c:delete val="1"/>
              <c:extLst>
                <c:ext xmlns:c15="http://schemas.microsoft.com/office/drawing/2012/chart" uri="{CE6537A1-D6FC-4f65-9D91-7224C49458BB}"/>
                <c:ext xmlns:c16="http://schemas.microsoft.com/office/drawing/2014/chart" uri="{C3380CC4-5D6E-409C-BE32-E72D297353CC}">
                  <c16:uniqueId val="{0000001E-CB54-4601-812E-5D5493BCD4A9}"/>
                </c:ext>
              </c:extLst>
            </c:dLbl>
            <c:dLbl>
              <c:idx val="29"/>
              <c:delete val="1"/>
              <c:extLst>
                <c:ext xmlns:c15="http://schemas.microsoft.com/office/drawing/2012/chart" uri="{CE6537A1-D6FC-4f65-9D91-7224C49458BB}"/>
                <c:ext xmlns:c16="http://schemas.microsoft.com/office/drawing/2014/chart" uri="{C3380CC4-5D6E-409C-BE32-E72D297353CC}">
                  <c16:uniqueId val="{0000001F-CB54-4601-812E-5D5493BCD4A9}"/>
                </c:ext>
              </c:extLst>
            </c:dLbl>
            <c:dLbl>
              <c:idx val="30"/>
              <c:delete val="1"/>
              <c:extLst>
                <c:ext xmlns:c15="http://schemas.microsoft.com/office/drawing/2012/chart" uri="{CE6537A1-D6FC-4f65-9D91-7224C49458BB}"/>
                <c:ext xmlns:c16="http://schemas.microsoft.com/office/drawing/2014/chart" uri="{C3380CC4-5D6E-409C-BE32-E72D297353CC}">
                  <c16:uniqueId val="{00000020-CB54-4601-812E-5D5493BCD4A9}"/>
                </c:ext>
              </c:extLst>
            </c:dLbl>
            <c:dLbl>
              <c:idx val="31"/>
              <c:delete val="1"/>
              <c:extLst>
                <c:ext xmlns:c15="http://schemas.microsoft.com/office/drawing/2012/chart" uri="{CE6537A1-D6FC-4f65-9D91-7224C49458BB}"/>
                <c:ext xmlns:c16="http://schemas.microsoft.com/office/drawing/2014/chart" uri="{C3380CC4-5D6E-409C-BE32-E72D297353CC}">
                  <c16:uniqueId val="{00000021-CB54-4601-812E-5D5493BCD4A9}"/>
                </c:ext>
              </c:extLst>
            </c:dLbl>
            <c:dLbl>
              <c:idx val="32"/>
              <c:delete val="1"/>
              <c:extLst>
                <c:ext xmlns:c15="http://schemas.microsoft.com/office/drawing/2012/chart" uri="{CE6537A1-D6FC-4f65-9D91-7224C49458BB}"/>
                <c:ext xmlns:c16="http://schemas.microsoft.com/office/drawing/2014/chart" uri="{C3380CC4-5D6E-409C-BE32-E72D297353CC}">
                  <c16:uniqueId val="{00000022-CB54-4601-812E-5D5493BCD4A9}"/>
                </c:ext>
              </c:extLst>
            </c:dLbl>
            <c:dLbl>
              <c:idx val="33"/>
              <c:delete val="1"/>
              <c:extLst>
                <c:ext xmlns:c15="http://schemas.microsoft.com/office/drawing/2012/chart" uri="{CE6537A1-D6FC-4f65-9D91-7224C49458BB}"/>
                <c:ext xmlns:c16="http://schemas.microsoft.com/office/drawing/2014/chart" uri="{C3380CC4-5D6E-409C-BE32-E72D297353CC}">
                  <c16:uniqueId val="{00000023-CB54-4601-812E-5D5493BCD4A9}"/>
                </c:ext>
              </c:extLst>
            </c:dLbl>
            <c:dLbl>
              <c:idx val="34"/>
              <c:layout>
                <c:manualLayout>
                  <c:x val="-2.5936352856502854E-2"/>
                  <c:y val="-9.2789968652037622E-3"/>
                </c:manualLayout>
              </c:layout>
              <c:tx>
                <c:rich>
                  <a:bodyPr/>
                  <a:lstStyle/>
                  <a:p>
                    <a:r>
                      <a:rPr lang="en-US" sz="500">
                        <a:solidFill>
                          <a:schemeClr val="accent2"/>
                        </a:solidFill>
                      </a:rPr>
                      <a:t>I22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B54-4601-812E-5D5493BCD4A9}"/>
                </c:ext>
              </c:extLst>
            </c:dLbl>
            <c:dLbl>
              <c:idx val="35"/>
              <c:delete val="1"/>
              <c:extLst>
                <c:ext xmlns:c15="http://schemas.microsoft.com/office/drawing/2012/chart" uri="{CE6537A1-D6FC-4f65-9D91-7224C49458BB}"/>
                <c:ext xmlns:c16="http://schemas.microsoft.com/office/drawing/2014/chart" uri="{C3380CC4-5D6E-409C-BE32-E72D297353CC}">
                  <c16:uniqueId val="{00000025-CB54-4601-812E-5D5493BCD4A9}"/>
                </c:ext>
              </c:extLst>
            </c:dLbl>
            <c:dLbl>
              <c:idx val="36"/>
              <c:delete val="1"/>
              <c:extLst>
                <c:ext xmlns:c15="http://schemas.microsoft.com/office/drawing/2012/chart" uri="{CE6537A1-D6FC-4f65-9D91-7224C49458BB}"/>
                <c:ext xmlns:c16="http://schemas.microsoft.com/office/drawing/2014/chart" uri="{C3380CC4-5D6E-409C-BE32-E72D297353CC}">
                  <c16:uniqueId val="{00000026-CB54-4601-812E-5D5493BCD4A9}"/>
                </c:ext>
              </c:extLst>
            </c:dLbl>
            <c:dLbl>
              <c:idx val="37"/>
              <c:delete val="1"/>
              <c:extLst>
                <c:ext xmlns:c15="http://schemas.microsoft.com/office/drawing/2012/chart" uri="{CE6537A1-D6FC-4f65-9D91-7224C49458BB}"/>
                <c:ext xmlns:c16="http://schemas.microsoft.com/office/drawing/2014/chart" uri="{C3380CC4-5D6E-409C-BE32-E72D297353CC}">
                  <c16:uniqueId val="{00000027-CB54-4601-812E-5D5493BCD4A9}"/>
                </c:ext>
              </c:extLst>
            </c:dLbl>
            <c:dLbl>
              <c:idx val="38"/>
              <c:delete val="1"/>
              <c:extLst>
                <c:ext xmlns:c15="http://schemas.microsoft.com/office/drawing/2012/chart" uri="{CE6537A1-D6FC-4f65-9D91-7224C49458BB}"/>
                <c:ext xmlns:c16="http://schemas.microsoft.com/office/drawing/2014/chart" uri="{C3380CC4-5D6E-409C-BE32-E72D297353CC}">
                  <c16:uniqueId val="{00000028-CB54-4601-812E-5D5493BCD4A9}"/>
                </c:ext>
              </c:extLst>
            </c:dLbl>
            <c:dLbl>
              <c:idx val="39"/>
              <c:delete val="1"/>
              <c:extLst>
                <c:ext xmlns:c15="http://schemas.microsoft.com/office/drawing/2012/chart" uri="{CE6537A1-D6FC-4f65-9D91-7224C49458BB}"/>
                <c:ext xmlns:c16="http://schemas.microsoft.com/office/drawing/2014/chart" uri="{C3380CC4-5D6E-409C-BE32-E72D297353CC}">
                  <c16:uniqueId val="{00000029-CB54-4601-812E-5D5493BCD4A9}"/>
                </c:ext>
              </c:extLst>
            </c:dLbl>
            <c:dLbl>
              <c:idx val="40"/>
              <c:delete val="1"/>
              <c:extLst>
                <c:ext xmlns:c15="http://schemas.microsoft.com/office/drawing/2012/chart" uri="{CE6537A1-D6FC-4f65-9D91-7224C49458BB}"/>
                <c:ext xmlns:c16="http://schemas.microsoft.com/office/drawing/2014/chart" uri="{C3380CC4-5D6E-409C-BE32-E72D297353CC}">
                  <c16:uniqueId val="{0000002A-CB54-4601-812E-5D5493BCD4A9}"/>
                </c:ext>
              </c:extLst>
            </c:dLbl>
            <c:dLbl>
              <c:idx val="41"/>
              <c:delete val="1"/>
              <c:extLst>
                <c:ext xmlns:c15="http://schemas.microsoft.com/office/drawing/2012/chart" uri="{CE6537A1-D6FC-4f65-9D91-7224C49458BB}"/>
                <c:ext xmlns:c16="http://schemas.microsoft.com/office/drawing/2014/chart" uri="{C3380CC4-5D6E-409C-BE32-E72D297353CC}">
                  <c16:uniqueId val="{0000002B-CB54-4601-812E-5D5493BCD4A9}"/>
                </c:ext>
              </c:extLst>
            </c:dLbl>
            <c:dLbl>
              <c:idx val="42"/>
              <c:delete val="1"/>
              <c:extLst>
                <c:ext xmlns:c15="http://schemas.microsoft.com/office/drawing/2012/chart" uri="{CE6537A1-D6FC-4f65-9D91-7224C49458BB}"/>
                <c:ext xmlns:c16="http://schemas.microsoft.com/office/drawing/2014/chart" uri="{C3380CC4-5D6E-409C-BE32-E72D297353CC}">
                  <c16:uniqueId val="{0000002C-CB54-4601-812E-5D5493BCD4A9}"/>
                </c:ext>
              </c:extLst>
            </c:dLbl>
            <c:dLbl>
              <c:idx val="43"/>
              <c:delete val="1"/>
              <c:extLst>
                <c:ext xmlns:c15="http://schemas.microsoft.com/office/drawing/2012/chart" uri="{CE6537A1-D6FC-4f65-9D91-7224C49458BB}"/>
                <c:ext xmlns:c16="http://schemas.microsoft.com/office/drawing/2014/chart" uri="{C3380CC4-5D6E-409C-BE32-E72D297353CC}">
                  <c16:uniqueId val="{0000002D-CB54-4601-812E-5D5493BCD4A9}"/>
                </c:ext>
              </c:extLst>
            </c:dLbl>
            <c:dLbl>
              <c:idx val="44"/>
              <c:layout>
                <c:manualLayout>
                  <c:x val="-9.5554984208168423E-3"/>
                  <c:y val="-9.2789968652038386E-3"/>
                </c:manualLayout>
              </c:layout>
              <c:tx>
                <c:rich>
                  <a:bodyPr/>
                  <a:lstStyle/>
                  <a:p>
                    <a:r>
                      <a:rPr lang="en-US" sz="500">
                        <a:solidFill>
                          <a:schemeClr val="accent2"/>
                        </a:solidFill>
                      </a:rPr>
                      <a:t>I21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CB54-4601-812E-5D5493BCD4A9}"/>
                </c:ext>
              </c:extLst>
            </c:dLbl>
            <c:dLbl>
              <c:idx val="45"/>
              <c:delete val="1"/>
              <c:extLst>
                <c:ext xmlns:c15="http://schemas.microsoft.com/office/drawing/2012/chart" uri="{CE6537A1-D6FC-4f65-9D91-7224C49458BB}"/>
                <c:ext xmlns:c16="http://schemas.microsoft.com/office/drawing/2014/chart" uri="{C3380CC4-5D6E-409C-BE32-E72D297353CC}">
                  <c16:uniqueId val="{0000002F-CB54-4601-812E-5D5493BCD4A9}"/>
                </c:ext>
              </c:extLst>
            </c:dLbl>
            <c:dLbl>
              <c:idx val="46"/>
              <c:delete val="1"/>
              <c:extLst>
                <c:ext xmlns:c15="http://schemas.microsoft.com/office/drawing/2012/chart" uri="{CE6537A1-D6FC-4f65-9D91-7224C49458BB}"/>
                <c:ext xmlns:c16="http://schemas.microsoft.com/office/drawing/2014/chart" uri="{C3380CC4-5D6E-409C-BE32-E72D297353CC}">
                  <c16:uniqueId val="{00000030-CB54-4601-812E-5D5493BCD4A9}"/>
                </c:ext>
              </c:extLst>
            </c:dLbl>
            <c:dLbl>
              <c:idx val="47"/>
              <c:delete val="1"/>
              <c:extLst>
                <c:ext xmlns:c15="http://schemas.microsoft.com/office/drawing/2012/chart" uri="{CE6537A1-D6FC-4f65-9D91-7224C49458BB}"/>
                <c:ext xmlns:c16="http://schemas.microsoft.com/office/drawing/2014/chart" uri="{C3380CC4-5D6E-409C-BE32-E72D297353CC}">
                  <c16:uniqueId val="{00000031-CB54-4601-812E-5D5493BCD4A9}"/>
                </c:ext>
              </c:extLst>
            </c:dLbl>
            <c:dLbl>
              <c:idx val="48"/>
              <c:layout>
                <c:manualLayout>
                  <c:x val="-2.7301424059476741E-2"/>
                  <c:y val="-6.2695924764891052E-3"/>
                </c:manualLayout>
              </c:layout>
              <c:tx>
                <c:rich>
                  <a:bodyPr/>
                  <a:lstStyle/>
                  <a:p>
                    <a:r>
                      <a:rPr lang="en-US" sz="500">
                        <a:solidFill>
                          <a:schemeClr val="accent2"/>
                        </a:solidFill>
                      </a:rPr>
                      <a:t>I19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CB54-4601-812E-5D5493BCD4A9}"/>
                </c:ext>
              </c:extLst>
            </c:dLbl>
            <c:dLbl>
              <c:idx val="49"/>
              <c:delete val="1"/>
              <c:extLst>
                <c:ext xmlns:c15="http://schemas.microsoft.com/office/drawing/2012/chart" uri="{CE6537A1-D6FC-4f65-9D91-7224C49458BB}"/>
                <c:ext xmlns:c16="http://schemas.microsoft.com/office/drawing/2014/chart" uri="{C3380CC4-5D6E-409C-BE32-E72D297353CC}">
                  <c16:uniqueId val="{00000033-CB54-4601-812E-5D5493BCD4A9}"/>
                </c:ext>
              </c:extLst>
            </c:dLbl>
            <c:dLbl>
              <c:idx val="50"/>
              <c:delete val="1"/>
              <c:extLst>
                <c:ext xmlns:c15="http://schemas.microsoft.com/office/drawing/2012/chart" uri="{CE6537A1-D6FC-4f65-9D91-7224C49458BB}"/>
                <c:ext xmlns:c16="http://schemas.microsoft.com/office/drawing/2014/chart" uri="{C3380CC4-5D6E-409C-BE32-E72D297353CC}">
                  <c16:uniqueId val="{00000034-CB54-4601-812E-5D5493BCD4A9}"/>
                </c:ext>
              </c:extLst>
            </c:dLbl>
            <c:dLbl>
              <c:idx val="51"/>
              <c:delete val="1"/>
              <c:extLst>
                <c:ext xmlns:c15="http://schemas.microsoft.com/office/drawing/2012/chart" uri="{CE6537A1-D6FC-4f65-9D91-7224C49458BB}"/>
                <c:ext xmlns:c16="http://schemas.microsoft.com/office/drawing/2014/chart" uri="{C3380CC4-5D6E-409C-BE32-E72D297353CC}">
                  <c16:uniqueId val="{00000035-CB54-4601-812E-5D5493BCD4A9}"/>
                </c:ext>
              </c:extLst>
            </c:dLbl>
            <c:dLbl>
              <c:idx val="52"/>
              <c:delete val="1"/>
              <c:extLst>
                <c:ext xmlns:c15="http://schemas.microsoft.com/office/drawing/2012/chart" uri="{CE6537A1-D6FC-4f65-9D91-7224C49458BB}"/>
                <c:ext xmlns:c16="http://schemas.microsoft.com/office/drawing/2014/chart" uri="{C3380CC4-5D6E-409C-BE32-E72D297353CC}">
                  <c16:uniqueId val="{00000036-CB54-4601-812E-5D5493BCD4A9}"/>
                </c:ext>
              </c:extLst>
            </c:dLbl>
            <c:dLbl>
              <c:idx val="53"/>
              <c:delete val="1"/>
              <c:extLst>
                <c:ext xmlns:c15="http://schemas.microsoft.com/office/drawing/2012/chart" uri="{CE6537A1-D6FC-4f65-9D91-7224C49458BB}"/>
                <c:ext xmlns:c16="http://schemas.microsoft.com/office/drawing/2014/chart" uri="{C3380CC4-5D6E-409C-BE32-E72D297353CC}">
                  <c16:uniqueId val="{00000037-CB54-4601-812E-5D5493BCD4A9}"/>
                </c:ext>
              </c:extLst>
            </c:dLbl>
            <c:dLbl>
              <c:idx val="54"/>
              <c:layout>
                <c:manualLayout>
                  <c:x val="-1.9109934756089866E-2"/>
                  <c:y val="-8.3594706639097769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r>
                      <a:rPr lang="en-US" sz="500">
                        <a:solidFill>
                          <a:schemeClr val="accent2"/>
                        </a:solidFill>
                      </a:rPr>
                      <a:t>I18</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9563594509702679E-2"/>
                      <c:h val="1.9028267387078704E-2"/>
                    </c:manualLayout>
                  </c15:layout>
                  <c15:showDataLabelsRange val="0"/>
                </c:ext>
                <c:ext xmlns:c16="http://schemas.microsoft.com/office/drawing/2014/chart" uri="{C3380CC4-5D6E-409C-BE32-E72D297353CC}">
                  <c16:uniqueId val="{00000001-CB54-4601-812E-5D5493BCD4A9}"/>
                </c:ext>
              </c:extLst>
            </c:dLbl>
            <c:dLbl>
              <c:idx val="55"/>
              <c:delete val="1"/>
              <c:extLst>
                <c:ext xmlns:c15="http://schemas.microsoft.com/office/drawing/2012/chart" uri="{CE6537A1-D6FC-4f65-9D91-7224C49458BB}"/>
                <c:ext xmlns:c16="http://schemas.microsoft.com/office/drawing/2014/chart" uri="{C3380CC4-5D6E-409C-BE32-E72D297353CC}">
                  <c16:uniqueId val="{00000038-CB54-4601-812E-5D5493BCD4A9}"/>
                </c:ext>
              </c:extLst>
            </c:dLbl>
            <c:dLbl>
              <c:idx val="56"/>
              <c:delete val="1"/>
              <c:extLst>
                <c:ext xmlns:c15="http://schemas.microsoft.com/office/drawing/2012/chart" uri="{CE6537A1-D6FC-4f65-9D91-7224C49458BB}"/>
                <c:ext xmlns:c16="http://schemas.microsoft.com/office/drawing/2014/chart" uri="{C3380CC4-5D6E-409C-BE32-E72D297353CC}">
                  <c16:uniqueId val="{00000039-CB54-4601-812E-5D5493BCD4A9}"/>
                </c:ext>
              </c:extLst>
            </c:dLbl>
            <c:dLbl>
              <c:idx val="57"/>
              <c:delete val="1"/>
              <c:extLst>
                <c:ext xmlns:c15="http://schemas.microsoft.com/office/drawing/2012/chart" uri="{CE6537A1-D6FC-4f65-9D91-7224C49458BB}"/>
                <c:ext xmlns:c16="http://schemas.microsoft.com/office/drawing/2014/chart" uri="{C3380CC4-5D6E-409C-BE32-E72D297353CC}">
                  <c16:uniqueId val="{0000003A-CB54-4601-812E-5D5493BCD4A9}"/>
                </c:ext>
              </c:extLst>
            </c:dLbl>
            <c:dLbl>
              <c:idx val="58"/>
              <c:delete val="1"/>
              <c:extLst>
                <c:ext xmlns:c15="http://schemas.microsoft.com/office/drawing/2012/chart" uri="{CE6537A1-D6FC-4f65-9D91-7224C49458BB}"/>
                <c:ext xmlns:c16="http://schemas.microsoft.com/office/drawing/2014/chart" uri="{C3380CC4-5D6E-409C-BE32-E72D297353CC}">
                  <c16:uniqueId val="{0000003B-CB54-4601-812E-5D5493BCD4A9}"/>
                </c:ext>
              </c:extLst>
            </c:dLbl>
            <c:dLbl>
              <c:idx val="59"/>
              <c:delete val="1"/>
              <c:extLst>
                <c:ext xmlns:c15="http://schemas.microsoft.com/office/drawing/2012/chart" uri="{CE6537A1-D6FC-4f65-9D91-7224C49458BB}"/>
                <c:ext xmlns:c16="http://schemas.microsoft.com/office/drawing/2014/chart" uri="{C3380CC4-5D6E-409C-BE32-E72D297353CC}">
                  <c16:uniqueId val="{0000003C-CB54-4601-812E-5D5493BCD4A9}"/>
                </c:ext>
              </c:extLst>
            </c:dLbl>
            <c:dLbl>
              <c:idx val="60"/>
              <c:delete val="1"/>
              <c:extLst>
                <c:ext xmlns:c15="http://schemas.microsoft.com/office/drawing/2012/chart" uri="{CE6537A1-D6FC-4f65-9D91-7224C49458BB}"/>
                <c:ext xmlns:c16="http://schemas.microsoft.com/office/drawing/2014/chart" uri="{C3380CC4-5D6E-409C-BE32-E72D297353CC}">
                  <c16:uniqueId val="{0000003D-CB54-4601-812E-5D5493BCD4A9}"/>
                </c:ext>
              </c:extLst>
            </c:dLbl>
            <c:dLbl>
              <c:idx val="61"/>
              <c:delete val="1"/>
              <c:extLst>
                <c:ext xmlns:c15="http://schemas.microsoft.com/office/drawing/2012/chart" uri="{CE6537A1-D6FC-4f65-9D91-7224C49458BB}"/>
                <c:ext xmlns:c16="http://schemas.microsoft.com/office/drawing/2014/chart" uri="{C3380CC4-5D6E-409C-BE32-E72D297353CC}">
                  <c16:uniqueId val="{0000003E-CB54-4601-812E-5D5493BCD4A9}"/>
                </c:ext>
              </c:extLst>
            </c:dLbl>
            <c:dLbl>
              <c:idx val="62"/>
              <c:delete val="1"/>
              <c:extLst>
                <c:ext xmlns:c15="http://schemas.microsoft.com/office/drawing/2012/chart" uri="{CE6537A1-D6FC-4f65-9D91-7224C49458BB}"/>
                <c:ext xmlns:c16="http://schemas.microsoft.com/office/drawing/2014/chart" uri="{C3380CC4-5D6E-409C-BE32-E72D297353CC}">
                  <c16:uniqueId val="{0000003F-CB54-4601-812E-5D5493BCD4A9}"/>
                </c:ext>
              </c:extLst>
            </c:dLbl>
            <c:dLbl>
              <c:idx val="63"/>
              <c:layout>
                <c:manualLayout>
                  <c:x val="-1.5748377606645322E-2"/>
                  <c:y val="-9.2789794354488121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r>
                      <a:rPr lang="en-US" sz="500">
                        <a:solidFill>
                          <a:schemeClr val="accent2"/>
                        </a:solidFill>
                      </a:rPr>
                      <a:t>I17</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8296559083960658E-2"/>
                      <c:h val="1.9028293682842375E-2"/>
                    </c:manualLayout>
                  </c15:layout>
                  <c15:showDataLabelsRange val="0"/>
                </c:ext>
                <c:ext xmlns:c16="http://schemas.microsoft.com/office/drawing/2014/chart" uri="{C3380CC4-5D6E-409C-BE32-E72D297353CC}">
                  <c16:uniqueId val="{00000040-CB54-4601-812E-5D5493BCD4A9}"/>
                </c:ext>
              </c:extLst>
            </c:dLbl>
            <c:dLbl>
              <c:idx val="64"/>
              <c:delete val="1"/>
              <c:extLst>
                <c:ext xmlns:c15="http://schemas.microsoft.com/office/drawing/2012/chart" uri="{CE6537A1-D6FC-4f65-9D91-7224C49458BB}"/>
                <c:ext xmlns:c16="http://schemas.microsoft.com/office/drawing/2014/chart" uri="{C3380CC4-5D6E-409C-BE32-E72D297353CC}">
                  <c16:uniqueId val="{00000041-CB54-4601-812E-5D5493BCD4A9}"/>
                </c:ext>
              </c:extLst>
            </c:dLbl>
            <c:dLbl>
              <c:idx val="65"/>
              <c:delete val="1"/>
              <c:extLst>
                <c:ext xmlns:c15="http://schemas.microsoft.com/office/drawing/2012/chart" uri="{CE6537A1-D6FC-4f65-9D91-7224C49458BB}"/>
                <c:ext xmlns:c16="http://schemas.microsoft.com/office/drawing/2014/chart" uri="{C3380CC4-5D6E-409C-BE32-E72D297353CC}">
                  <c16:uniqueId val="{00000042-CB54-4601-812E-5D5493BCD4A9}"/>
                </c:ext>
              </c:extLst>
            </c:dLbl>
            <c:dLbl>
              <c:idx val="66"/>
              <c:delete val="1"/>
              <c:extLst>
                <c:ext xmlns:c15="http://schemas.microsoft.com/office/drawing/2012/chart" uri="{CE6537A1-D6FC-4f65-9D91-7224C49458BB}"/>
                <c:ext xmlns:c16="http://schemas.microsoft.com/office/drawing/2014/chart" uri="{C3380CC4-5D6E-409C-BE32-E72D297353CC}">
                  <c16:uniqueId val="{00000043-CB54-4601-812E-5D5493BCD4A9}"/>
                </c:ext>
              </c:extLst>
            </c:dLbl>
            <c:dLbl>
              <c:idx val="67"/>
              <c:delete val="1"/>
              <c:extLst>
                <c:ext xmlns:c15="http://schemas.microsoft.com/office/drawing/2012/chart" uri="{CE6537A1-D6FC-4f65-9D91-7224C49458BB}"/>
                <c:ext xmlns:c16="http://schemas.microsoft.com/office/drawing/2014/chart" uri="{C3380CC4-5D6E-409C-BE32-E72D297353CC}">
                  <c16:uniqueId val="{00000044-CB54-4601-812E-5D5493BCD4A9}"/>
                </c:ext>
              </c:extLst>
            </c:dLbl>
            <c:dLbl>
              <c:idx val="68"/>
              <c:delete val="1"/>
              <c:extLst>
                <c:ext xmlns:c15="http://schemas.microsoft.com/office/drawing/2012/chart" uri="{CE6537A1-D6FC-4f65-9D91-7224C49458BB}"/>
                <c:ext xmlns:c16="http://schemas.microsoft.com/office/drawing/2014/chart" uri="{C3380CC4-5D6E-409C-BE32-E72D297353CC}">
                  <c16:uniqueId val="{00000045-CB54-4601-812E-5D5493BCD4A9}"/>
                </c:ext>
              </c:extLst>
            </c:dLbl>
            <c:dLbl>
              <c:idx val="69"/>
              <c:layout>
                <c:manualLayout>
                  <c:x val="-2.7301424059476741E-2"/>
                  <c:y val="-8.3594566353187051E-3"/>
                </c:manualLayout>
              </c:layout>
              <c:tx>
                <c:rich>
                  <a:bodyPr/>
                  <a:lstStyle/>
                  <a:p>
                    <a:r>
                      <a:rPr lang="en-US" sz="500">
                        <a:solidFill>
                          <a:schemeClr val="accent2"/>
                        </a:solidFill>
                      </a:rPr>
                      <a:t>I16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CB54-4601-812E-5D5493BCD4A9}"/>
                </c:ext>
              </c:extLst>
            </c:dLbl>
            <c:dLbl>
              <c:idx val="70"/>
              <c:delete val="1"/>
              <c:extLst>
                <c:ext xmlns:c15="http://schemas.microsoft.com/office/drawing/2012/chart" uri="{CE6537A1-D6FC-4f65-9D91-7224C49458BB}"/>
                <c:ext xmlns:c16="http://schemas.microsoft.com/office/drawing/2014/chart" uri="{C3380CC4-5D6E-409C-BE32-E72D297353CC}">
                  <c16:uniqueId val="{00000047-CB54-4601-812E-5D5493BCD4A9}"/>
                </c:ext>
              </c:extLst>
            </c:dLbl>
            <c:dLbl>
              <c:idx val="71"/>
              <c:delete val="1"/>
              <c:extLst>
                <c:ext xmlns:c15="http://schemas.microsoft.com/office/drawing/2012/chart" uri="{CE6537A1-D6FC-4f65-9D91-7224C49458BB}"/>
                <c:ext xmlns:c16="http://schemas.microsoft.com/office/drawing/2014/chart" uri="{C3380CC4-5D6E-409C-BE32-E72D297353CC}">
                  <c16:uniqueId val="{00000048-CB54-4601-812E-5D5493BCD4A9}"/>
                </c:ext>
              </c:extLst>
            </c:dLbl>
            <c:dLbl>
              <c:idx val="72"/>
              <c:delete val="1"/>
              <c:extLst>
                <c:ext xmlns:c15="http://schemas.microsoft.com/office/drawing/2012/chart" uri="{CE6537A1-D6FC-4f65-9D91-7224C49458BB}"/>
                <c:ext xmlns:c16="http://schemas.microsoft.com/office/drawing/2014/chart" uri="{C3380CC4-5D6E-409C-BE32-E72D297353CC}">
                  <c16:uniqueId val="{00000049-CB54-4601-812E-5D5493BCD4A9}"/>
                </c:ext>
              </c:extLst>
            </c:dLbl>
            <c:dLbl>
              <c:idx val="73"/>
              <c:delete val="1"/>
              <c:extLst>
                <c:ext xmlns:c15="http://schemas.microsoft.com/office/drawing/2012/chart" uri="{CE6537A1-D6FC-4f65-9D91-7224C49458BB}"/>
                <c:ext xmlns:c16="http://schemas.microsoft.com/office/drawing/2014/chart" uri="{C3380CC4-5D6E-409C-BE32-E72D297353CC}">
                  <c16:uniqueId val="{0000004A-CB54-4601-812E-5D5493BCD4A9}"/>
                </c:ext>
              </c:extLst>
            </c:dLbl>
            <c:dLbl>
              <c:idx val="74"/>
              <c:layout>
                <c:manualLayout>
                  <c:x val="-1.0920569623790675E-2"/>
                  <c:y val="-8.3594566353187051E-3"/>
                </c:manualLayout>
              </c:layout>
              <c:tx>
                <c:rich>
                  <a:bodyPr/>
                  <a:lstStyle/>
                  <a:p>
                    <a:r>
                      <a:rPr lang="en-US" sz="500">
                        <a:solidFill>
                          <a:schemeClr val="accent2"/>
                        </a:solidFill>
                      </a:rPr>
                      <a:t>I15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CB54-4601-812E-5D5493BCD4A9}"/>
                </c:ext>
              </c:extLst>
            </c:dLbl>
            <c:dLbl>
              <c:idx val="75"/>
              <c:delete val="1"/>
              <c:extLst>
                <c:ext xmlns:c15="http://schemas.microsoft.com/office/drawing/2012/chart" uri="{CE6537A1-D6FC-4f65-9D91-7224C49458BB}"/>
                <c:ext xmlns:c16="http://schemas.microsoft.com/office/drawing/2014/chart" uri="{C3380CC4-5D6E-409C-BE32-E72D297353CC}">
                  <c16:uniqueId val="{0000004C-CB54-4601-812E-5D5493BCD4A9}"/>
                </c:ext>
              </c:extLst>
            </c:dLbl>
            <c:dLbl>
              <c:idx val="76"/>
              <c:delete val="1"/>
              <c:extLst>
                <c:ext xmlns:c15="http://schemas.microsoft.com/office/drawing/2012/chart" uri="{CE6537A1-D6FC-4f65-9D91-7224C49458BB}"/>
                <c:ext xmlns:c16="http://schemas.microsoft.com/office/drawing/2014/chart" uri="{C3380CC4-5D6E-409C-BE32-E72D297353CC}">
                  <c16:uniqueId val="{0000004D-CB54-4601-812E-5D5493BCD4A9}"/>
                </c:ext>
              </c:extLst>
            </c:dLbl>
            <c:dLbl>
              <c:idx val="77"/>
              <c:delete val="1"/>
              <c:extLst>
                <c:ext xmlns:c15="http://schemas.microsoft.com/office/drawing/2012/chart" uri="{CE6537A1-D6FC-4f65-9D91-7224C49458BB}"/>
                <c:ext xmlns:c16="http://schemas.microsoft.com/office/drawing/2014/chart" uri="{C3380CC4-5D6E-409C-BE32-E72D297353CC}">
                  <c16:uniqueId val="{0000004E-CB54-4601-812E-5D5493BCD4A9}"/>
                </c:ext>
              </c:extLst>
            </c:dLbl>
            <c:dLbl>
              <c:idx val="78"/>
              <c:delete val="1"/>
              <c:extLst>
                <c:ext xmlns:c15="http://schemas.microsoft.com/office/drawing/2012/chart" uri="{CE6537A1-D6FC-4f65-9D91-7224C49458BB}"/>
                <c:ext xmlns:c16="http://schemas.microsoft.com/office/drawing/2014/chart" uri="{C3380CC4-5D6E-409C-BE32-E72D297353CC}">
                  <c16:uniqueId val="{0000004F-CB54-4601-812E-5D5493BCD4A9}"/>
                </c:ext>
              </c:extLst>
            </c:dLbl>
            <c:dLbl>
              <c:idx val="79"/>
              <c:delete val="1"/>
              <c:extLst>
                <c:ext xmlns:c15="http://schemas.microsoft.com/office/drawing/2012/chart" uri="{CE6537A1-D6FC-4f65-9D91-7224C49458BB}"/>
                <c:ext xmlns:c16="http://schemas.microsoft.com/office/drawing/2014/chart" uri="{C3380CC4-5D6E-409C-BE32-E72D297353CC}">
                  <c16:uniqueId val="{00000050-CB54-4601-812E-5D5493BCD4A9}"/>
                </c:ext>
              </c:extLst>
            </c:dLbl>
            <c:dLbl>
              <c:idx val="80"/>
              <c:delete val="1"/>
              <c:extLst>
                <c:ext xmlns:c15="http://schemas.microsoft.com/office/drawing/2012/chart" uri="{CE6537A1-D6FC-4f65-9D91-7224C49458BB}"/>
                <c:ext xmlns:c16="http://schemas.microsoft.com/office/drawing/2014/chart" uri="{C3380CC4-5D6E-409C-BE32-E72D297353CC}">
                  <c16:uniqueId val="{00000051-CB54-4601-812E-5D5493BCD4A9}"/>
                </c:ext>
              </c:extLst>
            </c:dLbl>
            <c:dLbl>
              <c:idx val="81"/>
              <c:delete val="1"/>
              <c:extLst>
                <c:ext xmlns:c15="http://schemas.microsoft.com/office/drawing/2012/chart" uri="{CE6537A1-D6FC-4f65-9D91-7224C49458BB}"/>
                <c:ext xmlns:c16="http://schemas.microsoft.com/office/drawing/2014/chart" uri="{C3380CC4-5D6E-409C-BE32-E72D297353CC}">
                  <c16:uniqueId val="{00000052-CB54-4601-812E-5D5493BCD4A9}"/>
                </c:ext>
              </c:extLst>
            </c:dLbl>
            <c:dLbl>
              <c:idx val="82"/>
              <c:delete val="1"/>
              <c:extLst>
                <c:ext xmlns:c15="http://schemas.microsoft.com/office/drawing/2012/chart" uri="{CE6537A1-D6FC-4f65-9D91-7224C49458BB}"/>
                <c:ext xmlns:c16="http://schemas.microsoft.com/office/drawing/2014/chart" uri="{C3380CC4-5D6E-409C-BE32-E72D297353CC}">
                  <c16:uniqueId val="{00000053-CB54-4601-812E-5D5493BCD4A9}"/>
                </c:ext>
              </c:extLst>
            </c:dLbl>
            <c:dLbl>
              <c:idx val="83"/>
              <c:layout>
                <c:manualLayout>
                  <c:x val="-2.3206210450555136E-2"/>
                  <c:y val="-8.3594566353187051E-3"/>
                </c:manualLayout>
              </c:layout>
              <c:tx>
                <c:rich>
                  <a:bodyPr/>
                  <a:lstStyle/>
                  <a:p>
                    <a:r>
                      <a:rPr lang="en-US" sz="500">
                        <a:solidFill>
                          <a:schemeClr val="accent2"/>
                        </a:solidFill>
                      </a:rPr>
                      <a:t>I14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CB54-4601-812E-5D5493BCD4A9}"/>
                </c:ext>
              </c:extLst>
            </c:dLbl>
            <c:dLbl>
              <c:idx val="84"/>
              <c:delete val="1"/>
              <c:extLst>
                <c:ext xmlns:c15="http://schemas.microsoft.com/office/drawing/2012/chart" uri="{CE6537A1-D6FC-4f65-9D91-7224C49458BB}"/>
                <c:ext xmlns:c16="http://schemas.microsoft.com/office/drawing/2014/chart" uri="{C3380CC4-5D6E-409C-BE32-E72D297353CC}">
                  <c16:uniqueId val="{00000055-CB54-4601-812E-5D5493BCD4A9}"/>
                </c:ext>
              </c:extLst>
            </c:dLbl>
            <c:dLbl>
              <c:idx val="85"/>
              <c:delete val="1"/>
              <c:extLst>
                <c:ext xmlns:c15="http://schemas.microsoft.com/office/drawing/2012/chart" uri="{CE6537A1-D6FC-4f65-9D91-7224C49458BB}"/>
                <c:ext xmlns:c16="http://schemas.microsoft.com/office/drawing/2014/chart" uri="{C3380CC4-5D6E-409C-BE32-E72D297353CC}">
                  <c16:uniqueId val="{00000056-CB54-4601-812E-5D5493BCD4A9}"/>
                </c:ext>
              </c:extLst>
            </c:dLbl>
            <c:dLbl>
              <c:idx val="86"/>
              <c:delete val="1"/>
              <c:extLst>
                <c:ext xmlns:c15="http://schemas.microsoft.com/office/drawing/2012/chart" uri="{CE6537A1-D6FC-4f65-9D91-7224C49458BB}"/>
                <c:ext xmlns:c16="http://schemas.microsoft.com/office/drawing/2014/chart" uri="{C3380CC4-5D6E-409C-BE32-E72D297353CC}">
                  <c16:uniqueId val="{00000057-CB54-4601-812E-5D5493BCD4A9}"/>
                </c:ext>
              </c:extLst>
            </c:dLbl>
            <c:dLbl>
              <c:idx val="87"/>
              <c:delete val="1"/>
              <c:extLst>
                <c:ext xmlns:c15="http://schemas.microsoft.com/office/drawing/2012/chart" uri="{CE6537A1-D6FC-4f65-9D91-7224C49458BB}"/>
                <c:ext xmlns:c16="http://schemas.microsoft.com/office/drawing/2014/chart" uri="{C3380CC4-5D6E-409C-BE32-E72D297353CC}">
                  <c16:uniqueId val="{00000058-CB54-4601-812E-5D5493BCD4A9}"/>
                </c:ext>
              </c:extLst>
            </c:dLbl>
            <c:dLbl>
              <c:idx val="88"/>
              <c:layout>
                <c:manualLayout>
                  <c:x val="-2.3206210450555285E-2"/>
                  <c:y val="-8.3594566353187051E-3"/>
                </c:manualLayout>
              </c:layout>
              <c:tx>
                <c:rich>
                  <a:bodyPr/>
                  <a:lstStyle/>
                  <a:p>
                    <a:r>
                      <a:rPr lang="en-US" sz="500">
                        <a:solidFill>
                          <a:schemeClr val="accent2"/>
                        </a:solidFill>
                      </a:rPr>
                      <a:t>I13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CB54-4601-812E-5D5493BCD4A9}"/>
                </c:ext>
              </c:extLst>
            </c:dLbl>
            <c:dLbl>
              <c:idx val="89"/>
              <c:delete val="1"/>
              <c:extLst>
                <c:ext xmlns:c15="http://schemas.microsoft.com/office/drawing/2012/chart" uri="{CE6537A1-D6FC-4f65-9D91-7224C49458BB}"/>
                <c:ext xmlns:c16="http://schemas.microsoft.com/office/drawing/2014/chart" uri="{C3380CC4-5D6E-409C-BE32-E72D297353CC}">
                  <c16:uniqueId val="{0000005A-CB54-4601-812E-5D5493BCD4A9}"/>
                </c:ext>
              </c:extLst>
            </c:dLbl>
            <c:dLbl>
              <c:idx val="90"/>
              <c:delete val="1"/>
              <c:extLst>
                <c:ext xmlns:c15="http://schemas.microsoft.com/office/drawing/2012/chart" uri="{CE6537A1-D6FC-4f65-9D91-7224C49458BB}"/>
                <c:ext xmlns:c16="http://schemas.microsoft.com/office/drawing/2014/chart" uri="{C3380CC4-5D6E-409C-BE32-E72D297353CC}">
                  <c16:uniqueId val="{0000005B-CB54-4601-812E-5D5493BCD4A9}"/>
                </c:ext>
              </c:extLst>
            </c:dLbl>
            <c:dLbl>
              <c:idx val="91"/>
              <c:delete val="1"/>
              <c:extLst>
                <c:ext xmlns:c15="http://schemas.microsoft.com/office/drawing/2012/chart" uri="{CE6537A1-D6FC-4f65-9D91-7224C49458BB}"/>
                <c:ext xmlns:c16="http://schemas.microsoft.com/office/drawing/2014/chart" uri="{C3380CC4-5D6E-409C-BE32-E72D297353CC}">
                  <c16:uniqueId val="{0000005C-CB54-4601-812E-5D5493BCD4A9}"/>
                </c:ext>
              </c:extLst>
            </c:dLbl>
            <c:dLbl>
              <c:idx val="92"/>
              <c:delete val="1"/>
              <c:extLst>
                <c:ext xmlns:c15="http://schemas.microsoft.com/office/drawing/2012/chart" uri="{CE6537A1-D6FC-4f65-9D91-7224C49458BB}"/>
                <c:ext xmlns:c16="http://schemas.microsoft.com/office/drawing/2014/chart" uri="{C3380CC4-5D6E-409C-BE32-E72D297353CC}">
                  <c16:uniqueId val="{0000005D-CB54-4601-812E-5D5493BCD4A9}"/>
                </c:ext>
              </c:extLst>
            </c:dLbl>
            <c:dLbl>
              <c:idx val="93"/>
              <c:delete val="1"/>
              <c:extLst>
                <c:ext xmlns:c15="http://schemas.microsoft.com/office/drawing/2012/chart" uri="{CE6537A1-D6FC-4f65-9D91-7224C49458BB}"/>
                <c:ext xmlns:c16="http://schemas.microsoft.com/office/drawing/2014/chart" uri="{C3380CC4-5D6E-409C-BE32-E72D297353CC}">
                  <c16:uniqueId val="{0000005E-CB54-4601-812E-5D5493BCD4A9}"/>
                </c:ext>
              </c:extLst>
            </c:dLbl>
            <c:dLbl>
              <c:idx val="94"/>
              <c:layout>
                <c:manualLayout>
                  <c:x val="-4.0952136089215038E-3"/>
                  <c:y val="-8.3594566353187051E-3"/>
                </c:manualLayout>
              </c:layout>
              <c:tx>
                <c:rich>
                  <a:bodyPr/>
                  <a:lstStyle/>
                  <a:p>
                    <a:r>
                      <a:rPr lang="en-US" sz="500">
                        <a:solidFill>
                          <a:schemeClr val="accent2"/>
                        </a:solidFill>
                      </a:rPr>
                      <a:t>I12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CB54-4601-812E-5D5493BCD4A9}"/>
                </c:ext>
              </c:extLst>
            </c:dLbl>
            <c:dLbl>
              <c:idx val="95"/>
              <c:delete val="1"/>
              <c:extLst>
                <c:ext xmlns:c15="http://schemas.microsoft.com/office/drawing/2012/chart" uri="{CE6537A1-D6FC-4f65-9D91-7224C49458BB}"/>
                <c:ext xmlns:c16="http://schemas.microsoft.com/office/drawing/2014/chart" uri="{C3380CC4-5D6E-409C-BE32-E72D297353CC}">
                  <c16:uniqueId val="{00000060-CB54-4601-812E-5D5493BCD4A9}"/>
                </c:ext>
              </c:extLst>
            </c:dLbl>
            <c:dLbl>
              <c:idx val="96"/>
              <c:delete val="1"/>
              <c:extLst>
                <c:ext xmlns:c15="http://schemas.microsoft.com/office/drawing/2012/chart" uri="{CE6537A1-D6FC-4f65-9D91-7224C49458BB}"/>
                <c:ext xmlns:c16="http://schemas.microsoft.com/office/drawing/2014/chart" uri="{C3380CC4-5D6E-409C-BE32-E72D297353CC}">
                  <c16:uniqueId val="{00000061-CB54-4601-812E-5D5493BCD4A9}"/>
                </c:ext>
              </c:extLst>
            </c:dLbl>
            <c:dLbl>
              <c:idx val="97"/>
              <c:delete val="1"/>
              <c:extLst>
                <c:ext xmlns:c15="http://schemas.microsoft.com/office/drawing/2012/chart" uri="{CE6537A1-D6FC-4f65-9D91-7224C49458BB}"/>
                <c:ext xmlns:c16="http://schemas.microsoft.com/office/drawing/2014/chart" uri="{C3380CC4-5D6E-409C-BE32-E72D297353CC}">
                  <c16:uniqueId val="{00000062-CB54-4601-812E-5D5493BCD4A9}"/>
                </c:ext>
              </c:extLst>
            </c:dLbl>
            <c:dLbl>
              <c:idx val="98"/>
              <c:delete val="1"/>
              <c:extLst>
                <c:ext xmlns:c15="http://schemas.microsoft.com/office/drawing/2012/chart" uri="{CE6537A1-D6FC-4f65-9D91-7224C49458BB}"/>
                <c:ext xmlns:c16="http://schemas.microsoft.com/office/drawing/2014/chart" uri="{C3380CC4-5D6E-409C-BE32-E72D297353CC}">
                  <c16:uniqueId val="{00000063-CB54-4601-812E-5D5493BCD4A9}"/>
                </c:ext>
              </c:extLst>
            </c:dLbl>
            <c:dLbl>
              <c:idx val="99"/>
              <c:delete val="1"/>
              <c:extLst>
                <c:ext xmlns:c15="http://schemas.microsoft.com/office/drawing/2012/chart" uri="{CE6537A1-D6FC-4f65-9D91-7224C49458BB}"/>
                <c:ext xmlns:c16="http://schemas.microsoft.com/office/drawing/2014/chart" uri="{C3380CC4-5D6E-409C-BE32-E72D297353CC}">
                  <c16:uniqueId val="{00000064-CB54-4601-812E-5D5493BCD4A9}"/>
                </c:ext>
              </c:extLst>
            </c:dLbl>
            <c:dLbl>
              <c:idx val="100"/>
              <c:delete val="1"/>
              <c:extLst>
                <c:ext xmlns:c15="http://schemas.microsoft.com/office/drawing/2012/chart" uri="{CE6537A1-D6FC-4f65-9D91-7224C49458BB}"/>
                <c:ext xmlns:c16="http://schemas.microsoft.com/office/drawing/2014/chart" uri="{C3380CC4-5D6E-409C-BE32-E72D297353CC}">
                  <c16:uniqueId val="{00000065-CB54-4601-812E-5D5493BCD4A9}"/>
                </c:ext>
              </c:extLst>
            </c:dLbl>
            <c:dLbl>
              <c:idx val="101"/>
              <c:delete val="1"/>
              <c:extLst>
                <c:ext xmlns:c15="http://schemas.microsoft.com/office/drawing/2012/chart" uri="{CE6537A1-D6FC-4f65-9D91-7224C49458BB}"/>
                <c:ext xmlns:c16="http://schemas.microsoft.com/office/drawing/2014/chart" uri="{C3380CC4-5D6E-409C-BE32-E72D297353CC}">
                  <c16:uniqueId val="{00000066-CB54-4601-812E-5D5493BCD4A9}"/>
                </c:ext>
              </c:extLst>
            </c:dLbl>
            <c:dLbl>
              <c:idx val="102"/>
              <c:layout>
                <c:manualLayout>
                  <c:x val="-1.228564082676451E-2"/>
                  <c:y val="-1.0449320794148381E-2"/>
                </c:manualLayout>
              </c:layout>
              <c:tx>
                <c:rich>
                  <a:bodyPr/>
                  <a:lstStyle/>
                  <a:p>
                    <a:r>
                      <a:rPr lang="en-US" sz="500">
                        <a:solidFill>
                          <a:schemeClr val="accent2"/>
                        </a:solidFill>
                      </a:rPr>
                      <a:t>I11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CB54-4601-812E-5D5493BCD4A9}"/>
                </c:ext>
              </c:extLst>
            </c:dLbl>
            <c:dLbl>
              <c:idx val="103"/>
              <c:delete val="1"/>
              <c:extLst>
                <c:ext xmlns:c15="http://schemas.microsoft.com/office/drawing/2012/chart" uri="{CE6537A1-D6FC-4f65-9D91-7224C49458BB}"/>
                <c:ext xmlns:c16="http://schemas.microsoft.com/office/drawing/2014/chart" uri="{C3380CC4-5D6E-409C-BE32-E72D297353CC}">
                  <c16:uniqueId val="{00000068-CB54-4601-812E-5D5493BCD4A9}"/>
                </c:ext>
              </c:extLst>
            </c:dLbl>
            <c:dLbl>
              <c:idx val="104"/>
              <c:delete val="1"/>
              <c:extLst>
                <c:ext xmlns:c15="http://schemas.microsoft.com/office/drawing/2012/chart" uri="{CE6537A1-D6FC-4f65-9D91-7224C49458BB}"/>
                <c:ext xmlns:c16="http://schemas.microsoft.com/office/drawing/2014/chart" uri="{C3380CC4-5D6E-409C-BE32-E72D297353CC}">
                  <c16:uniqueId val="{00000069-CB54-4601-812E-5D5493BCD4A9}"/>
                </c:ext>
              </c:extLst>
            </c:dLbl>
            <c:dLbl>
              <c:idx val="105"/>
              <c:delete val="1"/>
              <c:extLst>
                <c:ext xmlns:c15="http://schemas.microsoft.com/office/drawing/2012/chart" uri="{CE6537A1-D6FC-4f65-9D91-7224C49458BB}"/>
                <c:ext xmlns:c16="http://schemas.microsoft.com/office/drawing/2014/chart" uri="{C3380CC4-5D6E-409C-BE32-E72D297353CC}">
                  <c16:uniqueId val="{0000006A-CB54-4601-812E-5D5493BCD4A9}"/>
                </c:ext>
              </c:extLst>
            </c:dLbl>
            <c:dLbl>
              <c:idx val="106"/>
              <c:layout>
                <c:manualLayout>
                  <c:x val="-1.7745925638659947E-2"/>
                  <c:y val="-1.0449320794148381E-2"/>
                </c:manualLayout>
              </c:layout>
              <c:tx>
                <c:rich>
                  <a:bodyPr/>
                  <a:lstStyle/>
                  <a:p>
                    <a:r>
                      <a:rPr lang="en-US" sz="500">
                        <a:solidFill>
                          <a:schemeClr val="accent2"/>
                        </a:solidFill>
                      </a:rPr>
                      <a:t>I10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CB54-4601-812E-5D5493BCD4A9}"/>
                </c:ext>
              </c:extLst>
            </c:dLbl>
            <c:dLbl>
              <c:idx val="107"/>
              <c:delete val="1"/>
              <c:extLst>
                <c:ext xmlns:c15="http://schemas.microsoft.com/office/drawing/2012/chart" uri="{CE6537A1-D6FC-4f65-9D91-7224C49458BB}"/>
                <c:ext xmlns:c16="http://schemas.microsoft.com/office/drawing/2014/chart" uri="{C3380CC4-5D6E-409C-BE32-E72D297353CC}">
                  <c16:uniqueId val="{0000006C-CB54-4601-812E-5D5493BCD4A9}"/>
                </c:ext>
              </c:extLst>
            </c:dLbl>
            <c:dLbl>
              <c:idx val="108"/>
              <c:delete val="1"/>
              <c:extLst>
                <c:ext xmlns:c15="http://schemas.microsoft.com/office/drawing/2012/chart" uri="{CE6537A1-D6FC-4f65-9D91-7224C49458BB}"/>
                <c:ext xmlns:c16="http://schemas.microsoft.com/office/drawing/2014/chart" uri="{C3380CC4-5D6E-409C-BE32-E72D297353CC}">
                  <c16:uniqueId val="{0000006D-CB54-4601-812E-5D5493BCD4A9}"/>
                </c:ext>
              </c:extLst>
            </c:dLbl>
            <c:dLbl>
              <c:idx val="109"/>
              <c:delete val="1"/>
              <c:extLst>
                <c:ext xmlns:c15="http://schemas.microsoft.com/office/drawing/2012/chart" uri="{CE6537A1-D6FC-4f65-9D91-7224C49458BB}"/>
                <c:ext xmlns:c16="http://schemas.microsoft.com/office/drawing/2014/chart" uri="{C3380CC4-5D6E-409C-BE32-E72D297353CC}">
                  <c16:uniqueId val="{0000006E-CB54-4601-812E-5D5493BCD4A9}"/>
                </c:ext>
              </c:extLst>
            </c:dLbl>
            <c:dLbl>
              <c:idx val="110"/>
              <c:delete val="1"/>
              <c:extLst>
                <c:ext xmlns:c15="http://schemas.microsoft.com/office/drawing/2012/chart" uri="{CE6537A1-D6FC-4f65-9D91-7224C49458BB}"/>
                <c:ext xmlns:c16="http://schemas.microsoft.com/office/drawing/2014/chart" uri="{C3380CC4-5D6E-409C-BE32-E72D297353CC}">
                  <c16:uniqueId val="{0000006F-CB54-4601-812E-5D5493BCD4A9}"/>
                </c:ext>
              </c:extLst>
            </c:dLbl>
            <c:dLbl>
              <c:idx val="111"/>
              <c:delete val="1"/>
              <c:extLst>
                <c:ext xmlns:c15="http://schemas.microsoft.com/office/drawing/2012/chart" uri="{CE6537A1-D6FC-4f65-9D91-7224C49458BB}"/>
                <c:ext xmlns:c16="http://schemas.microsoft.com/office/drawing/2014/chart" uri="{C3380CC4-5D6E-409C-BE32-E72D297353CC}">
                  <c16:uniqueId val="{00000070-CB54-4601-812E-5D5493BCD4A9}"/>
                </c:ext>
              </c:extLst>
            </c:dLbl>
            <c:dLbl>
              <c:idx val="112"/>
              <c:layout>
                <c:manualLayout>
                  <c:x val="-2.4571281653529019E-2"/>
                  <c:y val="-1.0449320794148381E-2"/>
                </c:manualLayout>
              </c:layout>
              <c:tx>
                <c:rich>
                  <a:bodyPr/>
                  <a:lstStyle/>
                  <a:p>
                    <a:r>
                      <a:rPr lang="en-US" sz="500">
                        <a:solidFill>
                          <a:schemeClr val="accent2"/>
                        </a:solidFill>
                      </a:rPr>
                      <a:t>I9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1-CB54-4601-812E-5D5493BCD4A9}"/>
                </c:ext>
              </c:extLst>
            </c:dLbl>
            <c:dLbl>
              <c:idx val="113"/>
              <c:delete val="1"/>
              <c:extLst>
                <c:ext xmlns:c15="http://schemas.microsoft.com/office/drawing/2012/chart" uri="{CE6537A1-D6FC-4f65-9D91-7224C49458BB}"/>
                <c:ext xmlns:c16="http://schemas.microsoft.com/office/drawing/2014/chart" uri="{C3380CC4-5D6E-409C-BE32-E72D297353CC}">
                  <c16:uniqueId val="{00000072-CB54-4601-812E-5D5493BCD4A9}"/>
                </c:ext>
              </c:extLst>
            </c:dLbl>
            <c:dLbl>
              <c:idx val="114"/>
              <c:delete val="1"/>
              <c:extLst>
                <c:ext xmlns:c15="http://schemas.microsoft.com/office/drawing/2012/chart" uri="{CE6537A1-D6FC-4f65-9D91-7224C49458BB}"/>
                <c:ext xmlns:c16="http://schemas.microsoft.com/office/drawing/2014/chart" uri="{C3380CC4-5D6E-409C-BE32-E72D297353CC}">
                  <c16:uniqueId val="{00000073-CB54-4601-812E-5D5493BCD4A9}"/>
                </c:ext>
              </c:extLst>
            </c:dLbl>
            <c:dLbl>
              <c:idx val="115"/>
              <c:delete val="1"/>
              <c:extLst>
                <c:ext xmlns:c15="http://schemas.microsoft.com/office/drawing/2012/chart" uri="{CE6537A1-D6FC-4f65-9D91-7224C49458BB}"/>
                <c:ext xmlns:c16="http://schemas.microsoft.com/office/drawing/2014/chart" uri="{C3380CC4-5D6E-409C-BE32-E72D297353CC}">
                  <c16:uniqueId val="{00000074-CB54-4601-812E-5D5493BCD4A9}"/>
                </c:ext>
              </c:extLst>
            </c:dLbl>
            <c:dLbl>
              <c:idx val="116"/>
              <c:delete val="1"/>
              <c:extLst>
                <c:ext xmlns:c15="http://schemas.microsoft.com/office/drawing/2012/chart" uri="{CE6537A1-D6FC-4f65-9D91-7224C49458BB}"/>
                <c:ext xmlns:c16="http://schemas.microsoft.com/office/drawing/2014/chart" uri="{C3380CC4-5D6E-409C-BE32-E72D297353CC}">
                  <c16:uniqueId val="{00000075-CB54-4601-812E-5D5493BCD4A9}"/>
                </c:ext>
              </c:extLst>
            </c:dLbl>
            <c:dLbl>
              <c:idx val="117"/>
              <c:layout>
                <c:manualLayout>
                  <c:x val="-2.2524172514770464E-2"/>
                  <c:y val="-1.044932079414838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r>
                      <a:rPr lang="en-US" sz="500">
                        <a:solidFill>
                          <a:schemeClr val="accent2"/>
                        </a:solidFill>
                      </a:rPr>
                      <a:t>I8</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7467062989864817E-2"/>
                      <c:h val="1.4848567126601337E-2"/>
                    </c:manualLayout>
                  </c15:layout>
                  <c15:showDataLabelsRange val="0"/>
                </c:ext>
                <c:ext xmlns:c16="http://schemas.microsoft.com/office/drawing/2014/chart" uri="{C3380CC4-5D6E-409C-BE32-E72D297353CC}">
                  <c16:uniqueId val="{00000076-CB54-4601-812E-5D5493BCD4A9}"/>
                </c:ext>
              </c:extLst>
            </c:dLbl>
            <c:dLbl>
              <c:idx val="118"/>
              <c:delete val="1"/>
              <c:extLst>
                <c:ext xmlns:c15="http://schemas.microsoft.com/office/drawing/2012/chart" uri="{CE6537A1-D6FC-4f65-9D91-7224C49458BB}"/>
                <c:ext xmlns:c16="http://schemas.microsoft.com/office/drawing/2014/chart" uri="{C3380CC4-5D6E-409C-BE32-E72D297353CC}">
                  <c16:uniqueId val="{00000077-CB54-4601-812E-5D5493BCD4A9}"/>
                </c:ext>
              </c:extLst>
            </c:dLbl>
            <c:dLbl>
              <c:idx val="119"/>
              <c:delete val="1"/>
              <c:extLst>
                <c:ext xmlns:c15="http://schemas.microsoft.com/office/drawing/2012/chart" uri="{CE6537A1-D6FC-4f65-9D91-7224C49458BB}"/>
                <c:ext xmlns:c16="http://schemas.microsoft.com/office/drawing/2014/chart" uri="{C3380CC4-5D6E-409C-BE32-E72D297353CC}">
                  <c16:uniqueId val="{00000078-CB54-4601-812E-5D5493BCD4A9}"/>
                </c:ext>
              </c:extLst>
            </c:dLbl>
            <c:dLbl>
              <c:idx val="120"/>
              <c:delete val="1"/>
              <c:extLst>
                <c:ext xmlns:c15="http://schemas.microsoft.com/office/drawing/2012/chart" uri="{CE6537A1-D6FC-4f65-9D91-7224C49458BB}"/>
                <c:ext xmlns:c16="http://schemas.microsoft.com/office/drawing/2014/chart" uri="{C3380CC4-5D6E-409C-BE32-E72D297353CC}">
                  <c16:uniqueId val="{00000079-CB54-4601-812E-5D5493BCD4A9}"/>
                </c:ext>
              </c:extLst>
            </c:dLbl>
            <c:dLbl>
              <c:idx val="121"/>
              <c:delete val="1"/>
              <c:extLst>
                <c:ext xmlns:c15="http://schemas.microsoft.com/office/drawing/2012/chart" uri="{CE6537A1-D6FC-4f65-9D91-7224C49458BB}"/>
                <c:ext xmlns:c16="http://schemas.microsoft.com/office/drawing/2014/chart" uri="{C3380CC4-5D6E-409C-BE32-E72D297353CC}">
                  <c16:uniqueId val="{0000007A-CB54-4601-812E-5D5493BCD4A9}"/>
                </c:ext>
              </c:extLst>
            </c:dLbl>
            <c:dLbl>
              <c:idx val="122"/>
              <c:delete val="1"/>
              <c:extLst>
                <c:ext xmlns:c15="http://schemas.microsoft.com/office/drawing/2012/chart" uri="{CE6537A1-D6FC-4f65-9D91-7224C49458BB}"/>
                <c:ext xmlns:c16="http://schemas.microsoft.com/office/drawing/2014/chart" uri="{C3380CC4-5D6E-409C-BE32-E72D297353CC}">
                  <c16:uniqueId val="{0000007B-CB54-4601-812E-5D5493BCD4A9}"/>
                </c:ext>
              </c:extLst>
            </c:dLbl>
            <c:dLbl>
              <c:idx val="123"/>
              <c:delete val="1"/>
              <c:extLst>
                <c:ext xmlns:c15="http://schemas.microsoft.com/office/drawing/2012/chart" uri="{CE6537A1-D6FC-4f65-9D91-7224C49458BB}"/>
                <c:ext xmlns:c16="http://schemas.microsoft.com/office/drawing/2014/chart" uri="{C3380CC4-5D6E-409C-BE32-E72D297353CC}">
                  <c16:uniqueId val="{0000007C-CB54-4601-812E-5D5493BCD4A9}"/>
                </c:ext>
              </c:extLst>
            </c:dLbl>
            <c:dLbl>
              <c:idx val="124"/>
              <c:delete val="1"/>
              <c:extLst>
                <c:ext xmlns:c15="http://schemas.microsoft.com/office/drawing/2012/chart" uri="{CE6537A1-D6FC-4f65-9D91-7224C49458BB}"/>
                <c:ext xmlns:c16="http://schemas.microsoft.com/office/drawing/2014/chart" uri="{C3380CC4-5D6E-409C-BE32-E72D297353CC}">
                  <c16:uniqueId val="{0000007D-CB54-4601-812E-5D5493BCD4A9}"/>
                </c:ext>
              </c:extLst>
            </c:dLbl>
            <c:dLbl>
              <c:idx val="125"/>
              <c:layout>
                <c:manualLayout>
                  <c:x val="-2.6273485045138698E-2"/>
                  <c:y val="-9.4043119799633243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r>
                      <a:rPr lang="en-US" sz="500">
                        <a:solidFill>
                          <a:schemeClr val="accent2"/>
                        </a:solidFill>
                      </a:rPr>
                      <a:t>I7</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1.6101642343005922E-2"/>
                      <c:h val="1.6938431285431016E-2"/>
                    </c:manualLayout>
                  </c15:layout>
                  <c15:showDataLabelsRange val="0"/>
                </c:ext>
                <c:ext xmlns:c16="http://schemas.microsoft.com/office/drawing/2014/chart" uri="{C3380CC4-5D6E-409C-BE32-E72D297353CC}">
                  <c16:uniqueId val="{0000007E-CB54-4601-812E-5D5493BCD4A9}"/>
                </c:ext>
              </c:extLst>
            </c:dLbl>
            <c:dLbl>
              <c:idx val="126"/>
              <c:delete val="1"/>
              <c:extLst>
                <c:ext xmlns:c15="http://schemas.microsoft.com/office/drawing/2012/chart" uri="{CE6537A1-D6FC-4f65-9D91-7224C49458BB}"/>
                <c:ext xmlns:c16="http://schemas.microsoft.com/office/drawing/2014/chart" uri="{C3380CC4-5D6E-409C-BE32-E72D297353CC}">
                  <c16:uniqueId val="{0000007F-CB54-4601-812E-5D5493BCD4A9}"/>
                </c:ext>
              </c:extLst>
            </c:dLbl>
            <c:dLbl>
              <c:idx val="127"/>
              <c:delete val="1"/>
              <c:extLst>
                <c:ext xmlns:c15="http://schemas.microsoft.com/office/drawing/2012/chart" uri="{CE6537A1-D6FC-4f65-9D91-7224C49458BB}"/>
                <c:ext xmlns:c16="http://schemas.microsoft.com/office/drawing/2014/chart" uri="{C3380CC4-5D6E-409C-BE32-E72D297353CC}">
                  <c16:uniqueId val="{00000080-CB54-4601-812E-5D5493BCD4A9}"/>
                </c:ext>
              </c:extLst>
            </c:dLbl>
            <c:dLbl>
              <c:idx val="128"/>
              <c:delete val="1"/>
              <c:extLst>
                <c:ext xmlns:c15="http://schemas.microsoft.com/office/drawing/2012/chart" uri="{CE6537A1-D6FC-4f65-9D91-7224C49458BB}"/>
                <c:ext xmlns:c16="http://schemas.microsoft.com/office/drawing/2014/chart" uri="{C3380CC4-5D6E-409C-BE32-E72D297353CC}">
                  <c16:uniqueId val="{00000081-CB54-4601-812E-5D5493BCD4A9}"/>
                </c:ext>
              </c:extLst>
            </c:dLbl>
            <c:dLbl>
              <c:idx val="129"/>
              <c:delete val="1"/>
              <c:extLst>
                <c:ext xmlns:c15="http://schemas.microsoft.com/office/drawing/2012/chart" uri="{CE6537A1-D6FC-4f65-9D91-7224C49458BB}"/>
                <c:ext xmlns:c16="http://schemas.microsoft.com/office/drawing/2014/chart" uri="{C3380CC4-5D6E-409C-BE32-E72D297353CC}">
                  <c16:uniqueId val="{00000082-CB54-4601-812E-5D5493BCD4A9}"/>
                </c:ext>
              </c:extLst>
            </c:dLbl>
            <c:dLbl>
              <c:idx val="130"/>
              <c:delete val="1"/>
              <c:extLst>
                <c:ext xmlns:c15="http://schemas.microsoft.com/office/drawing/2012/chart" uri="{CE6537A1-D6FC-4f65-9D91-7224C49458BB}">
                  <c15:layout>
                    <c:manualLayout>
                      <c:w val="1.3370818690167961E-2"/>
                      <c:h val="1.9028295444260688E-2"/>
                    </c:manualLayout>
                  </c15:layout>
                </c:ext>
                <c:ext xmlns:c16="http://schemas.microsoft.com/office/drawing/2014/chart" uri="{C3380CC4-5D6E-409C-BE32-E72D297353CC}">
                  <c16:uniqueId val="{00000083-CB54-4601-812E-5D5493BCD4A9}"/>
                </c:ext>
              </c:extLst>
            </c:dLbl>
            <c:dLbl>
              <c:idx val="131"/>
              <c:delete val="1"/>
              <c:extLst>
                <c:ext xmlns:c15="http://schemas.microsoft.com/office/drawing/2012/chart" uri="{CE6537A1-D6FC-4f65-9D91-7224C49458BB}"/>
                <c:ext xmlns:c16="http://schemas.microsoft.com/office/drawing/2014/chart" uri="{C3380CC4-5D6E-409C-BE32-E72D297353CC}">
                  <c16:uniqueId val="{00000084-CB54-4601-812E-5D5493BCD4A9}"/>
                </c:ext>
              </c:extLst>
            </c:dLbl>
            <c:dLbl>
              <c:idx val="132"/>
              <c:delete val="1"/>
              <c:extLst>
                <c:ext xmlns:c15="http://schemas.microsoft.com/office/drawing/2012/chart" uri="{CE6537A1-D6FC-4f65-9D91-7224C49458BB}"/>
                <c:ext xmlns:c16="http://schemas.microsoft.com/office/drawing/2014/chart" uri="{C3380CC4-5D6E-409C-BE32-E72D297353CC}">
                  <c16:uniqueId val="{00000085-CB54-4601-812E-5D5493BCD4A9}"/>
                </c:ext>
              </c:extLst>
            </c:dLbl>
            <c:dLbl>
              <c:idx val="133"/>
              <c:layout>
                <c:manualLayout>
                  <c:x val="-2.184113924758135E-2"/>
                  <c:y val="-8.3594566353187814E-3"/>
                </c:manualLayout>
              </c:layout>
              <c:tx>
                <c:rich>
                  <a:bodyPr/>
                  <a:lstStyle/>
                  <a:p>
                    <a:r>
                      <a:rPr lang="en-US" sz="500">
                        <a:solidFill>
                          <a:schemeClr val="accent2"/>
                        </a:solidFill>
                      </a:rPr>
                      <a:t>I6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6-CB54-4601-812E-5D5493BCD4A9}"/>
                </c:ext>
              </c:extLst>
            </c:dLbl>
            <c:dLbl>
              <c:idx val="134"/>
              <c:delete val="1"/>
              <c:extLst>
                <c:ext xmlns:c15="http://schemas.microsoft.com/office/drawing/2012/chart" uri="{CE6537A1-D6FC-4f65-9D91-7224C49458BB}"/>
                <c:ext xmlns:c16="http://schemas.microsoft.com/office/drawing/2014/chart" uri="{C3380CC4-5D6E-409C-BE32-E72D297353CC}">
                  <c16:uniqueId val="{00000087-CB54-4601-812E-5D5493BCD4A9}"/>
                </c:ext>
              </c:extLst>
            </c:dLbl>
            <c:dLbl>
              <c:idx val="135"/>
              <c:delete val="1"/>
              <c:extLst>
                <c:ext xmlns:c15="http://schemas.microsoft.com/office/drawing/2012/chart" uri="{CE6537A1-D6FC-4f65-9D91-7224C49458BB}"/>
                <c:ext xmlns:c16="http://schemas.microsoft.com/office/drawing/2014/chart" uri="{C3380CC4-5D6E-409C-BE32-E72D297353CC}">
                  <c16:uniqueId val="{00000088-CB54-4601-812E-5D5493BCD4A9}"/>
                </c:ext>
              </c:extLst>
            </c:dLbl>
            <c:dLbl>
              <c:idx val="136"/>
              <c:delete val="1"/>
              <c:extLst>
                <c:ext xmlns:c15="http://schemas.microsoft.com/office/drawing/2012/chart" uri="{CE6537A1-D6FC-4f65-9D91-7224C49458BB}"/>
                <c:ext xmlns:c16="http://schemas.microsoft.com/office/drawing/2014/chart" uri="{C3380CC4-5D6E-409C-BE32-E72D297353CC}">
                  <c16:uniqueId val="{00000089-CB54-4601-812E-5D5493BCD4A9}"/>
                </c:ext>
              </c:extLst>
            </c:dLbl>
            <c:dLbl>
              <c:idx val="137"/>
              <c:delete val="1"/>
              <c:extLst>
                <c:ext xmlns:c15="http://schemas.microsoft.com/office/drawing/2012/chart" uri="{CE6537A1-D6FC-4f65-9D91-7224C49458BB}"/>
                <c:ext xmlns:c16="http://schemas.microsoft.com/office/drawing/2014/chart" uri="{C3380CC4-5D6E-409C-BE32-E72D297353CC}">
                  <c16:uniqueId val="{0000008A-CB54-4601-812E-5D5493BCD4A9}"/>
                </c:ext>
              </c:extLst>
            </c:dLbl>
            <c:dLbl>
              <c:idx val="138"/>
              <c:delete val="1"/>
              <c:extLst>
                <c:ext xmlns:c15="http://schemas.microsoft.com/office/drawing/2012/chart" uri="{CE6537A1-D6FC-4f65-9D91-7224C49458BB}"/>
                <c:ext xmlns:c16="http://schemas.microsoft.com/office/drawing/2014/chart" uri="{C3380CC4-5D6E-409C-BE32-E72D297353CC}">
                  <c16:uniqueId val="{0000008B-CB54-4601-812E-5D5493BCD4A9}"/>
                </c:ext>
              </c:extLst>
            </c:dLbl>
            <c:dLbl>
              <c:idx val="139"/>
              <c:delete val="1"/>
              <c:extLst>
                <c:ext xmlns:c15="http://schemas.microsoft.com/office/drawing/2012/chart" uri="{CE6537A1-D6FC-4f65-9D91-7224C49458BB}"/>
                <c:ext xmlns:c16="http://schemas.microsoft.com/office/drawing/2014/chart" uri="{C3380CC4-5D6E-409C-BE32-E72D297353CC}">
                  <c16:uniqueId val="{0000008C-CB54-4601-812E-5D5493BCD4A9}"/>
                </c:ext>
              </c:extLst>
            </c:dLbl>
            <c:dLbl>
              <c:idx val="140"/>
              <c:delete val="1"/>
              <c:extLst>
                <c:ext xmlns:c15="http://schemas.microsoft.com/office/drawing/2012/chart" uri="{CE6537A1-D6FC-4f65-9D91-7224C49458BB}"/>
                <c:ext xmlns:c16="http://schemas.microsoft.com/office/drawing/2014/chart" uri="{C3380CC4-5D6E-409C-BE32-E72D297353CC}">
                  <c16:uniqueId val="{0000008D-CB54-4601-812E-5D5493BCD4A9}"/>
                </c:ext>
              </c:extLst>
            </c:dLbl>
            <c:dLbl>
              <c:idx val="141"/>
              <c:delete val="1"/>
              <c:extLst>
                <c:ext xmlns:c15="http://schemas.microsoft.com/office/drawing/2012/chart" uri="{CE6537A1-D6FC-4f65-9D91-7224C49458BB}"/>
                <c:ext xmlns:c16="http://schemas.microsoft.com/office/drawing/2014/chart" uri="{C3380CC4-5D6E-409C-BE32-E72D297353CC}">
                  <c16:uniqueId val="{0000008E-CB54-4601-812E-5D5493BCD4A9}"/>
                </c:ext>
              </c:extLst>
            </c:dLbl>
            <c:dLbl>
              <c:idx val="142"/>
              <c:delete val="1"/>
              <c:extLst>
                <c:ext xmlns:c15="http://schemas.microsoft.com/office/drawing/2012/chart" uri="{CE6537A1-D6FC-4f65-9D91-7224C49458BB}"/>
                <c:ext xmlns:c16="http://schemas.microsoft.com/office/drawing/2014/chart" uri="{C3380CC4-5D6E-409C-BE32-E72D297353CC}">
                  <c16:uniqueId val="{0000008F-CB54-4601-812E-5D5493BCD4A9}"/>
                </c:ext>
              </c:extLst>
            </c:dLbl>
            <c:dLbl>
              <c:idx val="143"/>
              <c:delete val="1"/>
              <c:extLst>
                <c:ext xmlns:c15="http://schemas.microsoft.com/office/drawing/2012/chart" uri="{CE6537A1-D6FC-4f65-9D91-7224C49458BB}"/>
                <c:ext xmlns:c16="http://schemas.microsoft.com/office/drawing/2014/chart" uri="{C3380CC4-5D6E-409C-BE32-E72D297353CC}">
                  <c16:uniqueId val="{00000090-CB54-4601-812E-5D5493BCD4A9}"/>
                </c:ext>
              </c:extLst>
            </c:dLbl>
            <c:dLbl>
              <c:idx val="144"/>
              <c:layout>
                <c:manualLayout>
                  <c:x val="-1.3650712029738445E-2"/>
                  <c:y val="-1.0449320794148381E-2"/>
                </c:manualLayout>
              </c:layout>
              <c:tx>
                <c:rich>
                  <a:bodyPr/>
                  <a:lstStyle/>
                  <a:p>
                    <a:r>
                      <a:rPr lang="en-US" sz="500">
                        <a:solidFill>
                          <a:schemeClr val="accent2"/>
                        </a:solidFill>
                      </a:rPr>
                      <a:t>I5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1-CB54-4601-812E-5D5493BCD4A9}"/>
                </c:ext>
              </c:extLst>
            </c:dLbl>
            <c:dLbl>
              <c:idx val="145"/>
              <c:delete val="1"/>
              <c:extLst>
                <c:ext xmlns:c15="http://schemas.microsoft.com/office/drawing/2012/chart" uri="{CE6537A1-D6FC-4f65-9D91-7224C49458BB}"/>
                <c:ext xmlns:c16="http://schemas.microsoft.com/office/drawing/2014/chart" uri="{C3380CC4-5D6E-409C-BE32-E72D297353CC}">
                  <c16:uniqueId val="{00000092-CB54-4601-812E-5D5493BCD4A9}"/>
                </c:ext>
              </c:extLst>
            </c:dLbl>
            <c:dLbl>
              <c:idx val="146"/>
              <c:delete val="1"/>
              <c:extLst>
                <c:ext xmlns:c15="http://schemas.microsoft.com/office/drawing/2012/chart" uri="{CE6537A1-D6FC-4f65-9D91-7224C49458BB}"/>
                <c:ext xmlns:c16="http://schemas.microsoft.com/office/drawing/2014/chart" uri="{C3380CC4-5D6E-409C-BE32-E72D297353CC}">
                  <c16:uniqueId val="{00000093-CB54-4601-812E-5D5493BCD4A9}"/>
                </c:ext>
              </c:extLst>
            </c:dLbl>
            <c:dLbl>
              <c:idx val="147"/>
              <c:delete val="1"/>
              <c:extLst>
                <c:ext xmlns:c15="http://schemas.microsoft.com/office/drawing/2012/chart" uri="{CE6537A1-D6FC-4f65-9D91-7224C49458BB}"/>
                <c:ext xmlns:c16="http://schemas.microsoft.com/office/drawing/2014/chart" uri="{C3380CC4-5D6E-409C-BE32-E72D297353CC}">
                  <c16:uniqueId val="{00000094-CB54-4601-812E-5D5493BCD4A9}"/>
                </c:ext>
              </c:extLst>
            </c:dLbl>
            <c:dLbl>
              <c:idx val="148"/>
              <c:delete val="1"/>
              <c:extLst>
                <c:ext xmlns:c15="http://schemas.microsoft.com/office/drawing/2012/chart" uri="{CE6537A1-D6FC-4f65-9D91-7224C49458BB}"/>
                <c:ext xmlns:c16="http://schemas.microsoft.com/office/drawing/2014/chart" uri="{C3380CC4-5D6E-409C-BE32-E72D297353CC}">
                  <c16:uniqueId val="{00000095-CB54-4601-812E-5D5493BCD4A9}"/>
                </c:ext>
              </c:extLst>
            </c:dLbl>
            <c:dLbl>
              <c:idx val="149"/>
              <c:delete val="1"/>
              <c:extLst>
                <c:ext xmlns:c15="http://schemas.microsoft.com/office/drawing/2012/chart" uri="{CE6537A1-D6FC-4f65-9D91-7224C49458BB}"/>
                <c:ext xmlns:c16="http://schemas.microsoft.com/office/drawing/2014/chart" uri="{C3380CC4-5D6E-409C-BE32-E72D297353CC}">
                  <c16:uniqueId val="{00000096-CB54-4601-812E-5D5493BCD4A9}"/>
                </c:ext>
              </c:extLst>
            </c:dLbl>
            <c:dLbl>
              <c:idx val="150"/>
              <c:delete val="1"/>
              <c:extLst>
                <c:ext xmlns:c15="http://schemas.microsoft.com/office/drawing/2012/chart" uri="{CE6537A1-D6FC-4f65-9D91-7224C49458BB}"/>
                <c:ext xmlns:c16="http://schemas.microsoft.com/office/drawing/2014/chart" uri="{C3380CC4-5D6E-409C-BE32-E72D297353CC}">
                  <c16:uniqueId val="{00000097-CB54-4601-812E-5D5493BCD4A9}"/>
                </c:ext>
              </c:extLst>
            </c:dLbl>
            <c:dLbl>
              <c:idx val="151"/>
              <c:delete val="1"/>
              <c:extLst>
                <c:ext xmlns:c15="http://schemas.microsoft.com/office/drawing/2012/chart" uri="{CE6537A1-D6FC-4f65-9D91-7224C49458BB}"/>
                <c:ext xmlns:c16="http://schemas.microsoft.com/office/drawing/2014/chart" uri="{C3380CC4-5D6E-409C-BE32-E72D297353CC}">
                  <c16:uniqueId val="{00000098-CB54-4601-812E-5D5493BCD4A9}"/>
                </c:ext>
              </c:extLst>
            </c:dLbl>
            <c:dLbl>
              <c:idx val="152"/>
              <c:delete val="1"/>
              <c:extLst>
                <c:ext xmlns:c15="http://schemas.microsoft.com/office/drawing/2012/chart" uri="{CE6537A1-D6FC-4f65-9D91-7224C49458BB}"/>
                <c:ext xmlns:c16="http://schemas.microsoft.com/office/drawing/2014/chart" uri="{C3380CC4-5D6E-409C-BE32-E72D297353CC}">
                  <c16:uniqueId val="{00000099-CB54-4601-812E-5D5493BCD4A9}"/>
                </c:ext>
              </c:extLst>
            </c:dLbl>
            <c:dLbl>
              <c:idx val="153"/>
              <c:layout>
                <c:manualLayout>
                  <c:x val="-2.3206210450555185E-2"/>
                  <c:y val="-8.3594566353187051E-3"/>
                </c:manualLayout>
              </c:layout>
              <c:tx>
                <c:rich>
                  <a:bodyPr/>
                  <a:lstStyle/>
                  <a:p>
                    <a:r>
                      <a:rPr lang="en-US" sz="500">
                        <a:solidFill>
                          <a:schemeClr val="accent2"/>
                        </a:solidFill>
                      </a:rPr>
                      <a:t>I4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A-CB54-4601-812E-5D5493BCD4A9}"/>
                </c:ext>
              </c:extLst>
            </c:dLbl>
            <c:dLbl>
              <c:idx val="154"/>
              <c:delete val="1"/>
              <c:extLst>
                <c:ext xmlns:c15="http://schemas.microsoft.com/office/drawing/2012/chart" uri="{CE6537A1-D6FC-4f65-9D91-7224C49458BB}"/>
                <c:ext xmlns:c16="http://schemas.microsoft.com/office/drawing/2014/chart" uri="{C3380CC4-5D6E-409C-BE32-E72D297353CC}">
                  <c16:uniqueId val="{0000009B-CB54-4601-812E-5D5493BCD4A9}"/>
                </c:ext>
              </c:extLst>
            </c:dLbl>
            <c:dLbl>
              <c:idx val="155"/>
              <c:delete val="1"/>
              <c:extLst>
                <c:ext xmlns:c15="http://schemas.microsoft.com/office/drawing/2012/chart" uri="{CE6537A1-D6FC-4f65-9D91-7224C49458BB}"/>
                <c:ext xmlns:c16="http://schemas.microsoft.com/office/drawing/2014/chart" uri="{C3380CC4-5D6E-409C-BE32-E72D297353CC}">
                  <c16:uniqueId val="{0000009C-CB54-4601-812E-5D5493BCD4A9}"/>
                </c:ext>
              </c:extLst>
            </c:dLbl>
            <c:dLbl>
              <c:idx val="156"/>
              <c:delete val="1"/>
              <c:extLst>
                <c:ext xmlns:c15="http://schemas.microsoft.com/office/drawing/2012/chart" uri="{CE6537A1-D6FC-4f65-9D91-7224C49458BB}"/>
                <c:ext xmlns:c16="http://schemas.microsoft.com/office/drawing/2014/chart" uri="{C3380CC4-5D6E-409C-BE32-E72D297353CC}">
                  <c16:uniqueId val="{0000009D-CB54-4601-812E-5D5493BCD4A9}"/>
                </c:ext>
              </c:extLst>
            </c:dLbl>
            <c:dLbl>
              <c:idx val="157"/>
              <c:delete val="1"/>
              <c:extLst>
                <c:ext xmlns:c15="http://schemas.microsoft.com/office/drawing/2012/chart" uri="{CE6537A1-D6FC-4f65-9D91-7224C49458BB}"/>
                <c:ext xmlns:c16="http://schemas.microsoft.com/office/drawing/2014/chart" uri="{C3380CC4-5D6E-409C-BE32-E72D297353CC}">
                  <c16:uniqueId val="{0000009E-CB54-4601-812E-5D5493BCD4A9}"/>
                </c:ext>
              </c:extLst>
            </c:dLbl>
            <c:dLbl>
              <c:idx val="158"/>
              <c:delete val="1"/>
              <c:extLst>
                <c:ext xmlns:c15="http://schemas.microsoft.com/office/drawing/2012/chart" uri="{CE6537A1-D6FC-4f65-9D91-7224C49458BB}"/>
                <c:ext xmlns:c16="http://schemas.microsoft.com/office/drawing/2014/chart" uri="{C3380CC4-5D6E-409C-BE32-E72D297353CC}">
                  <c16:uniqueId val="{0000009F-CB54-4601-812E-5D5493BCD4A9}"/>
                </c:ext>
              </c:extLst>
            </c:dLbl>
            <c:dLbl>
              <c:idx val="159"/>
              <c:layout>
                <c:manualLayout>
                  <c:x val="-2.4671454529722355E-2"/>
                  <c:y val="-8.3595297160522462E-3"/>
                </c:manualLayout>
              </c:layout>
              <c:tx>
                <c:rich>
                  <a:bodyPr/>
                  <a:lstStyle/>
                  <a:p>
                    <a:r>
                      <a:rPr lang="en-US" sz="500">
                        <a:solidFill>
                          <a:schemeClr val="accent2"/>
                        </a:solidFill>
                      </a:rPr>
                      <a:t>I3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CB54-4601-812E-5D5493BCD4A9}"/>
                </c:ext>
              </c:extLst>
            </c:dLbl>
            <c:dLbl>
              <c:idx val="160"/>
              <c:delete val="1"/>
              <c:extLst>
                <c:ext xmlns:c15="http://schemas.microsoft.com/office/drawing/2012/chart" uri="{CE6537A1-D6FC-4f65-9D91-7224C49458BB}"/>
                <c:ext xmlns:c16="http://schemas.microsoft.com/office/drawing/2014/chart" uri="{C3380CC4-5D6E-409C-BE32-E72D297353CC}">
                  <c16:uniqueId val="{000000A1-CB54-4601-812E-5D5493BCD4A9}"/>
                </c:ext>
              </c:extLst>
            </c:dLbl>
            <c:dLbl>
              <c:idx val="161"/>
              <c:delete val="1"/>
              <c:extLst>
                <c:ext xmlns:c15="http://schemas.microsoft.com/office/drawing/2012/chart" uri="{CE6537A1-D6FC-4f65-9D91-7224C49458BB}"/>
                <c:ext xmlns:c16="http://schemas.microsoft.com/office/drawing/2014/chart" uri="{C3380CC4-5D6E-409C-BE32-E72D297353CC}">
                  <c16:uniqueId val="{000000A2-CB54-4601-812E-5D5493BCD4A9}"/>
                </c:ext>
              </c:extLst>
            </c:dLbl>
            <c:dLbl>
              <c:idx val="162"/>
              <c:delete val="1"/>
              <c:extLst>
                <c:ext xmlns:c15="http://schemas.microsoft.com/office/drawing/2012/chart" uri="{CE6537A1-D6FC-4f65-9D91-7224C49458BB}"/>
                <c:ext xmlns:c16="http://schemas.microsoft.com/office/drawing/2014/chart" uri="{C3380CC4-5D6E-409C-BE32-E72D297353CC}">
                  <c16:uniqueId val="{000000A3-CB54-4601-812E-5D5493BCD4A9}"/>
                </c:ext>
              </c:extLst>
            </c:dLbl>
            <c:dLbl>
              <c:idx val="163"/>
              <c:delete val="1"/>
              <c:extLst>
                <c:ext xmlns:c15="http://schemas.microsoft.com/office/drawing/2012/chart" uri="{CE6537A1-D6FC-4f65-9D91-7224C49458BB}"/>
                <c:ext xmlns:c16="http://schemas.microsoft.com/office/drawing/2014/chart" uri="{C3380CC4-5D6E-409C-BE32-E72D297353CC}">
                  <c16:uniqueId val="{000000A4-CB54-4601-812E-5D5493BCD4A9}"/>
                </c:ext>
              </c:extLst>
            </c:dLbl>
            <c:dLbl>
              <c:idx val="164"/>
              <c:delete val="1"/>
              <c:extLst>
                <c:ext xmlns:c15="http://schemas.microsoft.com/office/drawing/2012/chart" uri="{CE6537A1-D6FC-4f65-9D91-7224C49458BB}"/>
                <c:ext xmlns:c16="http://schemas.microsoft.com/office/drawing/2014/chart" uri="{C3380CC4-5D6E-409C-BE32-E72D297353CC}">
                  <c16:uniqueId val="{000000A5-CB54-4601-812E-5D5493BCD4A9}"/>
                </c:ext>
              </c:extLst>
            </c:dLbl>
            <c:dLbl>
              <c:idx val="165"/>
              <c:delete val="1"/>
              <c:extLst>
                <c:ext xmlns:c15="http://schemas.microsoft.com/office/drawing/2012/chart" uri="{CE6537A1-D6FC-4f65-9D91-7224C49458BB}"/>
                <c:ext xmlns:c16="http://schemas.microsoft.com/office/drawing/2014/chart" uri="{C3380CC4-5D6E-409C-BE32-E72D297353CC}">
                  <c16:uniqueId val="{000000A6-CB54-4601-812E-5D5493BCD4A9}"/>
                </c:ext>
              </c:extLst>
            </c:dLbl>
            <c:dLbl>
              <c:idx val="166"/>
              <c:delete val="1"/>
              <c:extLst>
                <c:ext xmlns:c15="http://schemas.microsoft.com/office/drawing/2012/chart" uri="{CE6537A1-D6FC-4f65-9D91-7224C49458BB}"/>
                <c:ext xmlns:c16="http://schemas.microsoft.com/office/drawing/2014/chart" uri="{C3380CC4-5D6E-409C-BE32-E72D297353CC}">
                  <c16:uniqueId val="{000000A7-CB54-4601-812E-5D5493BCD4A9}"/>
                </c:ext>
              </c:extLst>
            </c:dLbl>
            <c:dLbl>
              <c:idx val="167"/>
              <c:layout>
                <c:manualLayout>
                  <c:x val="-8.1904272178430076E-3"/>
                  <c:y val="-1.0449320794148381E-2"/>
                </c:manualLayout>
              </c:layout>
              <c:tx>
                <c:rich>
                  <a:bodyPr/>
                  <a:lstStyle/>
                  <a:p>
                    <a:r>
                      <a:rPr lang="en-US" sz="500">
                        <a:solidFill>
                          <a:schemeClr val="accent2"/>
                        </a:solidFill>
                      </a:rPr>
                      <a:t>I2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8-CB54-4601-812E-5D5493BCD4A9}"/>
                </c:ext>
              </c:extLst>
            </c:dLbl>
            <c:dLbl>
              <c:idx val="168"/>
              <c:delete val="1"/>
              <c:extLst>
                <c:ext xmlns:c15="http://schemas.microsoft.com/office/drawing/2012/chart" uri="{CE6537A1-D6FC-4f65-9D91-7224C49458BB}"/>
                <c:ext xmlns:c16="http://schemas.microsoft.com/office/drawing/2014/chart" uri="{C3380CC4-5D6E-409C-BE32-E72D297353CC}">
                  <c16:uniqueId val="{000000A9-CB54-4601-812E-5D5493BCD4A9}"/>
                </c:ext>
              </c:extLst>
            </c:dLbl>
            <c:dLbl>
              <c:idx val="169"/>
              <c:delete val="1"/>
              <c:extLst>
                <c:ext xmlns:c15="http://schemas.microsoft.com/office/drawing/2012/chart" uri="{CE6537A1-D6FC-4f65-9D91-7224C49458BB}"/>
                <c:ext xmlns:c16="http://schemas.microsoft.com/office/drawing/2014/chart" uri="{C3380CC4-5D6E-409C-BE32-E72D297353CC}">
                  <c16:uniqueId val="{000000AA-CB54-4601-812E-5D5493BCD4A9}"/>
                </c:ext>
              </c:extLst>
            </c:dLbl>
            <c:dLbl>
              <c:idx val="170"/>
              <c:layout>
                <c:manualLayout>
                  <c:x val="-4.0952136089215038E-3"/>
                  <c:y val="-1.0449320794148381E-2"/>
                </c:manualLayout>
              </c:layout>
              <c:tx>
                <c:rich>
                  <a:bodyPr/>
                  <a:lstStyle/>
                  <a:p>
                    <a:r>
                      <a:rPr lang="en-US" sz="500">
                        <a:solidFill>
                          <a:schemeClr val="accent2"/>
                        </a:solidFill>
                      </a:rPr>
                      <a:t>I1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B-CB54-4601-812E-5D5493BCD4A9}"/>
                </c:ext>
              </c:extLst>
            </c:dLbl>
            <c:dLbl>
              <c:idx val="171"/>
              <c:delete val="1"/>
              <c:extLst>
                <c:ext xmlns:c15="http://schemas.microsoft.com/office/drawing/2012/chart" uri="{CE6537A1-D6FC-4f65-9D91-7224C49458BB}"/>
                <c:ext xmlns:c16="http://schemas.microsoft.com/office/drawing/2014/chart" uri="{C3380CC4-5D6E-409C-BE32-E72D297353CC}">
                  <c16:uniqueId val="{000000AC-CB54-4601-812E-5D5493BCD4A9}"/>
                </c:ext>
              </c:extLst>
            </c:dLbl>
            <c:dLbl>
              <c:idx val="172"/>
              <c:delete val="1"/>
              <c:extLst>
                <c:ext xmlns:c15="http://schemas.microsoft.com/office/drawing/2012/chart" uri="{CE6537A1-D6FC-4f65-9D91-7224C49458BB}"/>
                <c:ext xmlns:c16="http://schemas.microsoft.com/office/drawing/2014/chart" uri="{C3380CC4-5D6E-409C-BE32-E72D297353CC}">
                  <c16:uniqueId val="{000000AD-CB54-4601-812E-5D5493BCD4A9}"/>
                </c:ext>
              </c:extLst>
            </c:dLbl>
            <c:dLbl>
              <c:idx val="173"/>
              <c:delete val="1"/>
              <c:extLst>
                <c:ext xmlns:c15="http://schemas.microsoft.com/office/drawing/2012/chart" uri="{CE6537A1-D6FC-4f65-9D91-7224C49458BB}"/>
                <c:ext xmlns:c16="http://schemas.microsoft.com/office/drawing/2014/chart" uri="{C3380CC4-5D6E-409C-BE32-E72D297353CC}">
                  <c16:uniqueId val="{000000AE-CB54-4601-812E-5D5493BCD4A9}"/>
                </c:ext>
              </c:extLst>
            </c:dLbl>
            <c:dLbl>
              <c:idx val="174"/>
              <c:delete val="1"/>
              <c:extLst>
                <c:ext xmlns:c15="http://schemas.microsoft.com/office/drawing/2012/chart" uri="{CE6537A1-D6FC-4f65-9D91-7224C49458BB}"/>
                <c:ext xmlns:c16="http://schemas.microsoft.com/office/drawing/2014/chart" uri="{C3380CC4-5D6E-409C-BE32-E72D297353CC}">
                  <c16:uniqueId val="{000000AF-CB54-4601-812E-5D5493BCD4A9}"/>
                </c:ext>
              </c:extLst>
            </c:dLbl>
            <c:dLbl>
              <c:idx val="175"/>
              <c:delete val="1"/>
              <c:extLst>
                <c:ext xmlns:c15="http://schemas.microsoft.com/office/drawing/2012/chart" uri="{CE6537A1-D6FC-4f65-9D91-7224C49458BB}"/>
                <c:ext xmlns:c16="http://schemas.microsoft.com/office/drawing/2014/chart" uri="{C3380CC4-5D6E-409C-BE32-E72D297353CC}">
                  <c16:uniqueId val="{000000B0-CB54-4601-812E-5D5493BCD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numRef>
              <c:f>'Speed reference'!$A$2:$A$177</c:f>
              <c:numCache>
                <c:formatCode>0</c:formatCode>
                <c:ptCount val="176"/>
                <c:pt idx="0">
                  <c:v>0</c:v>
                </c:pt>
                <c:pt idx="1">
                  <c:v>6.0999999986961484</c:v>
                </c:pt>
                <c:pt idx="2">
                  <c:v>46.940000000176951</c:v>
                </c:pt>
                <c:pt idx="3">
                  <c:v>92.82</c:v>
                </c:pt>
                <c:pt idx="4">
                  <c:v>92.83000000868924</c:v>
                </c:pt>
                <c:pt idx="5">
                  <c:v>192.32</c:v>
                </c:pt>
                <c:pt idx="6">
                  <c:v>192.32999999076128</c:v>
                </c:pt>
                <c:pt idx="7">
                  <c:v>251.09</c:v>
                </c:pt>
                <c:pt idx="8">
                  <c:v>251.09999999403954</c:v>
                </c:pt>
                <c:pt idx="9">
                  <c:v>428.40000000433065</c:v>
                </c:pt>
                <c:pt idx="10">
                  <c:v>500.81</c:v>
                </c:pt>
                <c:pt idx="11">
                  <c:v>500.82000001566485</c:v>
                </c:pt>
                <c:pt idx="12">
                  <c:v>552.79999999999995</c:v>
                </c:pt>
                <c:pt idx="13">
                  <c:v>552.80999999376945</c:v>
                </c:pt>
                <c:pt idx="14">
                  <c:v>593.83000000000004</c:v>
                </c:pt>
                <c:pt idx="15">
                  <c:v>593.8400000159163</c:v>
                </c:pt>
                <c:pt idx="16">
                  <c:v>768.42</c:v>
                </c:pt>
                <c:pt idx="17">
                  <c:v>768.42999999644235</c:v>
                </c:pt>
                <c:pt idx="18">
                  <c:v>805.22999999811873</c:v>
                </c:pt>
                <c:pt idx="19">
                  <c:v>859.45000001811422</c:v>
                </c:pt>
                <c:pt idx="20">
                  <c:v>906.35</c:v>
                </c:pt>
                <c:pt idx="21">
                  <c:v>906.35999999358319</c:v>
                </c:pt>
                <c:pt idx="22">
                  <c:v>1001.2400000123307</c:v>
                </c:pt>
                <c:pt idx="23">
                  <c:v>1115.6499999924563</c:v>
                </c:pt>
                <c:pt idx="24">
                  <c:v>1214.3</c:v>
                </c:pt>
                <c:pt idx="25">
                  <c:v>1214.3100000103004</c:v>
                </c:pt>
                <c:pt idx="26">
                  <c:v>1259.6800000173971</c:v>
                </c:pt>
                <c:pt idx="27">
                  <c:v>1325.03</c:v>
                </c:pt>
                <c:pt idx="28">
                  <c:v>1325.0399999960791</c:v>
                </c:pt>
                <c:pt idx="29">
                  <c:v>1361.76</c:v>
                </c:pt>
                <c:pt idx="30">
                  <c:v>1361.7700000177138</c:v>
                </c:pt>
                <c:pt idx="31">
                  <c:v>1550.9500000043772</c:v>
                </c:pt>
                <c:pt idx="32">
                  <c:v>1864.21</c:v>
                </c:pt>
                <c:pt idx="33">
                  <c:v>1864.2200000176672</c:v>
                </c:pt>
                <c:pt idx="34">
                  <c:v>1900.3399999928661</c:v>
                </c:pt>
                <c:pt idx="35">
                  <c:v>1969.22</c:v>
                </c:pt>
                <c:pt idx="36">
                  <c:v>1969.230000016978</c:v>
                </c:pt>
                <c:pt idx="37">
                  <c:v>2008.69</c:v>
                </c:pt>
                <c:pt idx="38">
                  <c:v>2008.7000000057742</c:v>
                </c:pt>
                <c:pt idx="39">
                  <c:v>2174.7599999944214</c:v>
                </c:pt>
                <c:pt idx="40">
                  <c:v>2387.8600000170991</c:v>
                </c:pt>
                <c:pt idx="41">
                  <c:v>2551.3800000189804</c:v>
                </c:pt>
                <c:pt idx="42">
                  <c:v>2654.03</c:v>
                </c:pt>
                <c:pt idx="43">
                  <c:v>2654.0399999939837</c:v>
                </c:pt>
                <c:pt idx="44">
                  <c:v>2687.7099999983329</c:v>
                </c:pt>
                <c:pt idx="45">
                  <c:v>2765.2900000102818</c:v>
                </c:pt>
                <c:pt idx="46">
                  <c:v>2969.75</c:v>
                </c:pt>
                <c:pt idx="47">
                  <c:v>2969.7600000072271</c:v>
                </c:pt>
                <c:pt idx="48">
                  <c:v>3021.0000000079162</c:v>
                </c:pt>
                <c:pt idx="49">
                  <c:v>3041.2599999981467</c:v>
                </c:pt>
                <c:pt idx="50">
                  <c:v>3075.8100000093691</c:v>
                </c:pt>
                <c:pt idx="51">
                  <c:v>3103.22</c:v>
                </c:pt>
                <c:pt idx="52">
                  <c:v>3103.2300000078976</c:v>
                </c:pt>
                <c:pt idx="53">
                  <c:v>3150.5900000047404</c:v>
                </c:pt>
                <c:pt idx="54">
                  <c:v>3281.0100000060629</c:v>
                </c:pt>
                <c:pt idx="55">
                  <c:v>3337.679999996908</c:v>
                </c:pt>
                <c:pt idx="56">
                  <c:v>3381.33</c:v>
                </c:pt>
                <c:pt idx="57">
                  <c:v>3381.3399999926332</c:v>
                </c:pt>
                <c:pt idx="58">
                  <c:v>3559.26</c:v>
                </c:pt>
                <c:pt idx="59">
                  <c:v>3559.2699999979232</c:v>
                </c:pt>
                <c:pt idx="60">
                  <c:v>3692.02</c:v>
                </c:pt>
                <c:pt idx="61">
                  <c:v>3692.0300000056159</c:v>
                </c:pt>
                <c:pt idx="62">
                  <c:v>3731.99</c:v>
                </c:pt>
                <c:pt idx="63">
                  <c:v>3732.0000000181608</c:v>
                </c:pt>
                <c:pt idx="64">
                  <c:v>3787.4700000102166</c:v>
                </c:pt>
                <c:pt idx="65">
                  <c:v>3847.61</c:v>
                </c:pt>
                <c:pt idx="66">
                  <c:v>3847.6200000150129</c:v>
                </c:pt>
                <c:pt idx="67">
                  <c:v>4154.72</c:v>
                </c:pt>
                <c:pt idx="68">
                  <c:v>4154.7300000092946</c:v>
                </c:pt>
                <c:pt idx="69">
                  <c:v>4206.8000000144821</c:v>
                </c:pt>
                <c:pt idx="70">
                  <c:v>4246.3599999999997</c:v>
                </c:pt>
                <c:pt idx="71">
                  <c:v>4246.370000008028</c:v>
                </c:pt>
                <c:pt idx="72">
                  <c:v>4939.54</c:v>
                </c:pt>
                <c:pt idx="73">
                  <c:v>4939.5500000100583</c:v>
                </c:pt>
                <c:pt idx="74">
                  <c:v>4966.2799999932759</c:v>
                </c:pt>
                <c:pt idx="75">
                  <c:v>5032.3500000000004</c:v>
                </c:pt>
                <c:pt idx="76">
                  <c:v>5032.3600000119768</c:v>
                </c:pt>
                <c:pt idx="77">
                  <c:v>5068.4699999983422</c:v>
                </c:pt>
                <c:pt idx="78">
                  <c:v>5075.82</c:v>
                </c:pt>
                <c:pt idx="79">
                  <c:v>5075.8300000161398</c:v>
                </c:pt>
                <c:pt idx="80">
                  <c:v>5187.1400000000003</c:v>
                </c:pt>
                <c:pt idx="81">
                  <c:v>5187.1500000124797</c:v>
                </c:pt>
                <c:pt idx="82">
                  <c:v>5237.83</c:v>
                </c:pt>
                <c:pt idx="83">
                  <c:v>5237.8400000161491</c:v>
                </c:pt>
                <c:pt idx="84">
                  <c:v>5315.7700000156183</c:v>
                </c:pt>
                <c:pt idx="85">
                  <c:v>5355.57</c:v>
                </c:pt>
                <c:pt idx="86">
                  <c:v>5355.5800000031013</c:v>
                </c:pt>
                <c:pt idx="87">
                  <c:v>5522.47</c:v>
                </c:pt>
                <c:pt idx="88">
                  <c:v>5522.480000014184</c:v>
                </c:pt>
                <c:pt idx="89">
                  <c:v>5555.65</c:v>
                </c:pt>
                <c:pt idx="90">
                  <c:v>5555.6600000127219</c:v>
                </c:pt>
                <c:pt idx="91">
                  <c:v>5926.52</c:v>
                </c:pt>
                <c:pt idx="92">
                  <c:v>5926.5299999970011</c:v>
                </c:pt>
                <c:pt idx="93">
                  <c:v>5960.8500000031199</c:v>
                </c:pt>
                <c:pt idx="94">
                  <c:v>6008.1200000131503</c:v>
                </c:pt>
                <c:pt idx="95">
                  <c:v>6061.9</c:v>
                </c:pt>
                <c:pt idx="96">
                  <c:v>6061.9100000185426</c:v>
                </c:pt>
                <c:pt idx="97">
                  <c:v>6424.75</c:v>
                </c:pt>
                <c:pt idx="98">
                  <c:v>6424.7599999944214</c:v>
                </c:pt>
                <c:pt idx="99">
                  <c:v>6488.9</c:v>
                </c:pt>
                <c:pt idx="100">
                  <c:v>6488.9100000145845</c:v>
                </c:pt>
                <c:pt idx="101">
                  <c:v>6602.77</c:v>
                </c:pt>
                <c:pt idx="102">
                  <c:v>6602.7800000156276</c:v>
                </c:pt>
                <c:pt idx="103">
                  <c:v>6688.5699999984354</c:v>
                </c:pt>
                <c:pt idx="104">
                  <c:v>6724.6900000027381</c:v>
                </c:pt>
                <c:pt idx="105">
                  <c:v>6764.29</c:v>
                </c:pt>
                <c:pt idx="106">
                  <c:v>6764.3000000098255</c:v>
                </c:pt>
                <c:pt idx="107">
                  <c:v>6814.0600000042468</c:v>
                </c:pt>
                <c:pt idx="108">
                  <c:v>6846.42</c:v>
                </c:pt>
                <c:pt idx="109">
                  <c:v>6846.4300000050571</c:v>
                </c:pt>
                <c:pt idx="110">
                  <c:v>7305.29</c:v>
                </c:pt>
                <c:pt idx="111">
                  <c:v>7305.3000000072643</c:v>
                </c:pt>
                <c:pt idx="112">
                  <c:v>7353.0099999916274</c:v>
                </c:pt>
                <c:pt idx="113">
                  <c:v>7394.7899999911897</c:v>
                </c:pt>
                <c:pt idx="114">
                  <c:v>7419.14</c:v>
                </c:pt>
                <c:pt idx="115">
                  <c:v>7419.1500000015367</c:v>
                </c:pt>
                <c:pt idx="116">
                  <c:v>7717.28</c:v>
                </c:pt>
                <c:pt idx="117">
                  <c:v>7717.2900000005029</c:v>
                </c:pt>
                <c:pt idx="118">
                  <c:v>7771.630000002915</c:v>
                </c:pt>
                <c:pt idx="119">
                  <c:v>7802.51</c:v>
                </c:pt>
                <c:pt idx="120">
                  <c:v>7802.5199999974575</c:v>
                </c:pt>
                <c:pt idx="121">
                  <c:v>8154.01</c:v>
                </c:pt>
                <c:pt idx="122">
                  <c:v>8154.0200000163168</c:v>
                </c:pt>
                <c:pt idx="123">
                  <c:v>8191.9099999940954</c:v>
                </c:pt>
                <c:pt idx="124">
                  <c:v>8203.52</c:v>
                </c:pt>
                <c:pt idx="125">
                  <c:v>8203.5299999988638</c:v>
                </c:pt>
                <c:pt idx="126">
                  <c:v>8246.66000000434</c:v>
                </c:pt>
                <c:pt idx="127">
                  <c:v>8298.16</c:v>
                </c:pt>
                <c:pt idx="128">
                  <c:v>8298.1699999945704</c:v>
                </c:pt>
                <c:pt idx="129">
                  <c:v>8941.84</c:v>
                </c:pt>
                <c:pt idx="130">
                  <c:v>8941.8500000028871</c:v>
                </c:pt>
                <c:pt idx="131">
                  <c:v>9034.34</c:v>
                </c:pt>
                <c:pt idx="132">
                  <c:v>9034.3500000017229</c:v>
                </c:pt>
                <c:pt idx="133">
                  <c:v>9064.379999996163</c:v>
                </c:pt>
                <c:pt idx="134">
                  <c:v>9112.410000001546</c:v>
                </c:pt>
                <c:pt idx="135">
                  <c:v>9130.08</c:v>
                </c:pt>
                <c:pt idx="136">
                  <c:v>9130.0899999914691</c:v>
                </c:pt>
                <c:pt idx="137">
                  <c:v>9164.8100000165869</c:v>
                </c:pt>
                <c:pt idx="138">
                  <c:v>9187.0499999999993</c:v>
                </c:pt>
                <c:pt idx="139">
                  <c:v>9187.0599999965634</c:v>
                </c:pt>
                <c:pt idx="140">
                  <c:v>9276.27</c:v>
                </c:pt>
                <c:pt idx="141">
                  <c:v>9276.2799999909475</c:v>
                </c:pt>
                <c:pt idx="142">
                  <c:v>9796.34</c:v>
                </c:pt>
                <c:pt idx="143">
                  <c:v>9796.3500000187196</c:v>
                </c:pt>
                <c:pt idx="144">
                  <c:v>9858.379999990575</c:v>
                </c:pt>
                <c:pt idx="145">
                  <c:v>9915.41</c:v>
                </c:pt>
                <c:pt idx="146">
                  <c:v>9915.4200000048149</c:v>
                </c:pt>
                <c:pt idx="147">
                  <c:v>9956.91</c:v>
                </c:pt>
                <c:pt idx="148">
                  <c:v>9956.9199999968987</c:v>
                </c:pt>
                <c:pt idx="149">
                  <c:v>10102.92</c:v>
                </c:pt>
                <c:pt idx="150">
                  <c:v>10102.929999993648</c:v>
                </c:pt>
                <c:pt idx="151">
                  <c:v>10560.2</c:v>
                </c:pt>
                <c:pt idx="152">
                  <c:v>10560.209999996005</c:v>
                </c:pt>
                <c:pt idx="153">
                  <c:v>10600.860000005923</c:v>
                </c:pt>
                <c:pt idx="154">
                  <c:v>10632.279999990715</c:v>
                </c:pt>
                <c:pt idx="155">
                  <c:v>10695.75</c:v>
                </c:pt>
                <c:pt idx="156">
                  <c:v>10695.760000002338</c:v>
                </c:pt>
                <c:pt idx="157">
                  <c:v>11029</c:v>
                </c:pt>
                <c:pt idx="158">
                  <c:v>11029.009999998379</c:v>
                </c:pt>
                <c:pt idx="159">
                  <c:v>11068.250000011176</c:v>
                </c:pt>
                <c:pt idx="160">
                  <c:v>11123.28</c:v>
                </c:pt>
                <c:pt idx="161">
                  <c:v>11123.290000017732</c:v>
                </c:pt>
                <c:pt idx="162">
                  <c:v>11160.96</c:v>
                </c:pt>
                <c:pt idx="163">
                  <c:v>11160.969999997178</c:v>
                </c:pt>
                <c:pt idx="164">
                  <c:v>11374.869999999646</c:v>
                </c:pt>
                <c:pt idx="165">
                  <c:v>11463.96</c:v>
                </c:pt>
                <c:pt idx="166">
                  <c:v>11463.970000011614</c:v>
                </c:pt>
                <c:pt idx="167">
                  <c:v>11501.510000001872</c:v>
                </c:pt>
                <c:pt idx="168">
                  <c:v>11549.28</c:v>
                </c:pt>
                <c:pt idx="169">
                  <c:v>11549.289999995381</c:v>
                </c:pt>
                <c:pt idx="170">
                  <c:v>11713.560000003781</c:v>
                </c:pt>
                <c:pt idx="171">
                  <c:v>11737.610000011045</c:v>
                </c:pt>
                <c:pt idx="172">
                  <c:v>11785.75</c:v>
                </c:pt>
                <c:pt idx="173">
                  <c:v>11785.759999998845</c:v>
                </c:pt>
                <c:pt idx="174">
                  <c:v>11867.259999999078</c:v>
                </c:pt>
                <c:pt idx="175">
                  <c:v>11901.050000014948</c:v>
                </c:pt>
              </c:numCache>
            </c:numRef>
          </c:xVal>
          <c:yVal>
            <c:numRef>
              <c:f>'Speed reference'!$B$2:$B$325</c:f>
              <c:numCache>
                <c:formatCode>General</c:formatCode>
                <c:ptCount val="176"/>
                <c:pt idx="0">
                  <c:v>15</c:v>
                </c:pt>
                <c:pt idx="1">
                  <c:v>15</c:v>
                </c:pt>
                <c:pt idx="2">
                  <c:v>15</c:v>
                </c:pt>
                <c:pt idx="3">
                  <c:v>15</c:v>
                </c:pt>
                <c:pt idx="4">
                  <c:v>40</c:v>
                </c:pt>
                <c:pt idx="5">
                  <c:v>40</c:v>
                </c:pt>
                <c:pt idx="6">
                  <c:v>30</c:v>
                </c:pt>
                <c:pt idx="7">
                  <c:v>30</c:v>
                </c:pt>
                <c:pt idx="8">
                  <c:v>50</c:v>
                </c:pt>
                <c:pt idx="9">
                  <c:v>50</c:v>
                </c:pt>
                <c:pt idx="10">
                  <c:v>50</c:v>
                </c:pt>
                <c:pt idx="11">
                  <c:v>40</c:v>
                </c:pt>
                <c:pt idx="12">
                  <c:v>40</c:v>
                </c:pt>
                <c:pt idx="13">
                  <c:v>30</c:v>
                </c:pt>
                <c:pt idx="14">
                  <c:v>30</c:v>
                </c:pt>
                <c:pt idx="15">
                  <c:v>60</c:v>
                </c:pt>
                <c:pt idx="16">
                  <c:v>60</c:v>
                </c:pt>
                <c:pt idx="17">
                  <c:v>40</c:v>
                </c:pt>
                <c:pt idx="18">
                  <c:v>40</c:v>
                </c:pt>
                <c:pt idx="19">
                  <c:v>40</c:v>
                </c:pt>
                <c:pt idx="20">
                  <c:v>40</c:v>
                </c:pt>
                <c:pt idx="21">
                  <c:v>60</c:v>
                </c:pt>
                <c:pt idx="22">
                  <c:v>60</c:v>
                </c:pt>
                <c:pt idx="23">
                  <c:v>60</c:v>
                </c:pt>
                <c:pt idx="24">
                  <c:v>60</c:v>
                </c:pt>
                <c:pt idx="25">
                  <c:v>50</c:v>
                </c:pt>
                <c:pt idx="26">
                  <c:v>50</c:v>
                </c:pt>
                <c:pt idx="27">
                  <c:v>50</c:v>
                </c:pt>
                <c:pt idx="28">
                  <c:v>30</c:v>
                </c:pt>
                <c:pt idx="29">
                  <c:v>30</c:v>
                </c:pt>
                <c:pt idx="30">
                  <c:v>60</c:v>
                </c:pt>
                <c:pt idx="31">
                  <c:v>60</c:v>
                </c:pt>
                <c:pt idx="32">
                  <c:v>60</c:v>
                </c:pt>
                <c:pt idx="33">
                  <c:v>50</c:v>
                </c:pt>
                <c:pt idx="34">
                  <c:v>50</c:v>
                </c:pt>
                <c:pt idx="35">
                  <c:v>50</c:v>
                </c:pt>
                <c:pt idx="36">
                  <c:v>30</c:v>
                </c:pt>
                <c:pt idx="37">
                  <c:v>30</c:v>
                </c:pt>
                <c:pt idx="38">
                  <c:v>60</c:v>
                </c:pt>
                <c:pt idx="39">
                  <c:v>60</c:v>
                </c:pt>
                <c:pt idx="40">
                  <c:v>60</c:v>
                </c:pt>
                <c:pt idx="41">
                  <c:v>60</c:v>
                </c:pt>
                <c:pt idx="42">
                  <c:v>60</c:v>
                </c:pt>
                <c:pt idx="43">
                  <c:v>40</c:v>
                </c:pt>
                <c:pt idx="44">
                  <c:v>40</c:v>
                </c:pt>
                <c:pt idx="45">
                  <c:v>40</c:v>
                </c:pt>
                <c:pt idx="46">
                  <c:v>40</c:v>
                </c:pt>
                <c:pt idx="47">
                  <c:v>25</c:v>
                </c:pt>
                <c:pt idx="48">
                  <c:v>25</c:v>
                </c:pt>
                <c:pt idx="49">
                  <c:v>25</c:v>
                </c:pt>
                <c:pt idx="50">
                  <c:v>25</c:v>
                </c:pt>
                <c:pt idx="51">
                  <c:v>25</c:v>
                </c:pt>
                <c:pt idx="52">
                  <c:v>40</c:v>
                </c:pt>
                <c:pt idx="53">
                  <c:v>40</c:v>
                </c:pt>
                <c:pt idx="54">
                  <c:v>40</c:v>
                </c:pt>
                <c:pt idx="55">
                  <c:v>40</c:v>
                </c:pt>
                <c:pt idx="56">
                  <c:v>40</c:v>
                </c:pt>
                <c:pt idx="57">
                  <c:v>60</c:v>
                </c:pt>
                <c:pt idx="58">
                  <c:v>60</c:v>
                </c:pt>
                <c:pt idx="59">
                  <c:v>50</c:v>
                </c:pt>
                <c:pt idx="60">
                  <c:v>50</c:v>
                </c:pt>
                <c:pt idx="61">
                  <c:v>30</c:v>
                </c:pt>
                <c:pt idx="62">
                  <c:v>30</c:v>
                </c:pt>
                <c:pt idx="63">
                  <c:v>50</c:v>
                </c:pt>
                <c:pt idx="64">
                  <c:v>50</c:v>
                </c:pt>
                <c:pt idx="65">
                  <c:v>50</c:v>
                </c:pt>
                <c:pt idx="66">
                  <c:v>60</c:v>
                </c:pt>
                <c:pt idx="67">
                  <c:v>60</c:v>
                </c:pt>
                <c:pt idx="68">
                  <c:v>50</c:v>
                </c:pt>
                <c:pt idx="69">
                  <c:v>50</c:v>
                </c:pt>
                <c:pt idx="70">
                  <c:v>50</c:v>
                </c:pt>
                <c:pt idx="71">
                  <c:v>70</c:v>
                </c:pt>
                <c:pt idx="72">
                  <c:v>70</c:v>
                </c:pt>
                <c:pt idx="73">
                  <c:v>50</c:v>
                </c:pt>
                <c:pt idx="74">
                  <c:v>50</c:v>
                </c:pt>
                <c:pt idx="75">
                  <c:v>50</c:v>
                </c:pt>
                <c:pt idx="76">
                  <c:v>30</c:v>
                </c:pt>
                <c:pt idx="77">
                  <c:v>30</c:v>
                </c:pt>
                <c:pt idx="78">
                  <c:v>30</c:v>
                </c:pt>
                <c:pt idx="79">
                  <c:v>50</c:v>
                </c:pt>
                <c:pt idx="80">
                  <c:v>50</c:v>
                </c:pt>
                <c:pt idx="81">
                  <c:v>40</c:v>
                </c:pt>
                <c:pt idx="82">
                  <c:v>40</c:v>
                </c:pt>
                <c:pt idx="83">
                  <c:v>20</c:v>
                </c:pt>
                <c:pt idx="84">
                  <c:v>20</c:v>
                </c:pt>
                <c:pt idx="85">
                  <c:v>20</c:v>
                </c:pt>
                <c:pt idx="86">
                  <c:v>40</c:v>
                </c:pt>
                <c:pt idx="87">
                  <c:v>40</c:v>
                </c:pt>
                <c:pt idx="88">
                  <c:v>50</c:v>
                </c:pt>
                <c:pt idx="89">
                  <c:v>50</c:v>
                </c:pt>
                <c:pt idx="90">
                  <c:v>60</c:v>
                </c:pt>
                <c:pt idx="91">
                  <c:v>60</c:v>
                </c:pt>
                <c:pt idx="92">
                  <c:v>30</c:v>
                </c:pt>
                <c:pt idx="93">
                  <c:v>30</c:v>
                </c:pt>
                <c:pt idx="94">
                  <c:v>30</c:v>
                </c:pt>
                <c:pt idx="95">
                  <c:v>30</c:v>
                </c:pt>
                <c:pt idx="96">
                  <c:v>70</c:v>
                </c:pt>
                <c:pt idx="97">
                  <c:v>70</c:v>
                </c:pt>
                <c:pt idx="98">
                  <c:v>40</c:v>
                </c:pt>
                <c:pt idx="99">
                  <c:v>40</c:v>
                </c:pt>
                <c:pt idx="100">
                  <c:v>15</c:v>
                </c:pt>
                <c:pt idx="101">
                  <c:v>15</c:v>
                </c:pt>
                <c:pt idx="102">
                  <c:v>25</c:v>
                </c:pt>
                <c:pt idx="103">
                  <c:v>25</c:v>
                </c:pt>
                <c:pt idx="104">
                  <c:v>25</c:v>
                </c:pt>
                <c:pt idx="105">
                  <c:v>25</c:v>
                </c:pt>
                <c:pt idx="106">
                  <c:v>50</c:v>
                </c:pt>
                <c:pt idx="107">
                  <c:v>50</c:v>
                </c:pt>
                <c:pt idx="108">
                  <c:v>50</c:v>
                </c:pt>
                <c:pt idx="109">
                  <c:v>65</c:v>
                </c:pt>
                <c:pt idx="110">
                  <c:v>65</c:v>
                </c:pt>
                <c:pt idx="111">
                  <c:v>50</c:v>
                </c:pt>
                <c:pt idx="112">
                  <c:v>50</c:v>
                </c:pt>
                <c:pt idx="113">
                  <c:v>50</c:v>
                </c:pt>
                <c:pt idx="114">
                  <c:v>50</c:v>
                </c:pt>
                <c:pt idx="115">
                  <c:v>60</c:v>
                </c:pt>
                <c:pt idx="116">
                  <c:v>60</c:v>
                </c:pt>
                <c:pt idx="117">
                  <c:v>50</c:v>
                </c:pt>
                <c:pt idx="118">
                  <c:v>50</c:v>
                </c:pt>
                <c:pt idx="119">
                  <c:v>50</c:v>
                </c:pt>
                <c:pt idx="120">
                  <c:v>60</c:v>
                </c:pt>
                <c:pt idx="121">
                  <c:v>60</c:v>
                </c:pt>
                <c:pt idx="122">
                  <c:v>30</c:v>
                </c:pt>
                <c:pt idx="123">
                  <c:v>30</c:v>
                </c:pt>
                <c:pt idx="124">
                  <c:v>30</c:v>
                </c:pt>
                <c:pt idx="125">
                  <c:v>50</c:v>
                </c:pt>
                <c:pt idx="126">
                  <c:v>50</c:v>
                </c:pt>
                <c:pt idx="127">
                  <c:v>50</c:v>
                </c:pt>
                <c:pt idx="128">
                  <c:v>70</c:v>
                </c:pt>
                <c:pt idx="129">
                  <c:v>70</c:v>
                </c:pt>
                <c:pt idx="130">
                  <c:v>50</c:v>
                </c:pt>
                <c:pt idx="131">
                  <c:v>50</c:v>
                </c:pt>
                <c:pt idx="132">
                  <c:v>40</c:v>
                </c:pt>
                <c:pt idx="133">
                  <c:v>40</c:v>
                </c:pt>
                <c:pt idx="134">
                  <c:v>40</c:v>
                </c:pt>
                <c:pt idx="135">
                  <c:v>40</c:v>
                </c:pt>
                <c:pt idx="136">
                  <c:v>30</c:v>
                </c:pt>
                <c:pt idx="137">
                  <c:v>30</c:v>
                </c:pt>
                <c:pt idx="138">
                  <c:v>30</c:v>
                </c:pt>
                <c:pt idx="139">
                  <c:v>25</c:v>
                </c:pt>
                <c:pt idx="140">
                  <c:v>25</c:v>
                </c:pt>
                <c:pt idx="141">
                  <c:v>70</c:v>
                </c:pt>
                <c:pt idx="142">
                  <c:v>70</c:v>
                </c:pt>
                <c:pt idx="143">
                  <c:v>50</c:v>
                </c:pt>
                <c:pt idx="144">
                  <c:v>50</c:v>
                </c:pt>
                <c:pt idx="145">
                  <c:v>50</c:v>
                </c:pt>
                <c:pt idx="146">
                  <c:v>30</c:v>
                </c:pt>
                <c:pt idx="147">
                  <c:v>30</c:v>
                </c:pt>
                <c:pt idx="148">
                  <c:v>50</c:v>
                </c:pt>
                <c:pt idx="149">
                  <c:v>50</c:v>
                </c:pt>
                <c:pt idx="150">
                  <c:v>65</c:v>
                </c:pt>
                <c:pt idx="151">
                  <c:v>65</c:v>
                </c:pt>
                <c:pt idx="152">
                  <c:v>50</c:v>
                </c:pt>
                <c:pt idx="153">
                  <c:v>50</c:v>
                </c:pt>
                <c:pt idx="154">
                  <c:v>50</c:v>
                </c:pt>
                <c:pt idx="155">
                  <c:v>50</c:v>
                </c:pt>
                <c:pt idx="156">
                  <c:v>70</c:v>
                </c:pt>
                <c:pt idx="157">
                  <c:v>70</c:v>
                </c:pt>
                <c:pt idx="158">
                  <c:v>50</c:v>
                </c:pt>
                <c:pt idx="159">
                  <c:v>50</c:v>
                </c:pt>
                <c:pt idx="160">
                  <c:v>50</c:v>
                </c:pt>
                <c:pt idx="161">
                  <c:v>30</c:v>
                </c:pt>
                <c:pt idx="162">
                  <c:v>30</c:v>
                </c:pt>
                <c:pt idx="163">
                  <c:v>60</c:v>
                </c:pt>
                <c:pt idx="164">
                  <c:v>60</c:v>
                </c:pt>
                <c:pt idx="165">
                  <c:v>60</c:v>
                </c:pt>
                <c:pt idx="166">
                  <c:v>50</c:v>
                </c:pt>
                <c:pt idx="167">
                  <c:v>50</c:v>
                </c:pt>
                <c:pt idx="168">
                  <c:v>50</c:v>
                </c:pt>
                <c:pt idx="169">
                  <c:v>20</c:v>
                </c:pt>
                <c:pt idx="170">
                  <c:v>20</c:v>
                </c:pt>
                <c:pt idx="171">
                  <c:v>20</c:v>
                </c:pt>
                <c:pt idx="172">
                  <c:v>20</c:v>
                </c:pt>
                <c:pt idx="173">
                  <c:v>15</c:v>
                </c:pt>
                <c:pt idx="174">
                  <c:v>15</c:v>
                </c:pt>
                <c:pt idx="175">
                  <c:v>15</c:v>
                </c:pt>
              </c:numCache>
            </c:numRef>
          </c:yVal>
          <c:smooth val="0"/>
          <c:extLst>
            <c:ext xmlns:c16="http://schemas.microsoft.com/office/drawing/2014/chart" uri="{C3380CC4-5D6E-409C-BE32-E72D297353CC}">
              <c16:uniqueId val="{000000B1-CB54-4601-812E-5D5493BCD4A9}"/>
            </c:ext>
          </c:extLst>
        </c:ser>
        <c:ser>
          <c:idx val="2"/>
          <c:order val="2"/>
          <c:tx>
            <c:v>Stops</c:v>
          </c:tx>
          <c:spPr>
            <a:ln w="9525" cap="rnd">
              <a:solidFill>
                <a:schemeClr val="accent3"/>
              </a:solidFill>
              <a:round/>
            </a:ln>
            <a:effectLst/>
          </c:spPr>
          <c:marker>
            <c:symbol val="none"/>
          </c:marker>
          <c:dPt>
            <c:idx val="8"/>
            <c:marker>
              <c:symbol val="none"/>
            </c:marker>
            <c:bubble3D val="0"/>
            <c:extLst>
              <c:ext xmlns:c16="http://schemas.microsoft.com/office/drawing/2014/chart" uri="{C3380CC4-5D6E-409C-BE32-E72D297353CC}">
                <c16:uniqueId val="{000000B2-CB54-4601-812E-5D5493BCD4A9}"/>
              </c:ext>
            </c:extLst>
          </c:dPt>
          <c:dLbls>
            <c:dLbl>
              <c:idx val="1"/>
              <c:layout>
                <c:manualLayout>
                  <c:x val="-2.6039216816219648E-2"/>
                  <c:y val="-8.4292284781016785E-3"/>
                </c:manualLayout>
              </c:layout>
              <c:tx>
                <c:rich>
                  <a:bodyPr/>
                  <a:lstStyle/>
                  <a:p>
                    <a:r>
                      <a:rPr lang="en-US" sz="500"/>
                      <a:t>ALG</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3-CB54-4601-812E-5D5493BCD4A9}"/>
                </c:ext>
              </c:extLst>
            </c:dLbl>
            <c:dLbl>
              <c:idx val="8"/>
              <c:layout>
                <c:manualLayout>
                  <c:x val="-8.1967213114754224E-3"/>
                  <c:y val="-8.368200836820083E-3"/>
                </c:manualLayout>
              </c:layout>
              <c:tx>
                <c:rich>
                  <a:bodyPr/>
                  <a:lstStyle/>
                  <a:p>
                    <a:r>
                      <a:rPr lang="en-US" sz="500"/>
                      <a:t>MCK</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2-CB54-4601-812E-5D5493BCD4A9}"/>
                </c:ext>
              </c:extLst>
            </c:dLbl>
            <c:dLbl>
              <c:idx val="13"/>
              <c:layout>
                <c:manualLayout>
                  <c:x val="-4.7013475626650134E-3"/>
                  <c:y val="-8.0808629328857403E-3"/>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lt1">
                            <a:lumMod val="75000"/>
                          </a:schemeClr>
                        </a:solidFill>
                        <a:latin typeface="+mn-lt"/>
                        <a:ea typeface="+mn-ea"/>
                        <a:cs typeface="+mn-cs"/>
                      </a:defRPr>
                    </a:pPr>
                    <a:r>
                      <a:rPr lang="en-US" sz="500"/>
                      <a:t>ELA</a:t>
                    </a:r>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4-CB54-4601-812E-5D5493BCD4A9}"/>
                </c:ext>
              </c:extLst>
            </c:dLbl>
            <c:dLbl>
              <c:idx val="19"/>
              <c:layout>
                <c:manualLayout>
                  <c:x val="-8.1967213114754345E-3"/>
                  <c:y val="-8.368200836820083E-3"/>
                </c:manualLayout>
              </c:layout>
              <c:tx>
                <c:rich>
                  <a:bodyPr/>
                  <a:lstStyle/>
                  <a:p>
                    <a:r>
                      <a:rPr lang="en-US" sz="500"/>
                      <a:t>MPN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5-CB54-4601-812E-5D5493BCD4A9}"/>
                </c:ext>
              </c:extLst>
            </c:dLbl>
            <c:dLbl>
              <c:idx val="28"/>
              <c:layout>
                <c:manualLayout>
                  <c:x val="-6.0667682095239305E-3"/>
                  <c:y val="-8.0808629328857403E-3"/>
                </c:manualLayout>
              </c:layout>
              <c:tx>
                <c:rich>
                  <a:bodyPr/>
                  <a:lstStyle/>
                  <a:p>
                    <a:r>
                      <a:rPr lang="en-US" sz="500"/>
                      <a:t>IPA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6-CB54-4601-812E-5D5493BCD4A9}"/>
                </c:ext>
              </c:extLst>
            </c:dLbl>
            <c:dLbl>
              <c:idx val="36"/>
              <c:layout>
                <c:manualLayout>
                  <c:x val="-6.0667682095239062E-3"/>
                  <c:y val="-8.1504702194357369E-3"/>
                </c:manualLayout>
              </c:layout>
              <c:tx>
                <c:rich>
                  <a:bodyPr/>
                  <a:lstStyle/>
                  <a:p>
                    <a:r>
                      <a:rPr lang="en-US" sz="500"/>
                      <a:t>MCR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7-CB54-4601-812E-5D5493BCD4A9}"/>
                </c:ext>
              </c:extLst>
            </c:dLbl>
            <c:dLbl>
              <c:idx val="44"/>
              <c:layout>
                <c:manualLayout>
                  <c:x val="-7.331378299120235E-3"/>
                  <c:y val="-6.0606060606061343E-3"/>
                </c:manualLayout>
              </c:layout>
              <c:tx>
                <c:rich>
                  <a:bodyPr/>
                  <a:lstStyle/>
                  <a:p>
                    <a:r>
                      <a:rPr lang="en-US" sz="500"/>
                      <a:t>WSN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8-CB54-4601-812E-5D5493BCD4A9}"/>
                </c:ext>
              </c:extLst>
            </c:dLbl>
            <c:dLbl>
              <c:idx val="50"/>
              <c:layout>
                <c:manualLayout>
                  <c:x val="-6.8271032342944642E-3"/>
                  <c:y val="-8.3594566353187051E-3"/>
                </c:manualLayout>
              </c:layout>
              <c:tx>
                <c:rich>
                  <a:bodyPr rot="0" spcFirstLastPara="1" vertOverflow="ellipsis" vert="horz" wrap="square" lIns="38100" tIns="19050" rIns="38100" bIns="19050" anchor="ctr" anchorCtr="1">
                    <a:spAutoFit/>
                  </a:bodyPr>
                  <a:lstStyle/>
                  <a:p>
                    <a:pPr>
                      <a:defRPr sz="500" b="0" i="0" u="none" strike="noStrike" kern="1200" baseline="0">
                        <a:solidFill>
                          <a:schemeClr val="lt1">
                            <a:lumMod val="75000"/>
                          </a:schemeClr>
                        </a:solidFill>
                        <a:latin typeface="+mn-lt"/>
                        <a:ea typeface="+mn-ea"/>
                        <a:cs typeface="+mn-cs"/>
                      </a:defRPr>
                    </a:pPr>
                    <a:r>
                      <a:rPr lang="en-US" sz="500"/>
                      <a:t>DKN</a:t>
                    </a:r>
                  </a:p>
                </c:rich>
              </c:tx>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9-CB54-4601-812E-5D5493BCD4A9}"/>
                </c:ext>
              </c:extLst>
            </c:dLbl>
            <c:dLbl>
              <c:idx val="62"/>
              <c:layout>
                <c:manualLayout>
                  <c:x val="-8.192523881153357E-3"/>
                  <c:y val="-8.3594566353187051E-3"/>
                </c:manualLayout>
              </c:layout>
              <c:tx>
                <c:rich>
                  <a:bodyPr/>
                  <a:lstStyle/>
                  <a:p>
                    <a:r>
                      <a:rPr lang="en-US" sz="500"/>
                      <a:t>SWN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A-CB54-4601-812E-5D5493BCD4A9}"/>
                </c:ext>
              </c:extLst>
            </c:dLbl>
            <c:dLbl>
              <c:idx val="66"/>
              <c:layout>
                <c:manualLayout>
                  <c:x val="-2.932551319648094E-2"/>
                  <c:y val="-6.0606060606061343E-3"/>
                </c:manualLayout>
              </c:layout>
              <c:tx>
                <c:rich>
                  <a:bodyPr/>
                  <a:lstStyle/>
                  <a:p>
                    <a:r>
                      <a:rPr lang="en-US" sz="500"/>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B-CB54-4601-812E-5D5493BCD4A9}"/>
                </c:ext>
              </c:extLst>
            </c:dLbl>
            <c:dLbl>
              <c:idx val="76"/>
              <c:layout>
                <c:manualLayout>
                  <c:x val="-2.5942992290318965E-2"/>
                  <c:y val="-8.3594566353187051E-3"/>
                </c:manualLayout>
              </c:layout>
              <c:tx>
                <c:rich>
                  <a:bodyPr/>
                  <a:lstStyle/>
                  <a:p>
                    <a:r>
                      <a:rPr lang="en-US" sz="500"/>
                      <a:t>PLP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C-CB54-4601-812E-5D5493BCD4A9}"/>
                </c:ext>
              </c:extLst>
            </c:dLbl>
            <c:dLbl>
              <c:idx val="79"/>
              <c:layout>
                <c:manualLayout>
                  <c:x val="-5.8651026392961877E-3"/>
                  <c:y val="-6.0606060606061343E-3"/>
                </c:manualLayout>
              </c:layout>
              <c:tx>
                <c:rich>
                  <a:bodyPr/>
                  <a:lstStyle/>
                  <a:p>
                    <a:r>
                      <a:rPr lang="en-US" sz="500"/>
                      <a:t>EPC</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D-CB54-4601-812E-5D5493BCD4A9}"/>
                </c:ext>
              </c:extLst>
            </c:dLbl>
            <c:dLbl>
              <c:idx val="92"/>
              <c:layout>
                <c:manualLayout>
                  <c:x val="-2.457757164346017E-2"/>
                  <c:y val="-8.3594566353187051E-3"/>
                </c:manualLayout>
              </c:layout>
              <c:tx>
                <c:rich>
                  <a:bodyPr/>
                  <a:lstStyle/>
                  <a:p>
                    <a:r>
                      <a:rPr lang="en-US" sz="500"/>
                      <a:t>EPC</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E-CB54-4601-812E-5D5493BCD4A9}"/>
                </c:ext>
              </c:extLst>
            </c:dLbl>
            <c:dLbl>
              <c:idx val="96"/>
              <c:layout>
                <c:manualLayout>
                  <c:x val="-5.8651026392961877E-3"/>
                  <c:y val="-8.0808080808081554E-3"/>
                </c:manualLayout>
              </c:layout>
              <c:tx>
                <c:rich>
                  <a:bodyPr/>
                  <a:lstStyle/>
                  <a:p>
                    <a:r>
                      <a:rPr lang="en-US" sz="500"/>
                      <a:t>PLP</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F-CB54-4601-812E-5D5493BCD4A9}"/>
                </c:ext>
              </c:extLst>
            </c:dLbl>
            <c:dLbl>
              <c:idx val="105"/>
              <c:layout>
                <c:manualLayout>
                  <c:x val="-8.192523881153357E-3"/>
                  <c:y val="-6.2695924764891052E-3"/>
                </c:manualLayout>
              </c:layout>
              <c:tx>
                <c:rich>
                  <a:bodyPr/>
                  <a:lstStyle/>
                  <a:p>
                    <a:r>
                      <a:rPr lang="en-US" sz="500"/>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0-CB54-4601-812E-5D5493BCD4A9}"/>
                </c:ext>
              </c:extLst>
            </c:dLbl>
            <c:dLbl>
              <c:idx val="112"/>
              <c:layout>
                <c:manualLayout>
                  <c:x val="-3.2258064516129031E-2"/>
                  <c:y val="-6.0606060606061343E-3"/>
                </c:manualLayout>
              </c:layout>
              <c:tx>
                <c:rich>
                  <a:bodyPr/>
                  <a:lstStyle/>
                  <a:p>
                    <a:r>
                      <a:rPr lang="en-US" sz="500"/>
                      <a:t>SWN</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1-CB54-4601-812E-5D5493BCD4A9}"/>
                </c:ext>
              </c:extLst>
            </c:dLbl>
            <c:dLbl>
              <c:idx val="123"/>
              <c:layout>
                <c:manualLayout>
                  <c:x val="-3.1404674877754536E-2"/>
                  <c:y val="-8.3594566353187051E-3"/>
                </c:manualLayout>
              </c:layout>
              <c:tx>
                <c:rich>
                  <a:bodyPr/>
                  <a:lstStyle/>
                  <a:p>
                    <a:r>
                      <a:rPr lang="en-US" sz="500"/>
                      <a:t>WSN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2-CB54-4601-812E-5D5493BCD4A9}"/>
                </c:ext>
              </c:extLst>
            </c:dLbl>
            <c:dLbl>
              <c:idx val="125"/>
              <c:layout>
                <c:manualLayout>
                  <c:x val="-2.9325513196481044E-2"/>
                  <c:y val="-6.0606060606061343E-3"/>
                </c:manualLayout>
              </c:layout>
              <c:tx>
                <c:rich>
                  <a:bodyPr/>
                  <a:lstStyle/>
                  <a:p>
                    <a:r>
                      <a:rPr lang="en-US" sz="500"/>
                      <a:t>DKN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3-CB54-4601-812E-5D5493BCD4A9}"/>
                </c:ext>
              </c:extLst>
            </c:dLbl>
            <c:dLbl>
              <c:idx val="136"/>
              <c:layout>
                <c:manualLayout>
                  <c:x val="-2.5942992290318965E-2"/>
                  <c:y val="-8.3594566353187051E-3"/>
                </c:manualLayout>
              </c:layout>
              <c:tx>
                <c:rich>
                  <a:bodyPr/>
                  <a:lstStyle/>
                  <a:p>
                    <a:r>
                      <a:rPr lang="en-US" sz="500"/>
                      <a:t>NLR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4-CB54-4601-812E-5D5493BCD4A9}"/>
                </c:ext>
              </c:extLst>
            </c:dLbl>
            <c:dLbl>
              <c:idx val="142"/>
              <c:layout>
                <c:manualLayout>
                  <c:x val="-3.3724340175953077E-2"/>
                  <c:y val="-6.0606060606061343E-3"/>
                </c:manualLayout>
              </c:layout>
              <c:tx>
                <c:rich>
                  <a:bodyPr/>
                  <a:lstStyle/>
                  <a:p>
                    <a:r>
                      <a:rPr lang="en-US" sz="500"/>
                      <a:t>MCR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5-CB54-4601-812E-5D5493BCD4A9}"/>
                </c:ext>
              </c:extLst>
            </c:dLbl>
            <c:dLbl>
              <c:idx val="146"/>
              <c:layout>
                <c:manualLayout>
                  <c:x val="-4.0962619405766785E-3"/>
                  <c:y val="-8.3594566353187051E-3"/>
                </c:manualLayout>
              </c:layout>
              <c:tx>
                <c:rich>
                  <a:bodyPr/>
                  <a:lstStyle/>
                  <a:p>
                    <a:r>
                      <a:rPr lang="en-US" sz="500"/>
                      <a:t>MPN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6-CB54-4601-812E-5D5493BCD4A9}"/>
                </c:ext>
              </c:extLst>
            </c:dLbl>
            <c:dLbl>
              <c:idx val="148"/>
              <c:layout>
                <c:manualLayout>
                  <c:x val="-2.7859237536656891E-2"/>
                  <c:y val="-6.0606060606061343E-3"/>
                </c:manualLayout>
              </c:layout>
              <c:tx>
                <c:rich>
                  <a:bodyPr/>
                  <a:lstStyle/>
                  <a:p>
                    <a:r>
                      <a:rPr lang="en-US" sz="500"/>
                      <a:t>IPA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CB54-4601-812E-5D5493BCD4A9}"/>
                </c:ext>
              </c:extLst>
            </c:dLbl>
            <c:dLbl>
              <c:idx val="161"/>
              <c:layout>
                <c:manualLayout>
                  <c:x val="-5.4616825874356711E-3"/>
                  <c:y val="-8.3594566353187051E-3"/>
                </c:manualLayout>
              </c:layout>
              <c:tx>
                <c:rich>
                  <a:bodyPr/>
                  <a:lstStyle/>
                  <a:p>
                    <a:r>
                      <a:rPr lang="en-US" sz="500"/>
                      <a:t>MCK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8-CB54-4601-812E-5D5493BCD4A9}"/>
                </c:ext>
              </c:extLst>
            </c:dLbl>
            <c:dLbl>
              <c:idx val="164"/>
              <c:layout>
                <c:manualLayout>
                  <c:x val="-3.0791788856305093E-2"/>
                  <c:y val="-6.0606060606061343E-3"/>
                </c:manualLayout>
              </c:layout>
              <c:tx>
                <c:rich>
                  <a:bodyPr/>
                  <a:lstStyle/>
                  <a:p>
                    <a:r>
                      <a:rPr lang="en-US" sz="500"/>
                      <a:t>ELA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9-CB54-4601-812E-5D5493BCD4A9}"/>
                </c:ext>
              </c:extLst>
            </c:dLbl>
            <c:dLbl>
              <c:idx val="175"/>
              <c:layout>
                <c:manualLayout>
                  <c:x val="-1.4662756598241545E-3"/>
                  <c:y val="-6.0606060606061343E-3"/>
                </c:manualLayout>
              </c:layout>
              <c:tx>
                <c:rich>
                  <a:bodyPr/>
                  <a:lstStyle/>
                  <a:p>
                    <a:r>
                      <a:rPr lang="en-US" sz="500"/>
                      <a:t>GGN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A-CB54-4601-812E-5D5493BCD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xVal>
            <c:strRef>
              <c:f>[1]Stops!$A$2:$A$250</c:f>
              <c:strCache>
                <c:ptCount val="249"/>
                <c:pt idx="0">
                  <c:v>0</c:v>
                </c:pt>
                <c:pt idx="1">
                  <c:v>6.09999999869615</c:v>
                </c:pt>
                <c:pt idx="2">
                  <c:v>#REF!</c:v>
                </c:pt>
                <c:pt idx="3">
                  <c:v>#REF!</c:v>
                </c:pt>
                <c:pt idx="4">
                  <c:v>#REF!</c:v>
                </c:pt>
                <c:pt idx="5">
                  <c:v>#REF!</c:v>
                </c:pt>
                <c:pt idx="6">
                  <c:v>#REF!</c:v>
                </c:pt>
                <c:pt idx="7">
                  <c:v>#REF!</c:v>
                </c:pt>
                <c:pt idx="8">
                  <c:v>#REF!</c:v>
                </c:pt>
                <c:pt idx="9">
                  <c:v>#REF!</c:v>
                </c:pt>
                <c:pt idx="10">
                  <c:v>#REF!</c:v>
                </c:pt>
                <c:pt idx="11">
                  <c:v>#REF!</c:v>
                </c:pt>
                <c:pt idx="12">
                  <c:v>#REF!</c:v>
                </c:pt>
                <c:pt idx="13">
                  <c:v>552.809999993769</c:v>
                </c:pt>
                <c:pt idx="14">
                  <c:v>593.83</c:v>
                </c:pt>
                <c:pt idx="15">
                  <c:v>#REF!</c:v>
                </c:pt>
                <c:pt idx="16">
                  <c:v>#REF!</c:v>
                </c:pt>
                <c:pt idx="17">
                  <c:v>#REF!</c:v>
                </c:pt>
                <c:pt idx="18">
                  <c:v>#REF!</c:v>
                </c:pt>
                <c:pt idx="19">
                  <c:v>#REF!</c:v>
                </c:pt>
                <c:pt idx="20">
                  <c:v>#REF!</c:v>
                </c:pt>
                <c:pt idx="21">
                  <c:v>#REF!</c:v>
                </c:pt>
                <c:pt idx="22">
                  <c:v>#REF!</c:v>
                </c:pt>
                <c:pt idx="23">
                  <c:v>#REF!</c:v>
                </c:pt>
                <c:pt idx="24">
                  <c:v>#REF!</c:v>
                </c:pt>
                <c:pt idx="25">
                  <c:v>#REF!</c:v>
                </c:pt>
                <c:pt idx="26">
                  <c:v>#REF!</c:v>
                </c:pt>
                <c:pt idx="27">
                  <c:v>#REF!</c:v>
                </c:pt>
                <c:pt idx="28">
                  <c:v>1325.03999999608</c:v>
                </c:pt>
                <c:pt idx="29">
                  <c:v>1361.76</c:v>
                </c:pt>
                <c:pt idx="30">
                  <c:v>#REF!</c:v>
                </c:pt>
                <c:pt idx="31">
                  <c:v>#REF!</c:v>
                </c:pt>
                <c:pt idx="32">
                  <c:v>#REF!</c:v>
                </c:pt>
                <c:pt idx="33">
                  <c:v>#REF!</c:v>
                </c:pt>
                <c:pt idx="34">
                  <c:v>#REF!</c:v>
                </c:pt>
                <c:pt idx="35">
                  <c:v>#REF!</c:v>
                </c:pt>
                <c:pt idx="36">
                  <c:v>1969.23000001698</c:v>
                </c:pt>
                <c:pt idx="37">
                  <c:v>2008.69</c:v>
                </c:pt>
                <c:pt idx="38">
                  <c:v>#REF!</c:v>
                </c:pt>
                <c:pt idx="39">
                  <c:v>#REF!</c:v>
                </c:pt>
                <c:pt idx="40">
                  <c:v>#REF!</c:v>
                </c:pt>
                <c:pt idx="41">
                  <c:v>#REF!</c:v>
                </c:pt>
                <c:pt idx="42">
                  <c:v>#REF!</c:v>
                </c:pt>
                <c:pt idx="43">
                  <c:v>#REF!</c:v>
                </c:pt>
                <c:pt idx="44">
                  <c:v>#REF!</c:v>
                </c:pt>
                <c:pt idx="45">
                  <c:v>#REF!</c:v>
                </c:pt>
                <c:pt idx="46">
                  <c:v>#REF!</c:v>
                </c:pt>
                <c:pt idx="47">
                  <c:v>#REF!</c:v>
                </c:pt>
                <c:pt idx="48">
                  <c:v>#REF!</c:v>
                </c:pt>
                <c:pt idx="49">
                  <c:v>3041.25999999815</c:v>
                </c:pt>
                <c:pt idx="50">
                  <c:v>3075.81000000937</c:v>
                </c:pt>
                <c:pt idx="51">
                  <c:v>#REF!</c:v>
                </c:pt>
                <c:pt idx="52">
                  <c:v>#REF!</c:v>
                </c:pt>
                <c:pt idx="53">
                  <c:v>#REF!</c:v>
                </c:pt>
                <c:pt idx="54">
                  <c:v>#REF!</c:v>
                </c:pt>
                <c:pt idx="55">
                  <c:v>#REF!</c:v>
                </c:pt>
                <c:pt idx="56">
                  <c:v>#REF!</c:v>
                </c:pt>
                <c:pt idx="57">
                  <c:v>#REF!</c:v>
                </c:pt>
                <c:pt idx="58">
                  <c:v>#REF!</c:v>
                </c:pt>
                <c:pt idx="59">
                  <c:v>#REF!</c:v>
                </c:pt>
                <c:pt idx="60">
                  <c:v>#REF!</c:v>
                </c:pt>
                <c:pt idx="61">
                  <c:v>3692.03000000562</c:v>
                </c:pt>
                <c:pt idx="62">
                  <c:v>3731.99</c:v>
                </c:pt>
                <c:pt idx="63">
                  <c:v>#REF!</c:v>
                </c:pt>
                <c:pt idx="64">
                  <c:v>#REF!</c:v>
                </c:pt>
                <c:pt idx="65">
                  <c:v>#REF!</c:v>
                </c:pt>
                <c:pt idx="66">
                  <c:v>#REF!</c:v>
                </c:pt>
                <c:pt idx="67">
                  <c:v>#REF!</c:v>
                </c:pt>
                <c:pt idx="68">
                  <c:v>#REF!</c:v>
                </c:pt>
                <c:pt idx="69">
                  <c:v>#REF!</c:v>
                </c:pt>
                <c:pt idx="70">
                  <c:v>#REF!</c:v>
                </c:pt>
                <c:pt idx="71">
                  <c:v>#REF!</c:v>
                </c:pt>
                <c:pt idx="72">
                  <c:v>#REF!</c:v>
                </c:pt>
                <c:pt idx="73">
                  <c:v>#REF!</c:v>
                </c:pt>
                <c:pt idx="74">
                  <c:v>#REF!</c:v>
                </c:pt>
                <c:pt idx="75">
                  <c:v>#REF!</c:v>
                </c:pt>
                <c:pt idx="76">
                  <c:v>5032.36000001198</c:v>
                </c:pt>
                <c:pt idx="77">
                  <c:v>5068.46999999834</c:v>
                </c:pt>
                <c:pt idx="78">
                  <c:v>#REF!</c:v>
                </c:pt>
                <c:pt idx="79">
                  <c:v>#REF!</c:v>
                </c:pt>
                <c:pt idx="80">
                  <c:v>#REF!</c:v>
                </c:pt>
                <c:pt idx="81">
                  <c:v>#REF!</c:v>
                </c:pt>
                <c:pt idx="82">
                  <c:v>#REF!</c:v>
                </c:pt>
                <c:pt idx="83">
                  <c:v>#REF!</c:v>
                </c:pt>
                <c:pt idx="84">
                  <c:v>#REF!</c:v>
                </c:pt>
                <c:pt idx="85">
                  <c:v>#REF!</c:v>
                </c:pt>
                <c:pt idx="86">
                  <c:v>#REF!</c:v>
                </c:pt>
                <c:pt idx="87">
                  <c:v>#REF!</c:v>
                </c:pt>
                <c:pt idx="88">
                  <c:v>#REF!</c:v>
                </c:pt>
                <c:pt idx="89">
                  <c:v>#REF!</c:v>
                </c:pt>
                <c:pt idx="90">
                  <c:v>#REF!</c:v>
                </c:pt>
                <c:pt idx="91">
                  <c:v>#REF!</c:v>
                </c:pt>
                <c:pt idx="92">
                  <c:v>5926.529999997</c:v>
                </c:pt>
                <c:pt idx="93">
                  <c:v>5960.85000000312</c:v>
                </c:pt>
                <c:pt idx="94">
                  <c:v>#REF!</c:v>
                </c:pt>
                <c:pt idx="95">
                  <c:v>#REF!</c:v>
                </c:pt>
                <c:pt idx="96">
                  <c:v>#REF!</c:v>
                </c:pt>
                <c:pt idx="97">
                  <c:v>#REF!</c:v>
                </c:pt>
                <c:pt idx="98">
                  <c:v>#REF!</c:v>
                </c:pt>
                <c:pt idx="99">
                  <c:v>#REF!</c:v>
                </c:pt>
                <c:pt idx="100">
                  <c:v>#REF!</c:v>
                </c:pt>
                <c:pt idx="101">
                  <c:v>#REF!</c:v>
                </c:pt>
                <c:pt idx="102">
                  <c:v>#REF!</c:v>
                </c:pt>
                <c:pt idx="103">
                  <c:v>#REF!</c:v>
                </c:pt>
                <c:pt idx="104">
                  <c:v>6724.69000000274</c:v>
                </c:pt>
                <c:pt idx="105">
                  <c:v>6764.29</c:v>
                </c:pt>
                <c:pt idx="106">
                  <c:v>#REF!</c:v>
                </c:pt>
                <c:pt idx="107">
                  <c:v>#REF!</c:v>
                </c:pt>
                <c:pt idx="108">
                  <c:v>#REF!</c:v>
                </c:pt>
                <c:pt idx="109">
                  <c:v>#REF!</c:v>
                </c:pt>
                <c:pt idx="110">
                  <c:v>#REF!</c:v>
                </c:pt>
                <c:pt idx="111">
                  <c:v>#REF!</c:v>
                </c:pt>
                <c:pt idx="112">
                  <c:v>#REF!</c:v>
                </c:pt>
                <c:pt idx="113">
                  <c:v>#REF!</c:v>
                </c:pt>
                <c:pt idx="114">
                  <c:v>#REF!</c:v>
                </c:pt>
                <c:pt idx="115">
                  <c:v>#REF!</c:v>
                </c:pt>
                <c:pt idx="116">
                  <c:v>#REF!</c:v>
                </c:pt>
                <c:pt idx="117">
                  <c:v>#REF!</c:v>
                </c:pt>
                <c:pt idx="118">
                  <c:v>#REF!</c:v>
                </c:pt>
                <c:pt idx="119">
                  <c:v>#REF!</c:v>
                </c:pt>
                <c:pt idx="120">
                  <c:v>#REF!</c:v>
                </c:pt>
                <c:pt idx="121">
                  <c:v>#REF!</c:v>
                </c:pt>
                <c:pt idx="122">
                  <c:v>8154.02000001632</c:v>
                </c:pt>
                <c:pt idx="123">
                  <c:v>8191.9099999941</c:v>
                </c:pt>
                <c:pt idx="124">
                  <c:v>#REF!</c:v>
                </c:pt>
                <c:pt idx="125">
                  <c:v>#REF!</c:v>
                </c:pt>
                <c:pt idx="126">
                  <c:v>#REF!</c:v>
                </c:pt>
                <c:pt idx="127">
                  <c:v>#REF!</c:v>
                </c:pt>
                <c:pt idx="128">
                  <c:v>#REF!</c:v>
                </c:pt>
                <c:pt idx="129">
                  <c:v>#REF!</c:v>
                </c:pt>
                <c:pt idx="130">
                  <c:v>#REF!</c:v>
                </c:pt>
                <c:pt idx="131">
                  <c:v>#REF!</c:v>
                </c:pt>
                <c:pt idx="132">
                  <c:v>#REF!</c:v>
                </c:pt>
                <c:pt idx="133">
                  <c:v>#REF!</c:v>
                </c:pt>
                <c:pt idx="134">
                  <c:v>#REF!</c:v>
                </c:pt>
                <c:pt idx="135">
                  <c:v>#REF!</c:v>
                </c:pt>
                <c:pt idx="136">
                  <c:v>9130.08999999147</c:v>
                </c:pt>
                <c:pt idx="137">
                  <c:v>9164.81000001659</c:v>
                </c:pt>
                <c:pt idx="138">
                  <c:v>#REF!</c:v>
                </c:pt>
                <c:pt idx="139">
                  <c:v>#REF!</c:v>
                </c:pt>
                <c:pt idx="140">
                  <c:v>#REF!</c:v>
                </c:pt>
                <c:pt idx="141">
                  <c:v>#REF!</c:v>
                </c:pt>
                <c:pt idx="142">
                  <c:v>#REF!</c:v>
                </c:pt>
                <c:pt idx="143">
                  <c:v>#REF!</c:v>
                </c:pt>
                <c:pt idx="144">
                  <c:v>#REF!</c:v>
                </c:pt>
                <c:pt idx="145">
                  <c:v>#REF!</c:v>
                </c:pt>
                <c:pt idx="146">
                  <c:v>9915.42000000481</c:v>
                </c:pt>
                <c:pt idx="147">
                  <c:v>9956.91</c:v>
                </c:pt>
                <c:pt idx="148">
                  <c:v>#REF!</c:v>
                </c:pt>
                <c:pt idx="149">
                  <c:v>#REF!</c:v>
                </c:pt>
                <c:pt idx="150">
                  <c:v>#REF!</c:v>
                </c:pt>
                <c:pt idx="151">
                  <c:v>#REF!</c:v>
                </c:pt>
                <c:pt idx="152">
                  <c:v>#REF!</c:v>
                </c:pt>
                <c:pt idx="153">
                  <c:v>#REF!</c:v>
                </c:pt>
                <c:pt idx="154">
                  <c:v>#REF!</c:v>
                </c:pt>
                <c:pt idx="155">
                  <c:v>#REF!</c:v>
                </c:pt>
                <c:pt idx="156">
                  <c:v>#REF!</c:v>
                </c:pt>
                <c:pt idx="157">
                  <c:v>#REF!</c:v>
                </c:pt>
                <c:pt idx="158">
                  <c:v>#REF!</c:v>
                </c:pt>
                <c:pt idx="159">
                  <c:v>#REF!</c:v>
                </c:pt>
                <c:pt idx="160">
                  <c:v>#REF!</c:v>
                </c:pt>
                <c:pt idx="161">
                  <c:v>11123.2900000177</c:v>
                </c:pt>
                <c:pt idx="162">
                  <c:v>11160.96</c:v>
                </c:pt>
                <c:pt idx="163">
                  <c:v>#REF!</c:v>
                </c:pt>
                <c:pt idx="164">
                  <c:v>#REF!</c:v>
                </c:pt>
                <c:pt idx="165">
                  <c:v>#REF!</c:v>
                </c:pt>
                <c:pt idx="166">
                  <c:v>#REF!</c:v>
                </c:pt>
                <c:pt idx="167">
                  <c:v>#REF!</c:v>
                </c:pt>
                <c:pt idx="168">
                  <c:v>#REF!</c:v>
                </c:pt>
                <c:pt idx="169">
                  <c:v>#REF!</c:v>
                </c:pt>
                <c:pt idx="170">
                  <c:v>#REF!</c:v>
                </c:pt>
                <c:pt idx="171">
                  <c:v>#REF!</c:v>
                </c:pt>
                <c:pt idx="172">
                  <c:v>#REF!</c:v>
                </c:pt>
                <c:pt idx="173">
                  <c:v>#REF!</c:v>
                </c:pt>
                <c:pt idx="174">
                  <c:v>11867.2599999991</c:v>
                </c:pt>
                <c:pt idx="175">
                  <c:v>11901.0500000149</c:v>
                </c:pt>
                <c:pt idx="176">
                  <c:v>#REF!</c:v>
                </c:pt>
                <c:pt idx="177">
                  <c:v>#REF!</c:v>
                </c:pt>
                <c:pt idx="178">
                  <c:v>#REF!</c:v>
                </c:pt>
                <c:pt idx="179">
                  <c:v>#REF!</c:v>
                </c:pt>
                <c:pt idx="180">
                  <c:v>#REF!</c:v>
                </c:pt>
                <c:pt idx="181">
                  <c:v>#REF!</c:v>
                </c:pt>
                <c:pt idx="182">
                  <c:v>#REF!</c:v>
                </c:pt>
                <c:pt idx="183">
                  <c:v>#REF!</c:v>
                </c:pt>
                <c:pt idx="184">
                  <c:v>#REF!</c:v>
                </c:pt>
                <c:pt idx="185">
                  <c:v>#REF!</c:v>
                </c:pt>
                <c:pt idx="186">
                  <c:v>#REF!</c:v>
                </c:pt>
                <c:pt idx="187">
                  <c:v>#REF!</c:v>
                </c:pt>
                <c:pt idx="188">
                  <c:v>#REF!</c:v>
                </c:pt>
                <c:pt idx="189">
                  <c:v>#REF!</c:v>
                </c:pt>
                <c:pt idx="190">
                  <c:v>#REF!</c:v>
                </c:pt>
                <c:pt idx="191">
                  <c:v>#REF!</c:v>
                </c:pt>
                <c:pt idx="192">
                  <c:v>#REF!</c:v>
                </c:pt>
                <c:pt idx="193">
                  <c:v>#REF!</c:v>
                </c:pt>
                <c:pt idx="194">
                  <c:v>#REF!</c:v>
                </c:pt>
                <c:pt idx="195">
                  <c:v>#REF!</c:v>
                </c:pt>
                <c:pt idx="196">
                  <c:v>#REF!</c:v>
                </c:pt>
                <c:pt idx="197">
                  <c:v>#REF!</c:v>
                </c:pt>
                <c:pt idx="198">
                  <c:v>#REF!</c:v>
                </c:pt>
                <c:pt idx="199">
                  <c:v>#REF!</c:v>
                </c:pt>
                <c:pt idx="200">
                  <c:v>#REF!</c:v>
                </c:pt>
                <c:pt idx="201">
                  <c:v>#REF!</c:v>
                </c:pt>
                <c:pt idx="202">
                  <c:v>#REF!</c:v>
                </c:pt>
                <c:pt idx="203">
                  <c:v>#REF!</c:v>
                </c:pt>
                <c:pt idx="204">
                  <c:v>#REF!</c:v>
                </c:pt>
                <c:pt idx="205">
                  <c:v>#REF!</c:v>
                </c:pt>
                <c:pt idx="206">
                  <c:v>#REF!</c:v>
                </c:pt>
                <c:pt idx="207">
                  <c:v>#REF!</c:v>
                </c:pt>
                <c:pt idx="208">
                  <c:v>#REF!</c:v>
                </c:pt>
                <c:pt idx="209">
                  <c:v>#REF!</c:v>
                </c:pt>
                <c:pt idx="210">
                  <c:v>#REF!</c:v>
                </c:pt>
                <c:pt idx="211">
                  <c:v>#REF!</c:v>
                </c:pt>
                <c:pt idx="212">
                  <c:v>#REF!</c:v>
                </c:pt>
                <c:pt idx="213">
                  <c:v>#REF!</c:v>
                </c:pt>
                <c:pt idx="214">
                  <c:v>#REF!</c:v>
                </c:pt>
                <c:pt idx="215">
                  <c:v>#REF!</c:v>
                </c:pt>
                <c:pt idx="216">
                  <c:v>#REF!</c:v>
                </c:pt>
                <c:pt idx="217">
                  <c:v>#REF!</c:v>
                </c:pt>
                <c:pt idx="218">
                  <c:v>#REF!</c:v>
                </c:pt>
                <c:pt idx="219">
                  <c:v>#REF!</c:v>
                </c:pt>
                <c:pt idx="220">
                  <c:v>#REF!</c:v>
                </c:pt>
                <c:pt idx="221">
                  <c:v>#REF!</c:v>
                </c:pt>
                <c:pt idx="222">
                  <c:v>#REF!</c:v>
                </c:pt>
                <c:pt idx="223">
                  <c:v>#REF!</c:v>
                </c:pt>
                <c:pt idx="224">
                  <c:v>#REF!</c:v>
                </c:pt>
                <c:pt idx="225">
                  <c:v>#REF!</c:v>
                </c:pt>
                <c:pt idx="226">
                  <c:v>#REF!</c:v>
                </c:pt>
                <c:pt idx="227">
                  <c:v>#REF!</c:v>
                </c:pt>
                <c:pt idx="228">
                  <c:v>#REF!</c:v>
                </c:pt>
                <c:pt idx="229">
                  <c:v>#REF!</c:v>
                </c:pt>
                <c:pt idx="230">
                  <c:v>#REF!</c:v>
                </c:pt>
                <c:pt idx="231">
                  <c:v>#REF!</c:v>
                </c:pt>
                <c:pt idx="232">
                  <c:v>#REF!</c:v>
                </c:pt>
                <c:pt idx="233">
                  <c:v>#REF!</c:v>
                </c:pt>
                <c:pt idx="234">
                  <c:v>#REF!</c:v>
                </c:pt>
                <c:pt idx="235">
                  <c:v>#REF!</c:v>
                </c:pt>
                <c:pt idx="236">
                  <c:v>#REF!</c:v>
                </c:pt>
                <c:pt idx="237">
                  <c:v>#REF!</c:v>
                </c:pt>
                <c:pt idx="238">
                  <c:v>#REF!</c:v>
                </c:pt>
                <c:pt idx="239">
                  <c:v>#REF!</c:v>
                </c:pt>
                <c:pt idx="240">
                  <c:v>#REF!</c:v>
                </c:pt>
                <c:pt idx="241">
                  <c:v>#REF!</c:v>
                </c:pt>
                <c:pt idx="242">
                  <c:v>#REF!</c:v>
                </c:pt>
                <c:pt idx="243">
                  <c:v>#REF!</c:v>
                </c:pt>
                <c:pt idx="244">
                  <c:v>#REF!</c:v>
                </c:pt>
                <c:pt idx="245">
                  <c:v>#REF!</c:v>
                </c:pt>
                <c:pt idx="246">
                  <c:v>#REF!</c:v>
                </c:pt>
                <c:pt idx="247">
                  <c:v>#REF!</c:v>
                </c:pt>
                <c:pt idx="248">
                  <c:v>#REF!</c:v>
                </c:pt>
              </c:strCache>
            </c:strRef>
          </c:xVal>
          <c:yVal>
            <c:numRef>
              <c:f>[1]Stops!$B$2:$B$250</c:f>
              <c:numCache>
                <c:formatCode>General</c:formatCode>
                <c:ptCount val="249"/>
                <c:pt idx="0">
                  <c:v>15</c:v>
                </c:pt>
                <c:pt idx="1">
                  <c:v>15</c:v>
                </c:pt>
                <c:pt idx="13">
                  <c:v>30</c:v>
                </c:pt>
                <c:pt idx="14">
                  <c:v>30</c:v>
                </c:pt>
                <c:pt idx="28">
                  <c:v>30</c:v>
                </c:pt>
                <c:pt idx="29">
                  <c:v>30</c:v>
                </c:pt>
                <c:pt idx="36">
                  <c:v>30</c:v>
                </c:pt>
                <c:pt idx="37">
                  <c:v>30</c:v>
                </c:pt>
                <c:pt idx="49">
                  <c:v>25</c:v>
                </c:pt>
                <c:pt idx="50">
                  <c:v>25</c:v>
                </c:pt>
                <c:pt idx="61">
                  <c:v>30</c:v>
                </c:pt>
                <c:pt idx="62">
                  <c:v>30</c:v>
                </c:pt>
                <c:pt idx="76">
                  <c:v>30</c:v>
                </c:pt>
                <c:pt idx="77">
                  <c:v>30</c:v>
                </c:pt>
                <c:pt idx="92">
                  <c:v>30</c:v>
                </c:pt>
                <c:pt idx="93">
                  <c:v>30</c:v>
                </c:pt>
                <c:pt idx="104">
                  <c:v>25</c:v>
                </c:pt>
                <c:pt idx="105">
                  <c:v>25</c:v>
                </c:pt>
                <c:pt idx="122">
                  <c:v>30</c:v>
                </c:pt>
                <c:pt idx="123">
                  <c:v>30</c:v>
                </c:pt>
                <c:pt idx="136">
                  <c:v>30</c:v>
                </c:pt>
                <c:pt idx="137">
                  <c:v>30</c:v>
                </c:pt>
                <c:pt idx="146">
                  <c:v>30</c:v>
                </c:pt>
                <c:pt idx="147">
                  <c:v>30</c:v>
                </c:pt>
                <c:pt idx="161">
                  <c:v>30</c:v>
                </c:pt>
                <c:pt idx="162">
                  <c:v>30</c:v>
                </c:pt>
                <c:pt idx="174">
                  <c:v>15</c:v>
                </c:pt>
                <c:pt idx="175">
                  <c:v>15</c:v>
                </c:pt>
              </c:numCache>
            </c:numRef>
          </c:yVal>
          <c:smooth val="0"/>
          <c:extLst>
            <c:ext xmlns:c16="http://schemas.microsoft.com/office/drawing/2014/chart" uri="{C3380CC4-5D6E-409C-BE32-E72D297353CC}">
              <c16:uniqueId val="{000000CB-CB54-4601-812E-5D5493BCD4A9}"/>
            </c:ext>
          </c:extLst>
        </c:ser>
        <c:dLbls>
          <c:showLegendKey val="0"/>
          <c:showVal val="0"/>
          <c:showCatName val="0"/>
          <c:showSerName val="0"/>
          <c:showPercent val="0"/>
          <c:showBubbleSize val="0"/>
        </c:dLbls>
        <c:axId val="510959480"/>
        <c:axId val="510956528"/>
        <c:extLst/>
      </c:scatterChart>
      <c:valAx>
        <c:axId val="510959480"/>
        <c:scaling>
          <c:orientation val="minMax"/>
          <c:max val="12000"/>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AU"/>
                  <a:t>DISTANCE (M)</a:t>
                </a:r>
              </a:p>
            </c:rich>
          </c:tx>
          <c:layout>
            <c:manualLayout>
              <c:xMode val="edge"/>
              <c:yMode val="edge"/>
              <c:x val="0.47068017193118755"/>
              <c:y val="0.7620867375904031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lt1">
                <a:lumMod val="50000"/>
              </a:schemeClr>
            </a:solidFill>
          </a:ln>
          <a:effectLst/>
        </c:spPr>
        <c:txPr>
          <a:bodyPr rot="-5400000" spcFirstLastPara="1" vertOverflow="ellipsis" wrap="square" anchor="ctr" anchorCtr="1"/>
          <a:lstStyle/>
          <a:p>
            <a:pPr>
              <a:defRPr sz="800" b="0" i="0" u="none" strike="noStrike" kern="1200" baseline="0">
                <a:solidFill>
                  <a:schemeClr val="lt1">
                    <a:lumMod val="75000"/>
                  </a:schemeClr>
                </a:solidFill>
                <a:latin typeface="+mn-lt"/>
                <a:ea typeface="+mn-ea"/>
                <a:cs typeface="+mn-cs"/>
              </a:defRPr>
            </a:pPr>
            <a:endParaRPr lang="en-US"/>
          </a:p>
        </c:txPr>
        <c:crossAx val="510956528"/>
        <c:crosses val="autoZero"/>
        <c:crossBetween val="midCat"/>
        <c:majorUnit val="250"/>
      </c:valAx>
      <c:valAx>
        <c:axId val="510956528"/>
        <c:scaling>
          <c:orientation val="minMax"/>
          <c:max val="75"/>
          <c:min val="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AU"/>
                  <a:t>SPEED (KM/H)</a:t>
                </a:r>
              </a:p>
            </c:rich>
          </c:tx>
          <c:layout>
            <c:manualLayout>
              <c:xMode val="edge"/>
              <c:yMode val="edge"/>
              <c:x val="7.7182821116026047E-3"/>
              <c:y val="0.3667686915311134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959480"/>
        <c:crosses val="autoZero"/>
        <c:crossBetween val="midCat"/>
      </c:valAx>
      <c:spPr>
        <a:noFill/>
        <a:ln>
          <a:noFill/>
        </a:ln>
        <a:effectLst/>
      </c:spPr>
    </c:plotArea>
    <c:legend>
      <c:legendPos val="b"/>
      <c:layout>
        <c:manualLayout>
          <c:xMode val="edge"/>
          <c:yMode val="edge"/>
          <c:x val="0.36241319220343354"/>
          <c:y val="0.79963842124336981"/>
          <c:w val="0.29131840824636662"/>
          <c:h val="3.52667045146002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9973227267454876E-2"/>
          <c:y val="0.11130138918393716"/>
          <c:w val="0.89956665622322252"/>
          <c:h val="0.67180733213301902"/>
        </c:manualLayout>
      </c:layout>
      <c:scatterChart>
        <c:scatterStyle val="lineMarker"/>
        <c:varyColors val="0"/>
        <c:ser>
          <c:idx val="0"/>
          <c:order val="0"/>
          <c:tx>
            <c:v>LRV</c:v>
          </c:tx>
          <c:spPr>
            <a:ln w="15875" cap="rnd">
              <a:solidFill>
                <a:srgbClr val="FF0000"/>
              </a:solidFill>
              <a:round/>
            </a:ln>
            <a:effectLst>
              <a:outerShdw blurRad="57150" dist="19050" dir="5400000" algn="ctr" rotWithShape="0">
                <a:srgbClr val="000000">
                  <a:alpha val="63000"/>
                </a:srgbClr>
              </a:outerShdw>
            </a:effectLst>
          </c:spPr>
          <c:marker>
            <c:symbol val="none"/>
          </c:marker>
          <c:xVal>
            <c:numRef>
              <c:f>Calculations!$K$2:$K$2000</c:f>
              <c:numCache>
                <c:formatCode>0</c:formatCode>
                <c:ptCount val="1999"/>
                <c:pt idx="0">
                  <c:v>#N/A</c:v>
                </c:pt>
                <c:pt idx="1">
                  <c:v>#N/A</c:v>
                </c:pt>
                <c:pt idx="2">
                  <c:v>1</c:v>
                </c:pt>
                <c:pt idx="3">
                  <c:v>#N/A</c:v>
                </c:pt>
                <c:pt idx="4">
                  <c:v>6</c:v>
                </c:pt>
                <c:pt idx="5">
                  <c:v>9</c:v>
                </c:pt>
                <c:pt idx="6">
                  <c:v>12</c:v>
                </c:pt>
                <c:pt idx="7">
                  <c:v>12</c:v>
                </c:pt>
                <c:pt idx="8">
                  <c:v>19</c:v>
                </c:pt>
                <c:pt idx="9">
                  <c:v>22</c:v>
                </c:pt>
                <c:pt idx="10">
                  <c:v>26</c:v>
                </c:pt>
                <c:pt idx="11">
                  <c:v>29</c:v>
                </c:pt>
                <c:pt idx="12">
                  <c:v>33</c:v>
                </c:pt>
                <c:pt idx="13">
                  <c:v>37</c:v>
                </c:pt>
                <c:pt idx="14">
                  <c:v>42</c:v>
                </c:pt>
                <c:pt idx="15">
                  <c:v>46</c:v>
                </c:pt>
                <c:pt idx="16">
                  <c:v>50</c:v>
                </c:pt>
                <c:pt idx="17">
                  <c:v>50</c:v>
                </c:pt>
                <c:pt idx="18">
                  <c:v>60</c:v>
                </c:pt>
                <c:pt idx="19">
                  <c:v>65</c:v>
                </c:pt>
                <c:pt idx="20">
                  <c:v>71</c:v>
                </c:pt>
                <c:pt idx="21">
                  <c:v>76</c:v>
                </c:pt>
                <c:pt idx="22">
                  <c:v>77</c:v>
                </c:pt>
                <c:pt idx="23">
                  <c:v>77</c:v>
                </c:pt>
                <c:pt idx="24">
                  <c:v>77</c:v>
                </c:pt>
                <c:pt idx="25">
                  <c:v>91</c:v>
                </c:pt>
                <c:pt idx="26">
                  <c:v>100</c:v>
                </c:pt>
                <c:pt idx="27">
                  <c:v>109</c:v>
                </c:pt>
                <c:pt idx="28">
                  <c:v>117</c:v>
                </c:pt>
                <c:pt idx="29">
                  <c:v>127</c:v>
                </c:pt>
                <c:pt idx="30">
                  <c:v>136</c:v>
                </c:pt>
                <c:pt idx="31">
                  <c:v>146</c:v>
                </c:pt>
                <c:pt idx="32">
                  <c:v>152</c:v>
                </c:pt>
                <c:pt idx="33">
                  <c:v>164</c:v>
                </c:pt>
                <c:pt idx="34">
                  <c:v>164</c:v>
                </c:pt>
                <c:pt idx="35">
                  <c:v>173</c:v>
                </c:pt>
                <c:pt idx="36">
                  <c:v>180</c:v>
                </c:pt>
                <c:pt idx="37">
                  <c:v>185</c:v>
                </c:pt>
                <c:pt idx="38">
                  <c:v>185</c:v>
                </c:pt>
                <c:pt idx="39">
                  <c:v>185</c:v>
                </c:pt>
                <c:pt idx="40">
                  <c:v>#N/A</c:v>
                </c:pt>
                <c:pt idx="41">
                  <c:v>204</c:v>
                </c:pt>
                <c:pt idx="42">
                  <c:v>211</c:v>
                </c:pt>
                <c:pt idx="43">
                  <c:v>219</c:v>
                </c:pt>
                <c:pt idx="44">
                  <c:v>220</c:v>
                </c:pt>
                <c:pt idx="45">
                  <c:v>220</c:v>
                </c:pt>
                <c:pt idx="46">
                  <c:v>237</c:v>
                </c:pt>
                <c:pt idx="47">
                  <c:v>246</c:v>
                </c:pt>
                <c:pt idx="48">
                  <c:v>254</c:v>
                </c:pt>
                <c:pt idx="49">
                  <c:v>254</c:v>
                </c:pt>
                <c:pt idx="50">
                  <c:v>265</c:v>
                </c:pt>
                <c:pt idx="51">
                  <c:v>276</c:v>
                </c:pt>
                <c:pt idx="52">
                  <c:v>278</c:v>
                </c:pt>
                <c:pt idx="53">
                  <c:v>278</c:v>
                </c:pt>
                <c:pt idx="54">
                  <c:v>304</c:v>
                </c:pt>
                <c:pt idx="55">
                  <c:v>318</c:v>
                </c:pt>
                <c:pt idx="56">
                  <c:v>331</c:v>
                </c:pt>
                <c:pt idx="57">
                  <c:v>332</c:v>
                </c:pt>
                <c:pt idx="58">
                  <c:v>332</c:v>
                </c:pt>
                <c:pt idx="59">
                  <c:v>360</c:v>
                </c:pt>
                <c:pt idx="60">
                  <c:v>365</c:v>
                </c:pt>
                <c:pt idx="61">
                  <c:v>365</c:v>
                </c:pt>
                <c:pt idx="62">
                  <c:v>365</c:v>
                </c:pt>
                <c:pt idx="63">
                  <c:v>377</c:v>
                </c:pt>
                <c:pt idx="64">
                  <c:v>377</c:v>
                </c:pt>
                <c:pt idx="65">
                  <c:v>377</c:v>
                </c:pt>
                <c:pt idx="66">
                  <c:v>397</c:v>
                </c:pt>
                <c:pt idx="67">
                  <c:v>430</c:v>
                </c:pt>
                <c:pt idx="68">
                  <c:v>432</c:v>
                </c:pt>
                <c:pt idx="69">
                  <c:v>432</c:v>
                </c:pt>
                <c:pt idx="70">
                  <c:v>432</c:v>
                </c:pt>
                <c:pt idx="71">
                  <c:v>469</c:v>
                </c:pt>
                <c:pt idx="72">
                  <c:v>481</c:v>
                </c:pt>
                <c:pt idx="73">
                  <c:v>492</c:v>
                </c:pt>
                <c:pt idx="74">
                  <c:v>493</c:v>
                </c:pt>
                <c:pt idx="75">
                  <c:v>493</c:v>
                </c:pt>
                <c:pt idx="76">
                  <c:v>514</c:v>
                </c:pt>
                <c:pt idx="77">
                  <c:v>524</c:v>
                </c:pt>
                <c:pt idx="78">
                  <c:v>533</c:v>
                </c:pt>
                <c:pt idx="79">
                  <c:v>542</c:v>
                </c:pt>
                <c:pt idx="80">
                  <c:v>542</c:v>
                </c:pt>
                <c:pt idx="81">
                  <c:v>551</c:v>
                </c:pt>
                <c:pt idx="82">
                  <c:v>551</c:v>
                </c:pt>
                <c:pt idx="83">
                  <c:v>558</c:v>
                </c:pt>
                <c:pt idx="84">
                  <c:v>565</c:v>
                </c:pt>
                <c:pt idx="85">
                  <c:v>572</c:v>
                </c:pt>
                <c:pt idx="86">
                  <c:v>577</c:v>
                </c:pt>
                <c:pt idx="87">
                  <c:v>582</c:v>
                </c:pt>
                <c:pt idx="88">
                  <c:v>586</c:v>
                </c:pt>
                <c:pt idx="89">
                  <c:v>589</c:v>
                </c:pt>
                <c:pt idx="90">
                  <c:v>590</c:v>
                </c:pt>
                <c:pt idx="91">
                  <c:v>591</c:v>
                </c:pt>
                <c:pt idx="92">
                  <c:v>591</c:v>
                </c:pt>
                <c:pt idx="93">
                  <c:v>#N/A</c:v>
                </c:pt>
                <c:pt idx="94">
                  <c:v>594</c:v>
                </c:pt>
                <c:pt idx="95">
                  <c:v>594</c:v>
                </c:pt>
                <c:pt idx="96">
                  <c:v>#N/A</c:v>
                </c:pt>
                <c:pt idx="97">
                  <c:v>#N/A</c:v>
                </c:pt>
                <c:pt idx="98">
                  <c:v>#N/A</c:v>
                </c:pt>
                <c:pt idx="99">
                  <c:v>#N/A</c:v>
                </c:pt>
                <c:pt idx="100">
                  <c:v>#N/A</c:v>
                </c:pt>
                <c:pt idx="101">
                  <c:v>597</c:v>
                </c:pt>
                <c:pt idx="102">
                  <c:v>602</c:v>
                </c:pt>
                <c:pt idx="103">
                  <c:v>606</c:v>
                </c:pt>
                <c:pt idx="104">
                  <c:v>606</c:v>
                </c:pt>
                <c:pt idx="105">
                  <c:v>606</c:v>
                </c:pt>
                <c:pt idx="106">
                  <c:v>615</c:v>
                </c:pt>
                <c:pt idx="107">
                  <c:v>623</c:v>
                </c:pt>
                <c:pt idx="108">
                  <c:v>632</c:v>
                </c:pt>
                <c:pt idx="109">
                  <c:v>642</c:v>
                </c:pt>
                <c:pt idx="110">
                  <c:v>653</c:v>
                </c:pt>
                <c:pt idx="111">
                  <c:v>662</c:v>
                </c:pt>
                <c:pt idx="112">
                  <c:v>662</c:v>
                </c:pt>
                <c:pt idx="113">
                  <c:v>666</c:v>
                </c:pt>
                <c:pt idx="114">
                  <c:v>666</c:v>
                </c:pt>
                <c:pt idx="115">
                  <c:v>#N/A</c:v>
                </c:pt>
                <c:pt idx="116">
                  <c:v>702</c:v>
                </c:pt>
                <c:pt idx="117">
                  <c:v>710</c:v>
                </c:pt>
                <c:pt idx="118">
                  <c:v>710</c:v>
                </c:pt>
                <c:pt idx="119">
                  <c:v>718</c:v>
                </c:pt>
                <c:pt idx="120">
                  <c:v>718</c:v>
                </c:pt>
                <c:pt idx="121">
                  <c:v>727</c:v>
                </c:pt>
                <c:pt idx="122">
                  <c:v>727</c:v>
                </c:pt>
                <c:pt idx="123">
                  <c:v>751</c:v>
                </c:pt>
                <c:pt idx="124">
                  <c:v>761</c:v>
                </c:pt>
                <c:pt idx="125">
                  <c:v>772</c:v>
                </c:pt>
                <c:pt idx="126">
                  <c:v>785</c:v>
                </c:pt>
                <c:pt idx="127">
                  <c:v>794</c:v>
                </c:pt>
                <c:pt idx="128">
                  <c:v>802</c:v>
                </c:pt>
                <c:pt idx="129">
                  <c:v>804</c:v>
                </c:pt>
                <c:pt idx="130">
                  <c:v>804</c:v>
                </c:pt>
                <c:pt idx="131">
                  <c:v>804</c:v>
                </c:pt>
                <c:pt idx="132">
                  <c:v>804</c:v>
                </c:pt>
                <c:pt idx="133">
                  <c:v>834</c:v>
                </c:pt>
                <c:pt idx="134">
                  <c:v>855</c:v>
                </c:pt>
                <c:pt idx="135">
                  <c:v>865</c:v>
                </c:pt>
                <c:pt idx="136">
                  <c:v>874</c:v>
                </c:pt>
                <c:pt idx="137">
                  <c:v>885</c:v>
                </c:pt>
                <c:pt idx="138">
                  <c:v>895</c:v>
                </c:pt>
                <c:pt idx="139">
                  <c:v>905</c:v>
                </c:pt>
                <c:pt idx="140">
                  <c:v>915</c:v>
                </c:pt>
                <c:pt idx="141">
                  <c:v>926</c:v>
                </c:pt>
                <c:pt idx="142">
                  <c:v>926</c:v>
                </c:pt>
                <c:pt idx="143">
                  <c:v>954</c:v>
                </c:pt>
                <c:pt idx="144">
                  <c:v>955</c:v>
                </c:pt>
                <c:pt idx="145">
                  <c:v>955</c:v>
                </c:pt>
                <c:pt idx="146">
                  <c:v>983</c:v>
                </c:pt>
                <c:pt idx="147">
                  <c:v>983</c:v>
                </c:pt>
                <c:pt idx="148">
                  <c:v>996</c:v>
                </c:pt>
                <c:pt idx="149">
                  <c:v>1011</c:v>
                </c:pt>
                <c:pt idx="150">
                  <c:v>1011</c:v>
                </c:pt>
                <c:pt idx="151">
                  <c:v>1027</c:v>
                </c:pt>
                <c:pt idx="152">
                  <c:v>1028</c:v>
                </c:pt>
                <c:pt idx="153">
                  <c:v>1028</c:v>
                </c:pt>
                <c:pt idx="154">
                  <c:v>1057</c:v>
                </c:pt>
                <c:pt idx="155">
                  <c:v>1073</c:v>
                </c:pt>
                <c:pt idx="156">
                  <c:v>1088</c:v>
                </c:pt>
                <c:pt idx="157">
                  <c:v>1102</c:v>
                </c:pt>
                <c:pt idx="158">
                  <c:v>1103</c:v>
                </c:pt>
                <c:pt idx="159">
                  <c:v>1103</c:v>
                </c:pt>
                <c:pt idx="160">
                  <c:v>1132</c:v>
                </c:pt>
                <c:pt idx="161">
                  <c:v>1142</c:v>
                </c:pt>
                <c:pt idx="162">
                  <c:v>1142</c:v>
                </c:pt>
                <c:pt idx="163">
                  <c:v>1151</c:v>
                </c:pt>
                <c:pt idx="164">
                  <c:v>1151</c:v>
                </c:pt>
                <c:pt idx="165">
                  <c:v>1176</c:v>
                </c:pt>
                <c:pt idx="166">
                  <c:v>1191</c:v>
                </c:pt>
                <c:pt idx="167">
                  <c:v>1204</c:v>
                </c:pt>
                <c:pt idx="168">
                  <c:v>1216</c:v>
                </c:pt>
                <c:pt idx="169">
                  <c:v>1216</c:v>
                </c:pt>
                <c:pt idx="170">
                  <c:v>#N/A</c:v>
                </c:pt>
                <c:pt idx="171">
                  <c:v>1239</c:v>
                </c:pt>
                <c:pt idx="172">
                  <c:v>1239</c:v>
                </c:pt>
                <c:pt idx="173">
                  <c:v>1250</c:v>
                </c:pt>
                <c:pt idx="174">
                  <c:v>1252</c:v>
                </c:pt>
                <c:pt idx="175">
                  <c:v>1252</c:v>
                </c:pt>
                <c:pt idx="176">
                  <c:v>1252</c:v>
                </c:pt>
                <c:pt idx="177">
                  <c:v>1271</c:v>
                </c:pt>
                <c:pt idx="178">
                  <c:v>1272</c:v>
                </c:pt>
                <c:pt idx="179">
                  <c:v>1272</c:v>
                </c:pt>
                <c:pt idx="180">
                  <c:v>1291</c:v>
                </c:pt>
                <c:pt idx="181">
                  <c:v>1292</c:v>
                </c:pt>
                <c:pt idx="182">
                  <c:v>1292</c:v>
                </c:pt>
                <c:pt idx="183">
                  <c:v>1310</c:v>
                </c:pt>
                <c:pt idx="184">
                  <c:v>1317</c:v>
                </c:pt>
                <c:pt idx="185">
                  <c:v>1325</c:v>
                </c:pt>
                <c:pt idx="186">
                  <c:v>1332</c:v>
                </c:pt>
                <c:pt idx="187">
                  <c:v>1339</c:v>
                </c:pt>
                <c:pt idx="188">
                  <c:v>1344</c:v>
                </c:pt>
                <c:pt idx="189">
                  <c:v>1349</c:v>
                </c:pt>
                <c:pt idx="190">
                  <c:v>1353</c:v>
                </c:pt>
                <c:pt idx="191">
                  <c:v>1353</c:v>
                </c:pt>
                <c:pt idx="192">
                  <c:v>#N/A</c:v>
                </c:pt>
                <c:pt idx="193">
                  <c:v>1358</c:v>
                </c:pt>
                <c:pt idx="194">
                  <c:v>1359</c:v>
                </c:pt>
                <c:pt idx="195">
                  <c:v>1360</c:v>
                </c:pt>
                <c:pt idx="196">
                  <c:v>#N/A</c:v>
                </c:pt>
                <c:pt idx="197">
                  <c:v>#N/A</c:v>
                </c:pt>
                <c:pt idx="198">
                  <c:v>#N/A</c:v>
                </c:pt>
                <c:pt idx="199">
                  <c:v>#N/A</c:v>
                </c:pt>
                <c:pt idx="200">
                  <c:v>1362</c:v>
                </c:pt>
                <c:pt idx="201">
                  <c:v>1364</c:v>
                </c:pt>
                <c:pt idx="202">
                  <c:v>1364</c:v>
                </c:pt>
                <c:pt idx="203">
                  <c:v>1367</c:v>
                </c:pt>
                <c:pt idx="204">
                  <c:v>1367</c:v>
                </c:pt>
                <c:pt idx="205">
                  <c:v>1375</c:v>
                </c:pt>
                <c:pt idx="206">
                  <c:v>1382</c:v>
                </c:pt>
                <c:pt idx="207">
                  <c:v>1390</c:v>
                </c:pt>
                <c:pt idx="208">
                  <c:v>1399</c:v>
                </c:pt>
                <c:pt idx="209">
                  <c:v>1410</c:v>
                </c:pt>
                <c:pt idx="210">
                  <c:v>1421</c:v>
                </c:pt>
                <c:pt idx="211">
                  <c:v>1433</c:v>
                </c:pt>
                <c:pt idx="212">
                  <c:v>1447</c:v>
                </c:pt>
                <c:pt idx="213">
                  <c:v>1459</c:v>
                </c:pt>
                <c:pt idx="214">
                  <c:v>1472</c:v>
                </c:pt>
                <c:pt idx="215">
                  <c:v>1486</c:v>
                </c:pt>
                <c:pt idx="216">
                  <c:v>1500</c:v>
                </c:pt>
                <c:pt idx="217">
                  <c:v>1515</c:v>
                </c:pt>
                <c:pt idx="218">
                  <c:v>1516</c:v>
                </c:pt>
                <c:pt idx="219">
                  <c:v>1516</c:v>
                </c:pt>
                <c:pt idx="220">
                  <c:v>1544</c:v>
                </c:pt>
                <c:pt idx="221">
                  <c:v>1544</c:v>
                </c:pt>
                <c:pt idx="222">
                  <c:v>1575</c:v>
                </c:pt>
                <c:pt idx="223">
                  <c:v>1577</c:v>
                </c:pt>
                <c:pt idx="224">
                  <c:v>1577</c:v>
                </c:pt>
                <c:pt idx="225">
                  <c:v>1607</c:v>
                </c:pt>
                <c:pt idx="226">
                  <c:v>1607</c:v>
                </c:pt>
                <c:pt idx="227">
                  <c:v>1623</c:v>
                </c:pt>
                <c:pt idx="228">
                  <c:v>1639</c:v>
                </c:pt>
                <c:pt idx="229">
                  <c:v>1655</c:v>
                </c:pt>
                <c:pt idx="230">
                  <c:v>1669</c:v>
                </c:pt>
                <c:pt idx="231">
                  <c:v>1685</c:v>
                </c:pt>
                <c:pt idx="232">
                  <c:v>1701</c:v>
                </c:pt>
                <c:pt idx="233">
                  <c:v>1711</c:v>
                </c:pt>
                <c:pt idx="234">
                  <c:v>1716</c:v>
                </c:pt>
                <c:pt idx="235">
                  <c:v>1716</c:v>
                </c:pt>
                <c:pt idx="236">
                  <c:v>1746</c:v>
                </c:pt>
                <c:pt idx="237">
                  <c:v>1762</c:v>
                </c:pt>
                <c:pt idx="238">
                  <c:v>1762</c:v>
                </c:pt>
                <c:pt idx="239">
                  <c:v>1763</c:v>
                </c:pt>
                <c:pt idx="240">
                  <c:v>1763</c:v>
                </c:pt>
                <c:pt idx="241">
                  <c:v>1792</c:v>
                </c:pt>
                <c:pt idx="242">
                  <c:v>1792</c:v>
                </c:pt>
                <c:pt idx="243">
                  <c:v>#N/A</c:v>
                </c:pt>
                <c:pt idx="244">
                  <c:v>1821</c:v>
                </c:pt>
                <c:pt idx="245">
                  <c:v>1833</c:v>
                </c:pt>
                <c:pt idx="246">
                  <c:v>1846</c:v>
                </c:pt>
                <c:pt idx="247">
                  <c:v>1859</c:v>
                </c:pt>
                <c:pt idx="248">
                  <c:v>1872</c:v>
                </c:pt>
                <c:pt idx="249">
                  <c:v>1883</c:v>
                </c:pt>
                <c:pt idx="250">
                  <c:v>1895</c:v>
                </c:pt>
                <c:pt idx="251">
                  <c:v>1907</c:v>
                </c:pt>
                <c:pt idx="252">
                  <c:v>1917</c:v>
                </c:pt>
                <c:pt idx="253">
                  <c:v>1927</c:v>
                </c:pt>
                <c:pt idx="254">
                  <c:v>1938</c:v>
                </c:pt>
                <c:pt idx="255">
                  <c:v>1946</c:v>
                </c:pt>
                <c:pt idx="256">
                  <c:v>1954</c:v>
                </c:pt>
                <c:pt idx="257">
                  <c:v>1954</c:v>
                </c:pt>
                <c:pt idx="258">
                  <c:v>1962</c:v>
                </c:pt>
                <c:pt idx="259">
                  <c:v>1962</c:v>
                </c:pt>
                <c:pt idx="260">
                  <c:v>1968</c:v>
                </c:pt>
                <c:pt idx="261">
                  <c:v>1973</c:v>
                </c:pt>
                <c:pt idx="262">
                  <c:v>1978</c:v>
                </c:pt>
                <c:pt idx="263">
                  <c:v>1982</c:v>
                </c:pt>
                <c:pt idx="264">
                  <c:v>1985</c:v>
                </c:pt>
                <c:pt idx="265">
                  <c:v>1987</c:v>
                </c:pt>
                <c:pt idx="266">
                  <c:v>1987</c:v>
                </c:pt>
                <c:pt idx="267">
                  <c:v>1990</c:v>
                </c:pt>
                <c:pt idx="268">
                  <c:v>1992</c:v>
                </c:pt>
                <c:pt idx="269">
                  <c:v>1992</c:v>
                </c:pt>
                <c:pt idx="270">
                  <c:v>#N/A</c:v>
                </c:pt>
                <c:pt idx="271">
                  <c:v>1995</c:v>
                </c:pt>
                <c:pt idx="272">
                  <c:v>1995</c:v>
                </c:pt>
                <c:pt idx="273">
                  <c:v>1998</c:v>
                </c:pt>
                <c:pt idx="274">
                  <c:v>2000</c:v>
                </c:pt>
                <c:pt idx="275">
                  <c:v>2001</c:v>
                </c:pt>
                <c:pt idx="276">
                  <c:v>2003</c:v>
                </c:pt>
                <c:pt idx="277">
                  <c:v>2004</c:v>
                </c:pt>
                <c:pt idx="278">
                  <c:v>2004</c:v>
                </c:pt>
                <c:pt idx="279">
                  <c:v>2005</c:v>
                </c:pt>
                <c:pt idx="280">
                  <c:v>2005</c:v>
                </c:pt>
                <c:pt idx="281">
                  <c:v>2005</c:v>
                </c:pt>
                <c:pt idx="282">
                  <c:v>2007</c:v>
                </c:pt>
                <c:pt idx="283">
                  <c:v>#N/A</c:v>
                </c:pt>
                <c:pt idx="284">
                  <c:v>#N/A</c:v>
                </c:pt>
                <c:pt idx="285">
                  <c:v>#N/A</c:v>
                </c:pt>
                <c:pt idx="286">
                  <c:v>#N/A</c:v>
                </c:pt>
                <c:pt idx="287">
                  <c:v>#N/A</c:v>
                </c:pt>
                <c:pt idx="288">
                  <c:v>2010</c:v>
                </c:pt>
                <c:pt idx="289">
                  <c:v>2013</c:v>
                </c:pt>
                <c:pt idx="290">
                  <c:v>2018</c:v>
                </c:pt>
                <c:pt idx="291">
                  <c:v>2024</c:v>
                </c:pt>
                <c:pt idx="292">
                  <c:v>2030</c:v>
                </c:pt>
                <c:pt idx="293">
                  <c:v>2030</c:v>
                </c:pt>
                <c:pt idx="294">
                  <c:v>2030</c:v>
                </c:pt>
                <c:pt idx="295">
                  <c:v>2039</c:v>
                </c:pt>
                <c:pt idx="296">
                  <c:v>2047</c:v>
                </c:pt>
                <c:pt idx="297">
                  <c:v>2059</c:v>
                </c:pt>
                <c:pt idx="298">
                  <c:v>2070</c:v>
                </c:pt>
                <c:pt idx="299">
                  <c:v>2080</c:v>
                </c:pt>
                <c:pt idx="300">
                  <c:v>2093</c:v>
                </c:pt>
                <c:pt idx="301">
                  <c:v>2105</c:v>
                </c:pt>
                <c:pt idx="302">
                  <c:v>2105</c:v>
                </c:pt>
                <c:pt idx="303">
                  <c:v>2132</c:v>
                </c:pt>
                <c:pt idx="304">
                  <c:v>2145</c:v>
                </c:pt>
                <c:pt idx="305">
                  <c:v>2160</c:v>
                </c:pt>
                <c:pt idx="306">
                  <c:v>2160</c:v>
                </c:pt>
                <c:pt idx="307">
                  <c:v>2176</c:v>
                </c:pt>
                <c:pt idx="308">
                  <c:v>2190</c:v>
                </c:pt>
                <c:pt idx="309">
                  <c:v>2204</c:v>
                </c:pt>
                <c:pt idx="310">
                  <c:v>2219</c:v>
                </c:pt>
                <c:pt idx="311">
                  <c:v>2234</c:v>
                </c:pt>
                <c:pt idx="312">
                  <c:v>2250</c:v>
                </c:pt>
                <c:pt idx="313">
                  <c:v>2263</c:v>
                </c:pt>
                <c:pt idx="314">
                  <c:v>2278</c:v>
                </c:pt>
                <c:pt idx="315">
                  <c:v>2280</c:v>
                </c:pt>
                <c:pt idx="316">
                  <c:v>2280</c:v>
                </c:pt>
                <c:pt idx="317">
                  <c:v>2295</c:v>
                </c:pt>
                <c:pt idx="318">
                  <c:v>2295</c:v>
                </c:pt>
                <c:pt idx="319">
                  <c:v>2318</c:v>
                </c:pt>
                <c:pt idx="320">
                  <c:v>2318</c:v>
                </c:pt>
                <c:pt idx="321">
                  <c:v>2325</c:v>
                </c:pt>
                <c:pt idx="322">
                  <c:v>2325</c:v>
                </c:pt>
                <c:pt idx="323">
                  <c:v>2354</c:v>
                </c:pt>
                <c:pt idx="324">
                  <c:v>2370</c:v>
                </c:pt>
                <c:pt idx="325">
                  <c:v>2384</c:v>
                </c:pt>
                <c:pt idx="326">
                  <c:v>2400</c:v>
                </c:pt>
                <c:pt idx="327">
                  <c:v>2413</c:v>
                </c:pt>
                <c:pt idx="328">
                  <c:v>2427</c:v>
                </c:pt>
                <c:pt idx="329">
                  <c:v>2434</c:v>
                </c:pt>
                <c:pt idx="330">
                  <c:v>2434</c:v>
                </c:pt>
                <c:pt idx="331">
                  <c:v>2434</c:v>
                </c:pt>
                <c:pt idx="332">
                  <c:v>2448</c:v>
                </c:pt>
                <c:pt idx="333">
                  <c:v>2448</c:v>
                </c:pt>
                <c:pt idx="334">
                  <c:v>2458</c:v>
                </c:pt>
                <c:pt idx="335">
                  <c:v>2458</c:v>
                </c:pt>
                <c:pt idx="336">
                  <c:v>2458</c:v>
                </c:pt>
                <c:pt idx="337">
                  <c:v>2494</c:v>
                </c:pt>
                <c:pt idx="338">
                  <c:v>2494</c:v>
                </c:pt>
                <c:pt idx="339">
                  <c:v>2506</c:v>
                </c:pt>
                <c:pt idx="340">
                  <c:v>2506</c:v>
                </c:pt>
                <c:pt idx="341">
                  <c:v>2515</c:v>
                </c:pt>
                <c:pt idx="342">
                  <c:v>2515</c:v>
                </c:pt>
                <c:pt idx="343">
                  <c:v>2542</c:v>
                </c:pt>
                <c:pt idx="344">
                  <c:v>2545</c:v>
                </c:pt>
                <c:pt idx="345">
                  <c:v>2545</c:v>
                </c:pt>
                <c:pt idx="346">
                  <c:v>2566</c:v>
                </c:pt>
                <c:pt idx="347">
                  <c:v>2568</c:v>
                </c:pt>
                <c:pt idx="348">
                  <c:v>2568</c:v>
                </c:pt>
                <c:pt idx="349">
                  <c:v>2593</c:v>
                </c:pt>
                <c:pt idx="350">
                  <c:v>2599</c:v>
                </c:pt>
                <c:pt idx="351">
                  <c:v>2599</c:v>
                </c:pt>
                <c:pt idx="352">
                  <c:v>2617</c:v>
                </c:pt>
                <c:pt idx="353">
                  <c:v>2619</c:v>
                </c:pt>
                <c:pt idx="354">
                  <c:v>2619</c:v>
                </c:pt>
                <c:pt idx="355">
                  <c:v>2632</c:v>
                </c:pt>
                <c:pt idx="356">
                  <c:v>2632</c:v>
                </c:pt>
                <c:pt idx="357">
                  <c:v>2645</c:v>
                </c:pt>
                <c:pt idx="358">
                  <c:v>2645</c:v>
                </c:pt>
                <c:pt idx="359">
                  <c:v>2667</c:v>
                </c:pt>
                <c:pt idx="360">
                  <c:v>#N/A</c:v>
                </c:pt>
                <c:pt idx="361">
                  <c:v>2689</c:v>
                </c:pt>
                <c:pt idx="362">
                  <c:v>2693</c:v>
                </c:pt>
                <c:pt idx="363">
                  <c:v>2693</c:v>
                </c:pt>
                <c:pt idx="364">
                  <c:v>2693</c:v>
                </c:pt>
                <c:pt idx="365">
                  <c:v>2693</c:v>
                </c:pt>
                <c:pt idx="366">
                  <c:v>#N/A</c:v>
                </c:pt>
                <c:pt idx="367">
                  <c:v>2719</c:v>
                </c:pt>
                <c:pt idx="368">
                  <c:v>2729</c:v>
                </c:pt>
                <c:pt idx="369">
                  <c:v>2740</c:v>
                </c:pt>
                <c:pt idx="370">
                  <c:v>2750</c:v>
                </c:pt>
                <c:pt idx="371">
                  <c:v>2761</c:v>
                </c:pt>
                <c:pt idx="372">
                  <c:v>2770</c:v>
                </c:pt>
                <c:pt idx="373">
                  <c:v>2781</c:v>
                </c:pt>
                <c:pt idx="374">
                  <c:v>2792</c:v>
                </c:pt>
                <c:pt idx="375">
                  <c:v>2792</c:v>
                </c:pt>
                <c:pt idx="376">
                  <c:v>2813</c:v>
                </c:pt>
                <c:pt idx="377">
                  <c:v>2824</c:v>
                </c:pt>
                <c:pt idx="378">
                  <c:v>2826</c:v>
                </c:pt>
                <c:pt idx="379">
                  <c:v>2826</c:v>
                </c:pt>
                <c:pt idx="380">
                  <c:v>2846</c:v>
                </c:pt>
                <c:pt idx="381">
                  <c:v>2847</c:v>
                </c:pt>
                <c:pt idx="382">
                  <c:v>2847</c:v>
                </c:pt>
                <c:pt idx="383">
                  <c:v>2858</c:v>
                </c:pt>
                <c:pt idx="384">
                  <c:v>2858</c:v>
                </c:pt>
                <c:pt idx="385">
                  <c:v>2868</c:v>
                </c:pt>
                <c:pt idx="386">
                  <c:v>2868</c:v>
                </c:pt>
                <c:pt idx="387">
                  <c:v>2889</c:v>
                </c:pt>
                <c:pt idx="388">
                  <c:v>2900</c:v>
                </c:pt>
                <c:pt idx="389">
                  <c:v>2904</c:v>
                </c:pt>
                <c:pt idx="390">
                  <c:v>2904</c:v>
                </c:pt>
                <c:pt idx="391">
                  <c:v>2904</c:v>
                </c:pt>
                <c:pt idx="392">
                  <c:v>2913</c:v>
                </c:pt>
                <c:pt idx="393">
                  <c:v>2913</c:v>
                </c:pt>
                <c:pt idx="394">
                  <c:v>2913</c:v>
                </c:pt>
                <c:pt idx="395">
                  <c:v>2930</c:v>
                </c:pt>
                <c:pt idx="396">
                  <c:v>2940</c:v>
                </c:pt>
                <c:pt idx="397">
                  <c:v>2949</c:v>
                </c:pt>
                <c:pt idx="398">
                  <c:v>2957</c:v>
                </c:pt>
                <c:pt idx="399">
                  <c:v>2965</c:v>
                </c:pt>
                <c:pt idx="400">
                  <c:v>2973</c:v>
                </c:pt>
                <c:pt idx="401">
                  <c:v>2973</c:v>
                </c:pt>
                <c:pt idx="402">
                  <c:v>2986</c:v>
                </c:pt>
                <c:pt idx="403">
                  <c:v>2992</c:v>
                </c:pt>
                <c:pt idx="404">
                  <c:v>2997</c:v>
                </c:pt>
                <c:pt idx="405">
                  <c:v>2997</c:v>
                </c:pt>
                <c:pt idx="406">
                  <c:v>2999</c:v>
                </c:pt>
                <c:pt idx="407">
                  <c:v>2999</c:v>
                </c:pt>
                <c:pt idx="408">
                  <c:v>3008</c:v>
                </c:pt>
                <c:pt idx="409">
                  <c:v>3013</c:v>
                </c:pt>
                <c:pt idx="410">
                  <c:v>3018</c:v>
                </c:pt>
                <c:pt idx="411">
                  <c:v>3019</c:v>
                </c:pt>
                <c:pt idx="412">
                  <c:v>3019</c:v>
                </c:pt>
                <c:pt idx="413">
                  <c:v>3030</c:v>
                </c:pt>
                <c:pt idx="414">
                  <c:v>3036</c:v>
                </c:pt>
                <c:pt idx="415">
                  <c:v>3042</c:v>
                </c:pt>
                <c:pt idx="416">
                  <c:v>3044</c:v>
                </c:pt>
                <c:pt idx="417">
                  <c:v>3044</c:v>
                </c:pt>
                <c:pt idx="418">
                  <c:v>3051</c:v>
                </c:pt>
                <c:pt idx="419">
                  <c:v>3051</c:v>
                </c:pt>
                <c:pt idx="420">
                  <c:v>3051</c:v>
                </c:pt>
                <c:pt idx="421">
                  <c:v>3065</c:v>
                </c:pt>
                <c:pt idx="422">
                  <c:v>3069</c:v>
                </c:pt>
                <c:pt idx="423">
                  <c:v>3072</c:v>
                </c:pt>
                <c:pt idx="424">
                  <c:v>3072</c:v>
                </c:pt>
                <c:pt idx="425">
                  <c:v>3072</c:v>
                </c:pt>
                <c:pt idx="426">
                  <c:v>3077</c:v>
                </c:pt>
                <c:pt idx="427">
                  <c:v>3077</c:v>
                </c:pt>
                <c:pt idx="428">
                  <c:v>3080</c:v>
                </c:pt>
                <c:pt idx="429">
                  <c:v>#N/A</c:v>
                </c:pt>
                <c:pt idx="430">
                  <c:v>#N/A</c:v>
                </c:pt>
                <c:pt idx="431">
                  <c:v>#N/A</c:v>
                </c:pt>
                <c:pt idx="432">
                  <c:v>3081</c:v>
                </c:pt>
                <c:pt idx="433">
                  <c:v>3081</c:v>
                </c:pt>
                <c:pt idx="434">
                  <c:v>#N/A</c:v>
                </c:pt>
                <c:pt idx="435">
                  <c:v>3084</c:v>
                </c:pt>
                <c:pt idx="436">
                  <c:v>3084</c:v>
                </c:pt>
                <c:pt idx="437">
                  <c:v>3090</c:v>
                </c:pt>
                <c:pt idx="438">
                  <c:v>3090</c:v>
                </c:pt>
                <c:pt idx="439">
                  <c:v>3093</c:v>
                </c:pt>
                <c:pt idx="440">
                  <c:v>3099</c:v>
                </c:pt>
                <c:pt idx="441">
                  <c:v>3106</c:v>
                </c:pt>
                <c:pt idx="442">
                  <c:v>3113</c:v>
                </c:pt>
                <c:pt idx="443">
                  <c:v>3121</c:v>
                </c:pt>
                <c:pt idx="444">
                  <c:v>3121</c:v>
                </c:pt>
                <c:pt idx="445">
                  <c:v>3132</c:v>
                </c:pt>
                <c:pt idx="446">
                  <c:v>3142</c:v>
                </c:pt>
                <c:pt idx="447">
                  <c:v>3149</c:v>
                </c:pt>
                <c:pt idx="448">
                  <c:v>3149</c:v>
                </c:pt>
                <c:pt idx="449">
                  <c:v>3159</c:v>
                </c:pt>
                <c:pt idx="450">
                  <c:v>3159</c:v>
                </c:pt>
                <c:pt idx="451">
                  <c:v>3169</c:v>
                </c:pt>
                <c:pt idx="452">
                  <c:v>3169</c:v>
                </c:pt>
                <c:pt idx="453">
                  <c:v>3186</c:v>
                </c:pt>
                <c:pt idx="454">
                  <c:v>3187</c:v>
                </c:pt>
                <c:pt idx="455">
                  <c:v>3187</c:v>
                </c:pt>
                <c:pt idx="456">
                  <c:v>3205</c:v>
                </c:pt>
                <c:pt idx="457">
                  <c:v>3205</c:v>
                </c:pt>
                <c:pt idx="458">
                  <c:v>3224</c:v>
                </c:pt>
                <c:pt idx="459">
                  <c:v>3224</c:v>
                </c:pt>
                <c:pt idx="460">
                  <c:v>3242</c:v>
                </c:pt>
                <c:pt idx="461">
                  <c:v>3252</c:v>
                </c:pt>
                <c:pt idx="462">
                  <c:v>3261</c:v>
                </c:pt>
                <c:pt idx="463">
                  <c:v>3271</c:v>
                </c:pt>
                <c:pt idx="464">
                  <c:v>3279</c:v>
                </c:pt>
                <c:pt idx="465">
                  <c:v>3288</c:v>
                </c:pt>
                <c:pt idx="466">
                  <c:v>3297</c:v>
                </c:pt>
                <c:pt idx="467">
                  <c:v>3306</c:v>
                </c:pt>
                <c:pt idx="468">
                  <c:v>3315</c:v>
                </c:pt>
                <c:pt idx="469">
                  <c:v>3324</c:v>
                </c:pt>
                <c:pt idx="470">
                  <c:v>3333</c:v>
                </c:pt>
                <c:pt idx="471">
                  <c:v>3342</c:v>
                </c:pt>
                <c:pt idx="472">
                  <c:v>3351</c:v>
                </c:pt>
                <c:pt idx="473">
                  <c:v>3360</c:v>
                </c:pt>
                <c:pt idx="474">
                  <c:v>3370</c:v>
                </c:pt>
                <c:pt idx="475">
                  <c:v>3379</c:v>
                </c:pt>
                <c:pt idx="476">
                  <c:v>3388</c:v>
                </c:pt>
                <c:pt idx="477">
                  <c:v>3388</c:v>
                </c:pt>
                <c:pt idx="478">
                  <c:v>3411</c:v>
                </c:pt>
                <c:pt idx="479">
                  <c:v>3420</c:v>
                </c:pt>
                <c:pt idx="480">
                  <c:v>3425</c:v>
                </c:pt>
                <c:pt idx="481">
                  <c:v>3425</c:v>
                </c:pt>
                <c:pt idx="482">
                  <c:v>3453</c:v>
                </c:pt>
                <c:pt idx="483">
                  <c:v>3453</c:v>
                </c:pt>
                <c:pt idx="484">
                  <c:v>3468</c:v>
                </c:pt>
                <c:pt idx="485">
                  <c:v>3482</c:v>
                </c:pt>
                <c:pt idx="486">
                  <c:v>3497</c:v>
                </c:pt>
                <c:pt idx="487">
                  <c:v>3504</c:v>
                </c:pt>
                <c:pt idx="488">
                  <c:v>3504</c:v>
                </c:pt>
                <c:pt idx="489">
                  <c:v>3527</c:v>
                </c:pt>
                <c:pt idx="490">
                  <c:v>3541</c:v>
                </c:pt>
                <c:pt idx="491">
                  <c:v>3545</c:v>
                </c:pt>
                <c:pt idx="492">
                  <c:v>3545</c:v>
                </c:pt>
                <c:pt idx="493">
                  <c:v>3545</c:v>
                </c:pt>
                <c:pt idx="494">
                  <c:v>3556</c:v>
                </c:pt>
                <c:pt idx="495">
                  <c:v>3556</c:v>
                </c:pt>
                <c:pt idx="496">
                  <c:v>3584</c:v>
                </c:pt>
                <c:pt idx="497">
                  <c:v>3598</c:v>
                </c:pt>
                <c:pt idx="498">
                  <c:v>3610</c:v>
                </c:pt>
                <c:pt idx="499">
                  <c:v>3610</c:v>
                </c:pt>
                <c:pt idx="500">
                  <c:v>#N/A</c:v>
                </c:pt>
                <c:pt idx="501">
                  <c:v>3635</c:v>
                </c:pt>
                <c:pt idx="502">
                  <c:v>3646</c:v>
                </c:pt>
                <c:pt idx="503">
                  <c:v>3646</c:v>
                </c:pt>
                <c:pt idx="504">
                  <c:v>3665</c:v>
                </c:pt>
                <c:pt idx="505">
                  <c:v>3665</c:v>
                </c:pt>
                <c:pt idx="506">
                  <c:v>3682</c:v>
                </c:pt>
                <c:pt idx="507">
                  <c:v>3689</c:v>
                </c:pt>
                <c:pt idx="508">
                  <c:v>3689</c:v>
                </c:pt>
                <c:pt idx="509">
                  <c:v>3696</c:v>
                </c:pt>
                <c:pt idx="510">
                  <c:v>3702</c:v>
                </c:pt>
                <c:pt idx="511">
                  <c:v>3708</c:v>
                </c:pt>
                <c:pt idx="512">
                  <c:v>3713</c:v>
                </c:pt>
                <c:pt idx="513">
                  <c:v>3713</c:v>
                </c:pt>
                <c:pt idx="514">
                  <c:v>3713</c:v>
                </c:pt>
                <c:pt idx="515">
                  <c:v>#N/A</c:v>
                </c:pt>
                <c:pt idx="516">
                  <c:v>3722</c:v>
                </c:pt>
                <c:pt idx="517">
                  <c:v>3725</c:v>
                </c:pt>
                <c:pt idx="518">
                  <c:v>3727</c:v>
                </c:pt>
                <c:pt idx="519">
                  <c:v>3729</c:v>
                </c:pt>
                <c:pt idx="520">
                  <c:v>3730</c:v>
                </c:pt>
                <c:pt idx="521">
                  <c:v>3730</c:v>
                </c:pt>
                <c:pt idx="522">
                  <c:v>3730</c:v>
                </c:pt>
                <c:pt idx="523">
                  <c:v>#N/A</c:v>
                </c:pt>
                <c:pt idx="524">
                  <c:v>3731</c:v>
                </c:pt>
                <c:pt idx="525">
                  <c:v>3731</c:v>
                </c:pt>
                <c:pt idx="526">
                  <c:v>#N/A</c:v>
                </c:pt>
                <c:pt idx="527">
                  <c:v>#N/A</c:v>
                </c:pt>
                <c:pt idx="528">
                  <c:v>3733</c:v>
                </c:pt>
                <c:pt idx="529">
                  <c:v>3733</c:v>
                </c:pt>
                <c:pt idx="530">
                  <c:v>#N/A</c:v>
                </c:pt>
                <c:pt idx="531">
                  <c:v>3741</c:v>
                </c:pt>
                <c:pt idx="532">
                  <c:v>3746</c:v>
                </c:pt>
                <c:pt idx="533">
                  <c:v>3747</c:v>
                </c:pt>
                <c:pt idx="534">
                  <c:v>3747</c:v>
                </c:pt>
                <c:pt idx="535">
                  <c:v>3747</c:v>
                </c:pt>
                <c:pt idx="536">
                  <c:v>3771</c:v>
                </c:pt>
                <c:pt idx="537">
                  <c:v>3781</c:v>
                </c:pt>
                <c:pt idx="538">
                  <c:v>3783</c:v>
                </c:pt>
                <c:pt idx="539">
                  <c:v>3783</c:v>
                </c:pt>
                <c:pt idx="540">
                  <c:v>3783</c:v>
                </c:pt>
                <c:pt idx="541">
                  <c:v>3806</c:v>
                </c:pt>
                <c:pt idx="542">
                  <c:v>3818</c:v>
                </c:pt>
                <c:pt idx="543">
                  <c:v>3832</c:v>
                </c:pt>
                <c:pt idx="544">
                  <c:v>3846</c:v>
                </c:pt>
                <c:pt idx="545">
                  <c:v>3846</c:v>
                </c:pt>
                <c:pt idx="546">
                  <c:v>3863</c:v>
                </c:pt>
                <c:pt idx="547">
                  <c:v>3878</c:v>
                </c:pt>
                <c:pt idx="548">
                  <c:v>3894</c:v>
                </c:pt>
                <c:pt idx="549">
                  <c:v>3909</c:v>
                </c:pt>
                <c:pt idx="550">
                  <c:v>3925</c:v>
                </c:pt>
                <c:pt idx="551">
                  <c:v>3925</c:v>
                </c:pt>
                <c:pt idx="552">
                  <c:v>3959</c:v>
                </c:pt>
                <c:pt idx="553">
                  <c:v>3975</c:v>
                </c:pt>
                <c:pt idx="554">
                  <c:v>3991</c:v>
                </c:pt>
                <c:pt idx="555">
                  <c:v>3996</c:v>
                </c:pt>
                <c:pt idx="556">
                  <c:v>3996</c:v>
                </c:pt>
                <c:pt idx="557">
                  <c:v>3996</c:v>
                </c:pt>
                <c:pt idx="558">
                  <c:v>4043</c:v>
                </c:pt>
                <c:pt idx="559">
                  <c:v>4047</c:v>
                </c:pt>
                <c:pt idx="560">
                  <c:v>4047</c:v>
                </c:pt>
                <c:pt idx="561">
                  <c:v>4047</c:v>
                </c:pt>
                <c:pt idx="562">
                  <c:v>4073</c:v>
                </c:pt>
                <c:pt idx="563">
                  <c:v>4090</c:v>
                </c:pt>
                <c:pt idx="564">
                  <c:v>4090</c:v>
                </c:pt>
                <c:pt idx="565">
                  <c:v>4119</c:v>
                </c:pt>
                <c:pt idx="566">
                  <c:v>4134</c:v>
                </c:pt>
                <c:pt idx="567">
                  <c:v>4147</c:v>
                </c:pt>
                <c:pt idx="568">
                  <c:v>4147</c:v>
                </c:pt>
                <c:pt idx="569">
                  <c:v>4162</c:v>
                </c:pt>
                <c:pt idx="570">
                  <c:v>4165</c:v>
                </c:pt>
                <c:pt idx="571">
                  <c:v>4165</c:v>
                </c:pt>
                <c:pt idx="572">
                  <c:v>4165</c:v>
                </c:pt>
                <c:pt idx="573">
                  <c:v>4187</c:v>
                </c:pt>
                <c:pt idx="574">
                  <c:v>4194</c:v>
                </c:pt>
                <c:pt idx="575">
                  <c:v>4194</c:v>
                </c:pt>
                <c:pt idx="576">
                  <c:v>4194</c:v>
                </c:pt>
                <c:pt idx="577">
                  <c:v>4214</c:v>
                </c:pt>
                <c:pt idx="578">
                  <c:v>4227</c:v>
                </c:pt>
                <c:pt idx="579">
                  <c:v>4242</c:v>
                </c:pt>
                <c:pt idx="580">
                  <c:v>4257</c:v>
                </c:pt>
                <c:pt idx="581">
                  <c:v>4272</c:v>
                </c:pt>
                <c:pt idx="582">
                  <c:v>4287</c:v>
                </c:pt>
                <c:pt idx="583">
                  <c:v>4303</c:v>
                </c:pt>
                <c:pt idx="584">
                  <c:v>4303</c:v>
                </c:pt>
                <c:pt idx="585">
                  <c:v>4321</c:v>
                </c:pt>
                <c:pt idx="586">
                  <c:v>4322</c:v>
                </c:pt>
                <c:pt idx="587">
                  <c:v>4322</c:v>
                </c:pt>
                <c:pt idx="588">
                  <c:v>4322</c:v>
                </c:pt>
                <c:pt idx="589">
                  <c:v>4357</c:v>
                </c:pt>
                <c:pt idx="590">
                  <c:v>4357</c:v>
                </c:pt>
                <c:pt idx="591">
                  <c:v>4374</c:v>
                </c:pt>
                <c:pt idx="592">
                  <c:v>4411</c:v>
                </c:pt>
                <c:pt idx="593">
                  <c:v>4428</c:v>
                </c:pt>
                <c:pt idx="594">
                  <c:v>4446</c:v>
                </c:pt>
                <c:pt idx="595">
                  <c:v>4464</c:v>
                </c:pt>
                <c:pt idx="596">
                  <c:v>4482</c:v>
                </c:pt>
                <c:pt idx="597">
                  <c:v>4501</c:v>
                </c:pt>
                <c:pt idx="598">
                  <c:v>4518</c:v>
                </c:pt>
                <c:pt idx="599">
                  <c:v>4535</c:v>
                </c:pt>
                <c:pt idx="600">
                  <c:v>4554</c:v>
                </c:pt>
                <c:pt idx="601">
                  <c:v>4571</c:v>
                </c:pt>
                <c:pt idx="602">
                  <c:v>4591</c:v>
                </c:pt>
                <c:pt idx="603">
                  <c:v>4608</c:v>
                </c:pt>
                <c:pt idx="604">
                  <c:v>4626</c:v>
                </c:pt>
                <c:pt idx="605">
                  <c:v>4626</c:v>
                </c:pt>
                <c:pt idx="606">
                  <c:v>4646</c:v>
                </c:pt>
                <c:pt idx="607">
                  <c:v>4663</c:v>
                </c:pt>
                <c:pt idx="608">
                  <c:v>4682</c:v>
                </c:pt>
                <c:pt idx="609">
                  <c:v>#N/A</c:v>
                </c:pt>
                <c:pt idx="610">
                  <c:v>4717</c:v>
                </c:pt>
                <c:pt idx="611">
                  <c:v>4717</c:v>
                </c:pt>
                <c:pt idx="612">
                  <c:v>4723</c:v>
                </c:pt>
                <c:pt idx="613">
                  <c:v>4723</c:v>
                </c:pt>
                <c:pt idx="614">
                  <c:v>4754</c:v>
                </c:pt>
                <c:pt idx="615">
                  <c:v>4771</c:v>
                </c:pt>
                <c:pt idx="616">
                  <c:v>4789</c:v>
                </c:pt>
                <c:pt idx="617">
                  <c:v>4789</c:v>
                </c:pt>
                <c:pt idx="618">
                  <c:v>4821</c:v>
                </c:pt>
                <c:pt idx="619">
                  <c:v>4821</c:v>
                </c:pt>
                <c:pt idx="620">
                  <c:v>4839</c:v>
                </c:pt>
                <c:pt idx="621">
                  <c:v>4854</c:v>
                </c:pt>
                <c:pt idx="622">
                  <c:v>4870</c:v>
                </c:pt>
                <c:pt idx="623">
                  <c:v>4885</c:v>
                </c:pt>
                <c:pt idx="624">
                  <c:v>4899</c:v>
                </c:pt>
                <c:pt idx="625">
                  <c:v>4912</c:v>
                </c:pt>
                <c:pt idx="626">
                  <c:v>4912</c:v>
                </c:pt>
                <c:pt idx="627">
                  <c:v>4925</c:v>
                </c:pt>
                <c:pt idx="628">
                  <c:v>4938</c:v>
                </c:pt>
                <c:pt idx="629">
                  <c:v>4951</c:v>
                </c:pt>
                <c:pt idx="630">
                  <c:v>4962</c:v>
                </c:pt>
                <c:pt idx="631">
                  <c:v>4965</c:v>
                </c:pt>
                <c:pt idx="632">
                  <c:v>4965</c:v>
                </c:pt>
                <c:pt idx="633">
                  <c:v>4965</c:v>
                </c:pt>
                <c:pt idx="634">
                  <c:v>4986</c:v>
                </c:pt>
                <c:pt idx="635">
                  <c:v>4996</c:v>
                </c:pt>
                <c:pt idx="636">
                  <c:v>5007</c:v>
                </c:pt>
                <c:pt idx="637">
                  <c:v>5010</c:v>
                </c:pt>
                <c:pt idx="638">
                  <c:v>5010</c:v>
                </c:pt>
                <c:pt idx="639">
                  <c:v>5010</c:v>
                </c:pt>
                <c:pt idx="640">
                  <c:v>5026</c:v>
                </c:pt>
                <c:pt idx="641">
                  <c:v>5036</c:v>
                </c:pt>
                <c:pt idx="642">
                  <c:v>5044</c:v>
                </c:pt>
                <c:pt idx="643">
                  <c:v>5051</c:v>
                </c:pt>
                <c:pt idx="644">
                  <c:v>5051</c:v>
                </c:pt>
                <c:pt idx="645">
                  <c:v>5064</c:v>
                </c:pt>
                <c:pt idx="646">
                  <c:v>5069</c:v>
                </c:pt>
                <c:pt idx="647">
                  <c:v>5072</c:v>
                </c:pt>
                <c:pt idx="648">
                  <c:v>5072</c:v>
                </c:pt>
                <c:pt idx="649">
                  <c:v>5075</c:v>
                </c:pt>
                <c:pt idx="650">
                  <c:v>5076</c:v>
                </c:pt>
                <c:pt idx="651">
                  <c:v>5077</c:v>
                </c:pt>
                <c:pt idx="652">
                  <c:v>5078</c:v>
                </c:pt>
                <c:pt idx="653">
                  <c:v>#N/A</c:v>
                </c:pt>
                <c:pt idx="654">
                  <c:v>#N/A</c:v>
                </c:pt>
                <c:pt idx="655">
                  <c:v>#N/A</c:v>
                </c:pt>
                <c:pt idx="656">
                  <c:v>#N/A</c:v>
                </c:pt>
                <c:pt idx="657">
                  <c:v>#N/A</c:v>
                </c:pt>
                <c:pt idx="658">
                  <c:v>#N/A</c:v>
                </c:pt>
                <c:pt idx="659">
                  <c:v>5080</c:v>
                </c:pt>
                <c:pt idx="660">
                  <c:v>5084</c:v>
                </c:pt>
                <c:pt idx="661">
                  <c:v>5084</c:v>
                </c:pt>
                <c:pt idx="662">
                  <c:v>5088</c:v>
                </c:pt>
                <c:pt idx="663">
                  <c:v>5094</c:v>
                </c:pt>
                <c:pt idx="664">
                  <c:v>5094</c:v>
                </c:pt>
                <c:pt idx="665">
                  <c:v>5101</c:v>
                </c:pt>
                <c:pt idx="666">
                  <c:v>5110</c:v>
                </c:pt>
                <c:pt idx="667">
                  <c:v>5119</c:v>
                </c:pt>
                <c:pt idx="668">
                  <c:v>5127</c:v>
                </c:pt>
                <c:pt idx="669">
                  <c:v>5138</c:v>
                </c:pt>
                <c:pt idx="670">
                  <c:v>5141</c:v>
                </c:pt>
                <c:pt idx="671">
                  <c:v>5141</c:v>
                </c:pt>
                <c:pt idx="672">
                  <c:v>5154</c:v>
                </c:pt>
                <c:pt idx="673">
                  <c:v>5154</c:v>
                </c:pt>
                <c:pt idx="674">
                  <c:v>5168</c:v>
                </c:pt>
                <c:pt idx="675">
                  <c:v>#N/A</c:v>
                </c:pt>
                <c:pt idx="676">
                  <c:v>5181</c:v>
                </c:pt>
                <c:pt idx="677">
                  <c:v>5181</c:v>
                </c:pt>
                <c:pt idx="678">
                  <c:v>5198</c:v>
                </c:pt>
                <c:pt idx="679">
                  <c:v>5205</c:v>
                </c:pt>
                <c:pt idx="680">
                  <c:v>5214</c:v>
                </c:pt>
                <c:pt idx="681">
                  <c:v>5222</c:v>
                </c:pt>
                <c:pt idx="682">
                  <c:v>5230</c:v>
                </c:pt>
                <c:pt idx="683">
                  <c:v>5237</c:v>
                </c:pt>
                <c:pt idx="684">
                  <c:v>5243</c:v>
                </c:pt>
                <c:pt idx="685">
                  <c:v>5243</c:v>
                </c:pt>
                <c:pt idx="686">
                  <c:v>5249</c:v>
                </c:pt>
                <c:pt idx="687">
                  <c:v>5250</c:v>
                </c:pt>
                <c:pt idx="688">
                  <c:v>5250</c:v>
                </c:pt>
                <c:pt idx="689">
                  <c:v>5250</c:v>
                </c:pt>
                <c:pt idx="690">
                  <c:v>5265</c:v>
                </c:pt>
                <c:pt idx="691">
                  <c:v>5270</c:v>
                </c:pt>
                <c:pt idx="692">
                  <c:v>5275</c:v>
                </c:pt>
                <c:pt idx="693">
                  <c:v>5281</c:v>
                </c:pt>
                <c:pt idx="694">
                  <c:v>5286</c:v>
                </c:pt>
                <c:pt idx="695">
                  <c:v>5291</c:v>
                </c:pt>
                <c:pt idx="696">
                  <c:v>5296</c:v>
                </c:pt>
                <c:pt idx="697">
                  <c:v>5301</c:v>
                </c:pt>
                <c:pt idx="698">
                  <c:v>5306</c:v>
                </c:pt>
                <c:pt idx="699">
                  <c:v>5311</c:v>
                </c:pt>
                <c:pt idx="700">
                  <c:v>5316</c:v>
                </c:pt>
                <c:pt idx="701">
                  <c:v>5326</c:v>
                </c:pt>
                <c:pt idx="702">
                  <c:v>5331</c:v>
                </c:pt>
                <c:pt idx="703">
                  <c:v>#N/A</c:v>
                </c:pt>
                <c:pt idx="704">
                  <c:v>5342</c:v>
                </c:pt>
                <c:pt idx="705">
                  <c:v>5342</c:v>
                </c:pt>
                <c:pt idx="706">
                  <c:v>5353</c:v>
                </c:pt>
                <c:pt idx="707">
                  <c:v>5358</c:v>
                </c:pt>
                <c:pt idx="708">
                  <c:v>5358</c:v>
                </c:pt>
                <c:pt idx="709">
                  <c:v>5378</c:v>
                </c:pt>
                <c:pt idx="710">
                  <c:v>5378</c:v>
                </c:pt>
                <c:pt idx="711">
                  <c:v>5386</c:v>
                </c:pt>
                <c:pt idx="712">
                  <c:v>5394</c:v>
                </c:pt>
                <c:pt idx="713">
                  <c:v>5403</c:v>
                </c:pt>
                <c:pt idx="714">
                  <c:v>5404</c:v>
                </c:pt>
                <c:pt idx="715">
                  <c:v>5404</c:v>
                </c:pt>
                <c:pt idx="716">
                  <c:v>5419</c:v>
                </c:pt>
                <c:pt idx="717">
                  <c:v>5419</c:v>
                </c:pt>
                <c:pt idx="718">
                  <c:v>5419</c:v>
                </c:pt>
                <c:pt idx="719">
                  <c:v>5443</c:v>
                </c:pt>
                <c:pt idx="720">
                  <c:v>5446</c:v>
                </c:pt>
                <c:pt idx="721">
                  <c:v>5446</c:v>
                </c:pt>
                <c:pt idx="722">
                  <c:v>5446</c:v>
                </c:pt>
                <c:pt idx="723">
                  <c:v>5474</c:v>
                </c:pt>
                <c:pt idx="724">
                  <c:v>5484</c:v>
                </c:pt>
                <c:pt idx="725">
                  <c:v>5489</c:v>
                </c:pt>
                <c:pt idx="726">
                  <c:v>5489</c:v>
                </c:pt>
                <c:pt idx="727">
                  <c:v>5503</c:v>
                </c:pt>
                <c:pt idx="728">
                  <c:v>5513</c:v>
                </c:pt>
                <c:pt idx="729">
                  <c:v>5522</c:v>
                </c:pt>
                <c:pt idx="730">
                  <c:v>5523</c:v>
                </c:pt>
                <c:pt idx="731">
                  <c:v>5523</c:v>
                </c:pt>
                <c:pt idx="732">
                  <c:v>#N/A</c:v>
                </c:pt>
                <c:pt idx="733">
                  <c:v>5555</c:v>
                </c:pt>
                <c:pt idx="734">
                  <c:v>5567</c:v>
                </c:pt>
                <c:pt idx="735">
                  <c:v>5567</c:v>
                </c:pt>
                <c:pt idx="736">
                  <c:v>5580</c:v>
                </c:pt>
                <c:pt idx="737">
                  <c:v>5596</c:v>
                </c:pt>
                <c:pt idx="738">
                  <c:v>5610</c:v>
                </c:pt>
                <c:pt idx="739">
                  <c:v>5610</c:v>
                </c:pt>
                <c:pt idx="740">
                  <c:v>5625</c:v>
                </c:pt>
                <c:pt idx="741">
                  <c:v>5642</c:v>
                </c:pt>
                <c:pt idx="742">
                  <c:v>5642</c:v>
                </c:pt>
                <c:pt idx="743">
                  <c:v>5659</c:v>
                </c:pt>
                <c:pt idx="744">
                  <c:v>5675</c:v>
                </c:pt>
                <c:pt idx="745">
                  <c:v>5691</c:v>
                </c:pt>
                <c:pt idx="746">
                  <c:v>5692</c:v>
                </c:pt>
                <c:pt idx="747">
                  <c:v>5692</c:v>
                </c:pt>
                <c:pt idx="748">
                  <c:v>5722</c:v>
                </c:pt>
                <c:pt idx="749">
                  <c:v>5723</c:v>
                </c:pt>
                <c:pt idx="750">
                  <c:v>5723</c:v>
                </c:pt>
                <c:pt idx="751">
                  <c:v>5771</c:v>
                </c:pt>
                <c:pt idx="752">
                  <c:v>5785</c:v>
                </c:pt>
                <c:pt idx="753">
                  <c:v>5793</c:v>
                </c:pt>
                <c:pt idx="754">
                  <c:v>5793</c:v>
                </c:pt>
                <c:pt idx="755">
                  <c:v>5793</c:v>
                </c:pt>
                <c:pt idx="756">
                  <c:v>5816</c:v>
                </c:pt>
                <c:pt idx="757">
                  <c:v>5817</c:v>
                </c:pt>
                <c:pt idx="758">
                  <c:v>5817</c:v>
                </c:pt>
                <c:pt idx="759">
                  <c:v>5846</c:v>
                </c:pt>
                <c:pt idx="760">
                  <c:v>5851</c:v>
                </c:pt>
                <c:pt idx="761">
                  <c:v>5851</c:v>
                </c:pt>
                <c:pt idx="762">
                  <c:v>5860</c:v>
                </c:pt>
                <c:pt idx="763">
                  <c:v>5860</c:v>
                </c:pt>
                <c:pt idx="764">
                  <c:v>5884</c:v>
                </c:pt>
                <c:pt idx="765">
                  <c:v>5895</c:v>
                </c:pt>
                <c:pt idx="766">
                  <c:v>5906</c:v>
                </c:pt>
                <c:pt idx="767">
                  <c:v>5916</c:v>
                </c:pt>
                <c:pt idx="768">
                  <c:v>5925</c:v>
                </c:pt>
                <c:pt idx="769">
                  <c:v>5933</c:v>
                </c:pt>
                <c:pt idx="770">
                  <c:v>5940</c:v>
                </c:pt>
                <c:pt idx="771">
                  <c:v>5946</c:v>
                </c:pt>
                <c:pt idx="772">
                  <c:v>5953</c:v>
                </c:pt>
                <c:pt idx="773">
                  <c:v>5958</c:v>
                </c:pt>
                <c:pt idx="774">
                  <c:v>5962</c:v>
                </c:pt>
                <c:pt idx="775">
                  <c:v>5965</c:v>
                </c:pt>
                <c:pt idx="776">
                  <c:v>5967</c:v>
                </c:pt>
                <c:pt idx="777">
                  <c:v>5969</c:v>
                </c:pt>
                <c:pt idx="778">
                  <c:v>5969</c:v>
                </c:pt>
                <c:pt idx="779">
                  <c:v>#N/A</c:v>
                </c:pt>
                <c:pt idx="780">
                  <c:v>#N/A</c:v>
                </c:pt>
                <c:pt idx="781">
                  <c:v>#N/A</c:v>
                </c:pt>
                <c:pt idx="782">
                  <c:v>#N/A</c:v>
                </c:pt>
                <c:pt idx="783">
                  <c:v>#N/A</c:v>
                </c:pt>
                <c:pt idx="784">
                  <c:v>5971</c:v>
                </c:pt>
                <c:pt idx="785">
                  <c:v>5971</c:v>
                </c:pt>
                <c:pt idx="786">
                  <c:v>5971</c:v>
                </c:pt>
                <c:pt idx="787">
                  <c:v>5975</c:v>
                </c:pt>
                <c:pt idx="788">
                  <c:v>#N/A</c:v>
                </c:pt>
                <c:pt idx="789">
                  <c:v>#N/A</c:v>
                </c:pt>
                <c:pt idx="790">
                  <c:v>5982</c:v>
                </c:pt>
                <c:pt idx="791">
                  <c:v>5985</c:v>
                </c:pt>
                <c:pt idx="792">
                  <c:v>5988</c:v>
                </c:pt>
                <c:pt idx="793">
                  <c:v>5992</c:v>
                </c:pt>
                <c:pt idx="794">
                  <c:v>5995</c:v>
                </c:pt>
                <c:pt idx="795">
                  <c:v>5999</c:v>
                </c:pt>
                <c:pt idx="796">
                  <c:v>6002</c:v>
                </c:pt>
                <c:pt idx="797">
                  <c:v>6005</c:v>
                </c:pt>
                <c:pt idx="798">
                  <c:v>6005</c:v>
                </c:pt>
                <c:pt idx="799">
                  <c:v>6008</c:v>
                </c:pt>
                <c:pt idx="800">
                  <c:v>6011</c:v>
                </c:pt>
                <c:pt idx="801">
                  <c:v>6014</c:v>
                </c:pt>
                <c:pt idx="802">
                  <c:v>6019</c:v>
                </c:pt>
                <c:pt idx="803">
                  <c:v>6023</c:v>
                </c:pt>
                <c:pt idx="804">
                  <c:v>6025</c:v>
                </c:pt>
                <c:pt idx="805">
                  <c:v>6025</c:v>
                </c:pt>
                <c:pt idx="806">
                  <c:v>6035</c:v>
                </c:pt>
                <c:pt idx="807">
                  <c:v>6035</c:v>
                </c:pt>
                <c:pt idx="808">
                  <c:v>6043</c:v>
                </c:pt>
                <c:pt idx="809">
                  <c:v>6049</c:v>
                </c:pt>
                <c:pt idx="810">
                  <c:v>6057</c:v>
                </c:pt>
                <c:pt idx="811">
                  <c:v>6065</c:v>
                </c:pt>
                <c:pt idx="812">
                  <c:v>#N/A</c:v>
                </c:pt>
                <c:pt idx="813">
                  <c:v>6081</c:v>
                </c:pt>
                <c:pt idx="814">
                  <c:v>6090</c:v>
                </c:pt>
                <c:pt idx="815">
                  <c:v>6100</c:v>
                </c:pt>
                <c:pt idx="816">
                  <c:v>6109</c:v>
                </c:pt>
                <c:pt idx="817">
                  <c:v>6121</c:v>
                </c:pt>
                <c:pt idx="818">
                  <c:v>6130</c:v>
                </c:pt>
                <c:pt idx="819">
                  <c:v>6142</c:v>
                </c:pt>
                <c:pt idx="820">
                  <c:v>6142</c:v>
                </c:pt>
                <c:pt idx="821">
                  <c:v>6165</c:v>
                </c:pt>
                <c:pt idx="822">
                  <c:v>6177</c:v>
                </c:pt>
                <c:pt idx="823">
                  <c:v>6189</c:v>
                </c:pt>
                <c:pt idx="824">
                  <c:v>6190</c:v>
                </c:pt>
                <c:pt idx="825">
                  <c:v>6190</c:v>
                </c:pt>
                <c:pt idx="826">
                  <c:v>6190</c:v>
                </c:pt>
                <c:pt idx="827">
                  <c:v>6216</c:v>
                </c:pt>
                <c:pt idx="828">
                  <c:v>6227</c:v>
                </c:pt>
                <c:pt idx="829">
                  <c:v>6228</c:v>
                </c:pt>
                <c:pt idx="830">
                  <c:v>6228</c:v>
                </c:pt>
                <c:pt idx="831">
                  <c:v>6252</c:v>
                </c:pt>
                <c:pt idx="832">
                  <c:v>6265</c:v>
                </c:pt>
                <c:pt idx="833">
                  <c:v>6279</c:v>
                </c:pt>
                <c:pt idx="834">
                  <c:v>6290</c:v>
                </c:pt>
                <c:pt idx="835">
                  <c:v>6291</c:v>
                </c:pt>
                <c:pt idx="836">
                  <c:v>6291</c:v>
                </c:pt>
                <c:pt idx="837">
                  <c:v>6310</c:v>
                </c:pt>
                <c:pt idx="838">
                  <c:v>6310</c:v>
                </c:pt>
                <c:pt idx="839">
                  <c:v>6310</c:v>
                </c:pt>
                <c:pt idx="840">
                  <c:v>6321</c:v>
                </c:pt>
                <c:pt idx="841">
                  <c:v>6321</c:v>
                </c:pt>
                <c:pt idx="842">
                  <c:v>6321</c:v>
                </c:pt>
                <c:pt idx="843">
                  <c:v>6341</c:v>
                </c:pt>
                <c:pt idx="844">
                  <c:v>6352</c:v>
                </c:pt>
                <c:pt idx="845">
                  <c:v>6364</c:v>
                </c:pt>
                <c:pt idx="846">
                  <c:v>6364</c:v>
                </c:pt>
                <c:pt idx="847">
                  <c:v>6375</c:v>
                </c:pt>
                <c:pt idx="848">
                  <c:v>6376</c:v>
                </c:pt>
                <c:pt idx="849">
                  <c:v>6376</c:v>
                </c:pt>
                <c:pt idx="850">
                  <c:v>#N/A</c:v>
                </c:pt>
                <c:pt idx="851">
                  <c:v>6408</c:v>
                </c:pt>
                <c:pt idx="852">
                  <c:v>6417</c:v>
                </c:pt>
                <c:pt idx="853">
                  <c:v>6427</c:v>
                </c:pt>
                <c:pt idx="854">
                  <c:v>6436</c:v>
                </c:pt>
                <c:pt idx="855">
                  <c:v>6445</c:v>
                </c:pt>
                <c:pt idx="856">
                  <c:v>6454</c:v>
                </c:pt>
                <c:pt idx="857">
                  <c:v>6461</c:v>
                </c:pt>
                <c:pt idx="858">
                  <c:v>6469</c:v>
                </c:pt>
                <c:pt idx="859">
                  <c:v>6469</c:v>
                </c:pt>
                <c:pt idx="860">
                  <c:v>6475</c:v>
                </c:pt>
                <c:pt idx="861">
                  <c:v>6482</c:v>
                </c:pt>
                <c:pt idx="862">
                  <c:v>6487</c:v>
                </c:pt>
                <c:pt idx="863">
                  <c:v>6492</c:v>
                </c:pt>
                <c:pt idx="864">
                  <c:v>6494</c:v>
                </c:pt>
                <c:pt idx="865">
                  <c:v>6494</c:v>
                </c:pt>
                <c:pt idx="866">
                  <c:v>6497</c:v>
                </c:pt>
                <c:pt idx="867">
                  <c:v>6497</c:v>
                </c:pt>
                <c:pt idx="868">
                  <c:v>6500</c:v>
                </c:pt>
                <c:pt idx="869">
                  <c:v>6500</c:v>
                </c:pt>
                <c:pt idx="870">
                  <c:v>6506</c:v>
                </c:pt>
                <c:pt idx="871">
                  <c:v>6510</c:v>
                </c:pt>
                <c:pt idx="872">
                  <c:v>6513</c:v>
                </c:pt>
                <c:pt idx="873">
                  <c:v>6513</c:v>
                </c:pt>
                <c:pt idx="874">
                  <c:v>6518</c:v>
                </c:pt>
                <c:pt idx="875">
                  <c:v>6518</c:v>
                </c:pt>
                <c:pt idx="876">
                  <c:v>6526</c:v>
                </c:pt>
                <c:pt idx="877">
                  <c:v>6529</c:v>
                </c:pt>
                <c:pt idx="878">
                  <c:v>6529</c:v>
                </c:pt>
                <c:pt idx="879">
                  <c:v>6534</c:v>
                </c:pt>
                <c:pt idx="880">
                  <c:v>6534</c:v>
                </c:pt>
                <c:pt idx="881">
                  <c:v>6538</c:v>
                </c:pt>
                <c:pt idx="882">
                  <c:v>6538</c:v>
                </c:pt>
                <c:pt idx="883">
                  <c:v>6538</c:v>
                </c:pt>
                <c:pt idx="884">
                  <c:v>6545</c:v>
                </c:pt>
                <c:pt idx="885">
                  <c:v>6549</c:v>
                </c:pt>
                <c:pt idx="886">
                  <c:v>6553</c:v>
                </c:pt>
                <c:pt idx="887">
                  <c:v>6553</c:v>
                </c:pt>
                <c:pt idx="888">
                  <c:v>6556</c:v>
                </c:pt>
                <c:pt idx="889">
                  <c:v>6559</c:v>
                </c:pt>
                <c:pt idx="890">
                  <c:v>6562</c:v>
                </c:pt>
                <c:pt idx="891">
                  <c:v>6562</c:v>
                </c:pt>
                <c:pt idx="892">
                  <c:v>#N/A</c:v>
                </c:pt>
                <c:pt idx="893">
                  <c:v>6570</c:v>
                </c:pt>
                <c:pt idx="894">
                  <c:v>6573</c:v>
                </c:pt>
                <c:pt idx="895">
                  <c:v>6573</c:v>
                </c:pt>
                <c:pt idx="896">
                  <c:v>6578</c:v>
                </c:pt>
                <c:pt idx="897">
                  <c:v>6582</c:v>
                </c:pt>
                <c:pt idx="898">
                  <c:v>6586</c:v>
                </c:pt>
                <c:pt idx="899">
                  <c:v>6590</c:v>
                </c:pt>
                <c:pt idx="900">
                  <c:v>6590</c:v>
                </c:pt>
                <c:pt idx="901">
                  <c:v>6591</c:v>
                </c:pt>
                <c:pt idx="902">
                  <c:v>6591</c:v>
                </c:pt>
                <c:pt idx="903">
                  <c:v>6591</c:v>
                </c:pt>
                <c:pt idx="904">
                  <c:v>#N/A</c:v>
                </c:pt>
                <c:pt idx="905">
                  <c:v>#N/A</c:v>
                </c:pt>
                <c:pt idx="906">
                  <c:v>6602</c:v>
                </c:pt>
                <c:pt idx="907">
                  <c:v>6602</c:v>
                </c:pt>
                <c:pt idx="908">
                  <c:v>6606</c:v>
                </c:pt>
                <c:pt idx="909">
                  <c:v>6611</c:v>
                </c:pt>
                <c:pt idx="910">
                  <c:v>6616</c:v>
                </c:pt>
                <c:pt idx="911">
                  <c:v>6621</c:v>
                </c:pt>
                <c:pt idx="912">
                  <c:v>6626</c:v>
                </c:pt>
                <c:pt idx="913">
                  <c:v>6626</c:v>
                </c:pt>
                <c:pt idx="914">
                  <c:v>6632</c:v>
                </c:pt>
                <c:pt idx="915">
                  <c:v>6637</c:v>
                </c:pt>
                <c:pt idx="916">
                  <c:v>6637</c:v>
                </c:pt>
                <c:pt idx="917">
                  <c:v>6643</c:v>
                </c:pt>
                <c:pt idx="918">
                  <c:v>6648</c:v>
                </c:pt>
                <c:pt idx="919">
                  <c:v>6648</c:v>
                </c:pt>
                <c:pt idx="920">
                  <c:v>6654</c:v>
                </c:pt>
                <c:pt idx="921">
                  <c:v>6654</c:v>
                </c:pt>
                <c:pt idx="922">
                  <c:v>6660</c:v>
                </c:pt>
                <c:pt idx="923">
                  <c:v>6665</c:v>
                </c:pt>
                <c:pt idx="924">
                  <c:v>6670</c:v>
                </c:pt>
                <c:pt idx="925">
                  <c:v>6676</c:v>
                </c:pt>
                <c:pt idx="926">
                  <c:v>6681</c:v>
                </c:pt>
                <c:pt idx="927">
                  <c:v>6687</c:v>
                </c:pt>
                <c:pt idx="928">
                  <c:v>6693</c:v>
                </c:pt>
                <c:pt idx="929">
                  <c:v>6698</c:v>
                </c:pt>
                <c:pt idx="930">
                  <c:v>6698</c:v>
                </c:pt>
                <c:pt idx="931">
                  <c:v>6698</c:v>
                </c:pt>
                <c:pt idx="932">
                  <c:v>6709</c:v>
                </c:pt>
                <c:pt idx="933">
                  <c:v>6715</c:v>
                </c:pt>
                <c:pt idx="934">
                  <c:v>6715</c:v>
                </c:pt>
                <c:pt idx="935">
                  <c:v>6722</c:v>
                </c:pt>
                <c:pt idx="936">
                  <c:v>6728</c:v>
                </c:pt>
                <c:pt idx="937">
                  <c:v>6729</c:v>
                </c:pt>
                <c:pt idx="938">
                  <c:v>6729</c:v>
                </c:pt>
                <c:pt idx="939">
                  <c:v>6739</c:v>
                </c:pt>
                <c:pt idx="940">
                  <c:v>6740</c:v>
                </c:pt>
                <c:pt idx="941">
                  <c:v>6740</c:v>
                </c:pt>
                <c:pt idx="942">
                  <c:v>6740</c:v>
                </c:pt>
                <c:pt idx="943">
                  <c:v>6754</c:v>
                </c:pt>
                <c:pt idx="944">
                  <c:v>6758</c:v>
                </c:pt>
                <c:pt idx="945">
                  <c:v>6762</c:v>
                </c:pt>
                <c:pt idx="946">
                  <c:v>6764</c:v>
                </c:pt>
                <c:pt idx="947">
                  <c:v>6766</c:v>
                </c:pt>
                <c:pt idx="948">
                  <c:v>6767</c:v>
                </c:pt>
                <c:pt idx="949">
                  <c:v>6768</c:v>
                </c:pt>
                <c:pt idx="950">
                  <c:v>6769</c:v>
                </c:pt>
                <c:pt idx="951">
                  <c:v>#N/A</c:v>
                </c:pt>
                <c:pt idx="952">
                  <c:v>#N/A</c:v>
                </c:pt>
                <c:pt idx="953">
                  <c:v>6771</c:v>
                </c:pt>
                <c:pt idx="954">
                  <c:v>6771</c:v>
                </c:pt>
                <c:pt idx="955">
                  <c:v>6771</c:v>
                </c:pt>
                <c:pt idx="956">
                  <c:v>#N/A</c:v>
                </c:pt>
                <c:pt idx="957">
                  <c:v>6774</c:v>
                </c:pt>
                <c:pt idx="958">
                  <c:v>6774</c:v>
                </c:pt>
                <c:pt idx="959">
                  <c:v>6784</c:v>
                </c:pt>
                <c:pt idx="960">
                  <c:v>6785</c:v>
                </c:pt>
                <c:pt idx="961">
                  <c:v>6785</c:v>
                </c:pt>
                <c:pt idx="962">
                  <c:v>6799</c:v>
                </c:pt>
                <c:pt idx="963">
                  <c:v>6808</c:v>
                </c:pt>
                <c:pt idx="964">
                  <c:v>6818</c:v>
                </c:pt>
                <c:pt idx="965">
                  <c:v>6828</c:v>
                </c:pt>
                <c:pt idx="966">
                  <c:v>6839</c:v>
                </c:pt>
                <c:pt idx="967">
                  <c:v>6840</c:v>
                </c:pt>
                <c:pt idx="968">
                  <c:v>6840</c:v>
                </c:pt>
                <c:pt idx="969">
                  <c:v>6852</c:v>
                </c:pt>
                <c:pt idx="970">
                  <c:v>6852</c:v>
                </c:pt>
                <c:pt idx="971">
                  <c:v>6879</c:v>
                </c:pt>
                <c:pt idx="972">
                  <c:v>6895</c:v>
                </c:pt>
                <c:pt idx="973">
                  <c:v>6909</c:v>
                </c:pt>
                <c:pt idx="974">
                  <c:v>6909</c:v>
                </c:pt>
                <c:pt idx="975">
                  <c:v>6942</c:v>
                </c:pt>
                <c:pt idx="976">
                  <c:v>6954</c:v>
                </c:pt>
                <c:pt idx="977">
                  <c:v>6954</c:v>
                </c:pt>
                <c:pt idx="978">
                  <c:v>6974</c:v>
                </c:pt>
                <c:pt idx="979">
                  <c:v>6992</c:v>
                </c:pt>
                <c:pt idx="980">
                  <c:v>7009</c:v>
                </c:pt>
                <c:pt idx="981">
                  <c:v>7029</c:v>
                </c:pt>
                <c:pt idx="982">
                  <c:v>7055</c:v>
                </c:pt>
                <c:pt idx="983">
                  <c:v>7062</c:v>
                </c:pt>
                <c:pt idx="984">
                  <c:v>7079</c:v>
                </c:pt>
                <c:pt idx="985">
                  <c:v>7098</c:v>
                </c:pt>
                <c:pt idx="986">
                  <c:v>7113</c:v>
                </c:pt>
                <c:pt idx="987">
                  <c:v>7131</c:v>
                </c:pt>
                <c:pt idx="988">
                  <c:v>7149</c:v>
                </c:pt>
                <c:pt idx="989">
                  <c:v>7149</c:v>
                </c:pt>
                <c:pt idx="990">
                  <c:v>7184</c:v>
                </c:pt>
                <c:pt idx="991">
                  <c:v>7200</c:v>
                </c:pt>
                <c:pt idx="992">
                  <c:v>7204</c:v>
                </c:pt>
                <c:pt idx="993">
                  <c:v>7204</c:v>
                </c:pt>
                <c:pt idx="994">
                  <c:v>7204</c:v>
                </c:pt>
                <c:pt idx="995">
                  <c:v>7232</c:v>
                </c:pt>
                <c:pt idx="996">
                  <c:v>7249</c:v>
                </c:pt>
                <c:pt idx="997">
                  <c:v>7263</c:v>
                </c:pt>
                <c:pt idx="998">
                  <c:v>7277</c:v>
                </c:pt>
                <c:pt idx="999">
                  <c:v>7277</c:v>
                </c:pt>
                <c:pt idx="1000">
                  <c:v>7291</c:v>
                </c:pt>
                <c:pt idx="1001">
                  <c:v>7302</c:v>
                </c:pt>
                <c:pt idx="1002">
                  <c:v>7307</c:v>
                </c:pt>
                <c:pt idx="1003">
                  <c:v>7307</c:v>
                </c:pt>
                <c:pt idx="1004">
                  <c:v>7330</c:v>
                </c:pt>
                <c:pt idx="1005">
                  <c:v>7343</c:v>
                </c:pt>
                <c:pt idx="1006">
                  <c:v>7356</c:v>
                </c:pt>
                <c:pt idx="1007">
                  <c:v>7369</c:v>
                </c:pt>
                <c:pt idx="1008">
                  <c:v>7381</c:v>
                </c:pt>
                <c:pt idx="1009">
                  <c:v>7395</c:v>
                </c:pt>
                <c:pt idx="1010">
                  <c:v>7408</c:v>
                </c:pt>
                <c:pt idx="1011">
                  <c:v>7420</c:v>
                </c:pt>
                <c:pt idx="1012">
                  <c:v>7420</c:v>
                </c:pt>
                <c:pt idx="1013">
                  <c:v>7446</c:v>
                </c:pt>
                <c:pt idx="1014">
                  <c:v>7446</c:v>
                </c:pt>
                <c:pt idx="1015">
                  <c:v>7477</c:v>
                </c:pt>
                <c:pt idx="1016">
                  <c:v>7492</c:v>
                </c:pt>
                <c:pt idx="1017">
                  <c:v>7510</c:v>
                </c:pt>
                <c:pt idx="1018">
                  <c:v>7527</c:v>
                </c:pt>
                <c:pt idx="1019">
                  <c:v>7542</c:v>
                </c:pt>
                <c:pt idx="1020">
                  <c:v>7559</c:v>
                </c:pt>
                <c:pt idx="1021">
                  <c:v>7573</c:v>
                </c:pt>
                <c:pt idx="1022">
                  <c:v>7573</c:v>
                </c:pt>
                <c:pt idx="1023">
                  <c:v>7584</c:v>
                </c:pt>
                <c:pt idx="1024">
                  <c:v>7584</c:v>
                </c:pt>
                <c:pt idx="1025">
                  <c:v>7591</c:v>
                </c:pt>
                <c:pt idx="1026">
                  <c:v>7591</c:v>
                </c:pt>
                <c:pt idx="1027">
                  <c:v>7608</c:v>
                </c:pt>
                <c:pt idx="1028">
                  <c:v>7608</c:v>
                </c:pt>
                <c:pt idx="1029">
                  <c:v>7638</c:v>
                </c:pt>
                <c:pt idx="1030">
                  <c:v>7655</c:v>
                </c:pt>
                <c:pt idx="1031">
                  <c:v>7668</c:v>
                </c:pt>
                <c:pt idx="1032">
                  <c:v>7683</c:v>
                </c:pt>
                <c:pt idx="1033">
                  <c:v>7696</c:v>
                </c:pt>
                <c:pt idx="1034">
                  <c:v>7696</c:v>
                </c:pt>
                <c:pt idx="1035">
                  <c:v>7705</c:v>
                </c:pt>
                <c:pt idx="1036">
                  <c:v>7705</c:v>
                </c:pt>
                <c:pt idx="1037">
                  <c:v>7710</c:v>
                </c:pt>
                <c:pt idx="1038">
                  <c:v>7710</c:v>
                </c:pt>
                <c:pt idx="1039">
                  <c:v>7731</c:v>
                </c:pt>
                <c:pt idx="1040">
                  <c:v>7731</c:v>
                </c:pt>
                <c:pt idx="1041">
                  <c:v>7755</c:v>
                </c:pt>
                <c:pt idx="1042">
                  <c:v>7755</c:v>
                </c:pt>
                <c:pt idx="1043">
                  <c:v>7780</c:v>
                </c:pt>
                <c:pt idx="1044">
                  <c:v>7793</c:v>
                </c:pt>
                <c:pt idx="1045">
                  <c:v>7805</c:v>
                </c:pt>
                <c:pt idx="1046">
                  <c:v>7806</c:v>
                </c:pt>
                <c:pt idx="1047">
                  <c:v>7806</c:v>
                </c:pt>
                <c:pt idx="1048">
                  <c:v>7831</c:v>
                </c:pt>
                <c:pt idx="1049">
                  <c:v>7847</c:v>
                </c:pt>
                <c:pt idx="1050">
                  <c:v>7862</c:v>
                </c:pt>
                <c:pt idx="1051">
                  <c:v>7876</c:v>
                </c:pt>
                <c:pt idx="1052">
                  <c:v>7892</c:v>
                </c:pt>
                <c:pt idx="1053">
                  <c:v>7909</c:v>
                </c:pt>
                <c:pt idx="1054">
                  <c:v>7924</c:v>
                </c:pt>
                <c:pt idx="1055">
                  <c:v>7941</c:v>
                </c:pt>
                <c:pt idx="1056">
                  <c:v>7955</c:v>
                </c:pt>
                <c:pt idx="1057">
                  <c:v>7972</c:v>
                </c:pt>
                <c:pt idx="1058">
                  <c:v>7987</c:v>
                </c:pt>
                <c:pt idx="1059">
                  <c:v>8002</c:v>
                </c:pt>
                <c:pt idx="1060">
                  <c:v>8018</c:v>
                </c:pt>
                <c:pt idx="1061">
                  <c:v>8033</c:v>
                </c:pt>
                <c:pt idx="1062">
                  <c:v>8033</c:v>
                </c:pt>
                <c:pt idx="1063">
                  <c:v>#N/A</c:v>
                </c:pt>
                <c:pt idx="1064">
                  <c:v>8053</c:v>
                </c:pt>
                <c:pt idx="1065">
                  <c:v>8053</c:v>
                </c:pt>
                <c:pt idx="1066">
                  <c:v>8075</c:v>
                </c:pt>
                <c:pt idx="1067">
                  <c:v>8089</c:v>
                </c:pt>
                <c:pt idx="1068">
                  <c:v>8089</c:v>
                </c:pt>
                <c:pt idx="1069">
                  <c:v>8102</c:v>
                </c:pt>
                <c:pt idx="1070">
                  <c:v>8102</c:v>
                </c:pt>
                <c:pt idx="1071">
                  <c:v>8102</c:v>
                </c:pt>
                <c:pt idx="1072">
                  <c:v>8125</c:v>
                </c:pt>
                <c:pt idx="1073">
                  <c:v>8127</c:v>
                </c:pt>
                <c:pt idx="1074">
                  <c:v>8127</c:v>
                </c:pt>
                <c:pt idx="1075">
                  <c:v>8137</c:v>
                </c:pt>
                <c:pt idx="1076">
                  <c:v>8137</c:v>
                </c:pt>
                <c:pt idx="1077">
                  <c:v>8155</c:v>
                </c:pt>
                <c:pt idx="1078">
                  <c:v>8163</c:v>
                </c:pt>
                <c:pt idx="1079">
                  <c:v>8170</c:v>
                </c:pt>
                <c:pt idx="1080">
                  <c:v>8170</c:v>
                </c:pt>
                <c:pt idx="1081">
                  <c:v>#N/A</c:v>
                </c:pt>
                <c:pt idx="1082">
                  <c:v>8182</c:v>
                </c:pt>
                <c:pt idx="1083">
                  <c:v>8187</c:v>
                </c:pt>
                <c:pt idx="1084">
                  <c:v>8191</c:v>
                </c:pt>
                <c:pt idx="1085">
                  <c:v>8193</c:v>
                </c:pt>
                <c:pt idx="1086">
                  <c:v>8196</c:v>
                </c:pt>
                <c:pt idx="1087">
                  <c:v>8198</c:v>
                </c:pt>
                <c:pt idx="1088">
                  <c:v>8199</c:v>
                </c:pt>
                <c:pt idx="1089">
                  <c:v>8200</c:v>
                </c:pt>
                <c:pt idx="1090">
                  <c:v>#N/A</c:v>
                </c:pt>
                <c:pt idx="1091">
                  <c:v>#N/A</c:v>
                </c:pt>
                <c:pt idx="1092">
                  <c:v>#N/A</c:v>
                </c:pt>
                <c:pt idx="1093">
                  <c:v>#N/A</c:v>
                </c:pt>
                <c:pt idx="1094">
                  <c:v>#N/A</c:v>
                </c:pt>
                <c:pt idx="1095">
                  <c:v>8202</c:v>
                </c:pt>
                <c:pt idx="1096">
                  <c:v>8205</c:v>
                </c:pt>
                <c:pt idx="1097">
                  <c:v>8209</c:v>
                </c:pt>
                <c:pt idx="1098">
                  <c:v>8215</c:v>
                </c:pt>
                <c:pt idx="1099">
                  <c:v>8216</c:v>
                </c:pt>
                <c:pt idx="1100">
                  <c:v>8216</c:v>
                </c:pt>
                <c:pt idx="1101">
                  <c:v>8224</c:v>
                </c:pt>
                <c:pt idx="1102">
                  <c:v>8224</c:v>
                </c:pt>
                <c:pt idx="1103">
                  <c:v>8240</c:v>
                </c:pt>
                <c:pt idx="1104">
                  <c:v>8250</c:v>
                </c:pt>
                <c:pt idx="1105">
                  <c:v>8264</c:v>
                </c:pt>
                <c:pt idx="1106">
                  <c:v>8275</c:v>
                </c:pt>
                <c:pt idx="1107">
                  <c:v>8290</c:v>
                </c:pt>
                <c:pt idx="1108">
                  <c:v>8304</c:v>
                </c:pt>
                <c:pt idx="1109">
                  <c:v>8320</c:v>
                </c:pt>
                <c:pt idx="1110">
                  <c:v>8336</c:v>
                </c:pt>
                <c:pt idx="1111">
                  <c:v>8336</c:v>
                </c:pt>
                <c:pt idx="1112">
                  <c:v>8353</c:v>
                </c:pt>
                <c:pt idx="1113">
                  <c:v>8371</c:v>
                </c:pt>
                <c:pt idx="1114">
                  <c:v>8389</c:v>
                </c:pt>
                <c:pt idx="1115">
                  <c:v>8405</c:v>
                </c:pt>
                <c:pt idx="1116">
                  <c:v>8405</c:v>
                </c:pt>
                <c:pt idx="1117">
                  <c:v>8424</c:v>
                </c:pt>
                <c:pt idx="1118">
                  <c:v>8425</c:v>
                </c:pt>
                <c:pt idx="1119">
                  <c:v>8425</c:v>
                </c:pt>
                <c:pt idx="1120">
                  <c:v>8462</c:v>
                </c:pt>
                <c:pt idx="1121">
                  <c:v>8481</c:v>
                </c:pt>
                <c:pt idx="1122">
                  <c:v>8498</c:v>
                </c:pt>
                <c:pt idx="1123">
                  <c:v>8498</c:v>
                </c:pt>
                <c:pt idx="1124">
                  <c:v>8517</c:v>
                </c:pt>
                <c:pt idx="1125">
                  <c:v>8539</c:v>
                </c:pt>
                <c:pt idx="1126">
                  <c:v>8539</c:v>
                </c:pt>
                <c:pt idx="1127">
                  <c:v>8555</c:v>
                </c:pt>
                <c:pt idx="1128">
                  <c:v>8556</c:v>
                </c:pt>
                <c:pt idx="1129">
                  <c:v>8556</c:v>
                </c:pt>
                <c:pt idx="1130">
                  <c:v>8575</c:v>
                </c:pt>
                <c:pt idx="1131">
                  <c:v>8575</c:v>
                </c:pt>
                <c:pt idx="1132">
                  <c:v>8575</c:v>
                </c:pt>
                <c:pt idx="1133">
                  <c:v>8630</c:v>
                </c:pt>
                <c:pt idx="1134">
                  <c:v>8648</c:v>
                </c:pt>
                <c:pt idx="1135">
                  <c:v>8668</c:v>
                </c:pt>
                <c:pt idx="1136">
                  <c:v>8668</c:v>
                </c:pt>
                <c:pt idx="1137">
                  <c:v>8704</c:v>
                </c:pt>
                <c:pt idx="1138">
                  <c:v>8722</c:v>
                </c:pt>
                <c:pt idx="1139">
                  <c:v>8741</c:v>
                </c:pt>
                <c:pt idx="1140">
                  <c:v>8760</c:v>
                </c:pt>
                <c:pt idx="1141">
                  <c:v>8778</c:v>
                </c:pt>
                <c:pt idx="1142">
                  <c:v>8794</c:v>
                </c:pt>
                <c:pt idx="1143">
                  <c:v>8799</c:v>
                </c:pt>
                <c:pt idx="1144">
                  <c:v>8799</c:v>
                </c:pt>
                <c:pt idx="1145">
                  <c:v>8829</c:v>
                </c:pt>
                <c:pt idx="1146">
                  <c:v>8831</c:v>
                </c:pt>
                <c:pt idx="1147">
                  <c:v>8831</c:v>
                </c:pt>
                <c:pt idx="1148">
                  <c:v>8864</c:v>
                </c:pt>
                <c:pt idx="1149">
                  <c:v>8879</c:v>
                </c:pt>
                <c:pt idx="1150">
                  <c:v>8887</c:v>
                </c:pt>
                <c:pt idx="1151">
                  <c:v>8887</c:v>
                </c:pt>
                <c:pt idx="1152">
                  <c:v>8887</c:v>
                </c:pt>
                <c:pt idx="1153">
                  <c:v>8911</c:v>
                </c:pt>
                <c:pt idx="1154">
                  <c:v>8912</c:v>
                </c:pt>
                <c:pt idx="1155">
                  <c:v>8912</c:v>
                </c:pt>
                <c:pt idx="1156">
                  <c:v>8931</c:v>
                </c:pt>
                <c:pt idx="1157">
                  <c:v>8931</c:v>
                </c:pt>
                <c:pt idx="1158">
                  <c:v>8957</c:v>
                </c:pt>
                <c:pt idx="1159">
                  <c:v>8957</c:v>
                </c:pt>
                <c:pt idx="1160">
                  <c:v>8970</c:v>
                </c:pt>
                <c:pt idx="1161">
                  <c:v>8984</c:v>
                </c:pt>
                <c:pt idx="1162">
                  <c:v>8997</c:v>
                </c:pt>
                <c:pt idx="1163">
                  <c:v>9008</c:v>
                </c:pt>
                <c:pt idx="1164">
                  <c:v>9020</c:v>
                </c:pt>
                <c:pt idx="1165">
                  <c:v>9031</c:v>
                </c:pt>
                <c:pt idx="1166">
                  <c:v>9042</c:v>
                </c:pt>
                <c:pt idx="1167">
                  <c:v>9052</c:v>
                </c:pt>
                <c:pt idx="1168">
                  <c:v>9062</c:v>
                </c:pt>
                <c:pt idx="1169">
                  <c:v>9073</c:v>
                </c:pt>
                <c:pt idx="1170">
                  <c:v>9083</c:v>
                </c:pt>
                <c:pt idx="1171">
                  <c:v>9093</c:v>
                </c:pt>
                <c:pt idx="1172">
                  <c:v>9102</c:v>
                </c:pt>
                <c:pt idx="1173">
                  <c:v>9111</c:v>
                </c:pt>
                <c:pt idx="1174">
                  <c:v>9112</c:v>
                </c:pt>
                <c:pt idx="1175">
                  <c:v>9112</c:v>
                </c:pt>
                <c:pt idx="1176">
                  <c:v>9128</c:v>
                </c:pt>
                <c:pt idx="1177">
                  <c:v>9137</c:v>
                </c:pt>
                <c:pt idx="1178">
                  <c:v>9144</c:v>
                </c:pt>
                <c:pt idx="1179">
                  <c:v>9148</c:v>
                </c:pt>
                <c:pt idx="1180">
                  <c:v>9148</c:v>
                </c:pt>
                <c:pt idx="1181">
                  <c:v>9148</c:v>
                </c:pt>
                <c:pt idx="1182">
                  <c:v>9158</c:v>
                </c:pt>
                <c:pt idx="1183">
                  <c:v>9163</c:v>
                </c:pt>
                <c:pt idx="1184">
                  <c:v>9163</c:v>
                </c:pt>
                <c:pt idx="1185">
                  <c:v>9168</c:v>
                </c:pt>
                <c:pt idx="1186">
                  <c:v>9172</c:v>
                </c:pt>
                <c:pt idx="1187">
                  <c:v>9173</c:v>
                </c:pt>
                <c:pt idx="1188">
                  <c:v>9173</c:v>
                </c:pt>
                <c:pt idx="1189">
                  <c:v>#N/A</c:v>
                </c:pt>
                <c:pt idx="1190">
                  <c:v>9179</c:v>
                </c:pt>
                <c:pt idx="1191">
                  <c:v>9179</c:v>
                </c:pt>
                <c:pt idx="1192">
                  <c:v>#N/A</c:v>
                </c:pt>
                <c:pt idx="1193">
                  <c:v>9181</c:v>
                </c:pt>
                <c:pt idx="1194">
                  <c:v>#N/A</c:v>
                </c:pt>
                <c:pt idx="1195">
                  <c:v>#N/A</c:v>
                </c:pt>
                <c:pt idx="1196">
                  <c:v>#N/A</c:v>
                </c:pt>
                <c:pt idx="1197">
                  <c:v>#N/A</c:v>
                </c:pt>
                <c:pt idx="1198">
                  <c:v>9183</c:v>
                </c:pt>
                <c:pt idx="1199">
                  <c:v>9187</c:v>
                </c:pt>
                <c:pt idx="1200">
                  <c:v>9192</c:v>
                </c:pt>
                <c:pt idx="1201">
                  <c:v>9198</c:v>
                </c:pt>
                <c:pt idx="1202">
                  <c:v>9200</c:v>
                </c:pt>
                <c:pt idx="1203">
                  <c:v>9200</c:v>
                </c:pt>
                <c:pt idx="1204">
                  <c:v>9213</c:v>
                </c:pt>
                <c:pt idx="1205">
                  <c:v>9221</c:v>
                </c:pt>
                <c:pt idx="1206">
                  <c:v>9228</c:v>
                </c:pt>
                <c:pt idx="1207">
                  <c:v>9228</c:v>
                </c:pt>
                <c:pt idx="1208">
                  <c:v>9243</c:v>
                </c:pt>
                <c:pt idx="1209">
                  <c:v>9249</c:v>
                </c:pt>
                <c:pt idx="1210">
                  <c:v>9250</c:v>
                </c:pt>
                <c:pt idx="1211">
                  <c:v>9250</c:v>
                </c:pt>
                <c:pt idx="1212">
                  <c:v>9264</c:v>
                </c:pt>
                <c:pt idx="1213">
                  <c:v>9264</c:v>
                </c:pt>
                <c:pt idx="1214">
                  <c:v>9272</c:v>
                </c:pt>
                <c:pt idx="1215">
                  <c:v>9279</c:v>
                </c:pt>
                <c:pt idx="1216">
                  <c:v>9287</c:v>
                </c:pt>
                <c:pt idx="1217">
                  <c:v>9287</c:v>
                </c:pt>
                <c:pt idx="1218">
                  <c:v>9297</c:v>
                </c:pt>
                <c:pt idx="1219">
                  <c:v>9306</c:v>
                </c:pt>
                <c:pt idx="1220">
                  <c:v>9306</c:v>
                </c:pt>
                <c:pt idx="1221">
                  <c:v>#N/A</c:v>
                </c:pt>
                <c:pt idx="1222">
                  <c:v>9329</c:v>
                </c:pt>
                <c:pt idx="1223">
                  <c:v>9341</c:v>
                </c:pt>
                <c:pt idx="1224">
                  <c:v>9343</c:v>
                </c:pt>
                <c:pt idx="1225">
                  <c:v>9343</c:v>
                </c:pt>
                <c:pt idx="1226">
                  <c:v>9370</c:v>
                </c:pt>
                <c:pt idx="1227">
                  <c:v>9384</c:v>
                </c:pt>
                <c:pt idx="1228">
                  <c:v>9400</c:v>
                </c:pt>
                <c:pt idx="1229">
                  <c:v>9414</c:v>
                </c:pt>
                <c:pt idx="1230">
                  <c:v>9430</c:v>
                </c:pt>
                <c:pt idx="1231">
                  <c:v>9447</c:v>
                </c:pt>
                <c:pt idx="1232">
                  <c:v>9463</c:v>
                </c:pt>
                <c:pt idx="1233">
                  <c:v>9480</c:v>
                </c:pt>
                <c:pt idx="1234">
                  <c:v>9495</c:v>
                </c:pt>
                <c:pt idx="1235">
                  <c:v>9511</c:v>
                </c:pt>
                <c:pt idx="1236">
                  <c:v>9511</c:v>
                </c:pt>
                <c:pt idx="1237">
                  <c:v>9529</c:v>
                </c:pt>
                <c:pt idx="1238">
                  <c:v>9545</c:v>
                </c:pt>
                <c:pt idx="1239">
                  <c:v>9561</c:v>
                </c:pt>
                <c:pt idx="1240">
                  <c:v>9577</c:v>
                </c:pt>
                <c:pt idx="1241">
                  <c:v>9577</c:v>
                </c:pt>
                <c:pt idx="1242">
                  <c:v>9594</c:v>
                </c:pt>
                <c:pt idx="1243">
                  <c:v>9595</c:v>
                </c:pt>
                <c:pt idx="1244">
                  <c:v>9595</c:v>
                </c:pt>
                <c:pt idx="1245">
                  <c:v>9627</c:v>
                </c:pt>
                <c:pt idx="1246">
                  <c:v>9638</c:v>
                </c:pt>
                <c:pt idx="1247">
                  <c:v>9638</c:v>
                </c:pt>
                <c:pt idx="1248">
                  <c:v>9649</c:v>
                </c:pt>
                <c:pt idx="1249">
                  <c:v>9649</c:v>
                </c:pt>
                <c:pt idx="1250">
                  <c:v>9676</c:v>
                </c:pt>
                <c:pt idx="1251">
                  <c:v>9693</c:v>
                </c:pt>
                <c:pt idx="1252">
                  <c:v>9694</c:v>
                </c:pt>
                <c:pt idx="1253">
                  <c:v>9694</c:v>
                </c:pt>
                <c:pt idx="1254">
                  <c:v>9694</c:v>
                </c:pt>
                <c:pt idx="1255">
                  <c:v>9739</c:v>
                </c:pt>
                <c:pt idx="1256">
                  <c:v>9752</c:v>
                </c:pt>
                <c:pt idx="1257">
                  <c:v>9767</c:v>
                </c:pt>
                <c:pt idx="1258">
                  <c:v>9781</c:v>
                </c:pt>
                <c:pt idx="1259">
                  <c:v>9794</c:v>
                </c:pt>
                <c:pt idx="1260">
                  <c:v>9807</c:v>
                </c:pt>
                <c:pt idx="1261">
                  <c:v>9820</c:v>
                </c:pt>
                <c:pt idx="1262">
                  <c:v>9832</c:v>
                </c:pt>
                <c:pt idx="1263">
                  <c:v>9844</c:v>
                </c:pt>
                <c:pt idx="1264">
                  <c:v>9850</c:v>
                </c:pt>
                <c:pt idx="1265">
                  <c:v>9850</c:v>
                </c:pt>
                <c:pt idx="1266">
                  <c:v>9850</c:v>
                </c:pt>
                <c:pt idx="1267">
                  <c:v>9867</c:v>
                </c:pt>
                <c:pt idx="1268">
                  <c:v>9878</c:v>
                </c:pt>
                <c:pt idx="1269">
                  <c:v>9882</c:v>
                </c:pt>
                <c:pt idx="1270">
                  <c:v>9882</c:v>
                </c:pt>
                <c:pt idx="1271">
                  <c:v>9899</c:v>
                </c:pt>
                <c:pt idx="1272">
                  <c:v>9910</c:v>
                </c:pt>
                <c:pt idx="1273">
                  <c:v>9918</c:v>
                </c:pt>
                <c:pt idx="1274">
                  <c:v>9927</c:v>
                </c:pt>
                <c:pt idx="1275">
                  <c:v>9935</c:v>
                </c:pt>
                <c:pt idx="1276">
                  <c:v>9943</c:v>
                </c:pt>
                <c:pt idx="1277">
                  <c:v>9949</c:v>
                </c:pt>
                <c:pt idx="1278">
                  <c:v>9955</c:v>
                </c:pt>
                <c:pt idx="1279">
                  <c:v>9959</c:v>
                </c:pt>
                <c:pt idx="1280">
                  <c:v>9962</c:v>
                </c:pt>
                <c:pt idx="1281">
                  <c:v>9964</c:v>
                </c:pt>
                <c:pt idx="1282">
                  <c:v>9965</c:v>
                </c:pt>
                <c:pt idx="1283">
                  <c:v>9966</c:v>
                </c:pt>
                <c:pt idx="1284">
                  <c:v>#N/A</c:v>
                </c:pt>
                <c:pt idx="1285">
                  <c:v>#N/A</c:v>
                </c:pt>
                <c:pt idx="1286">
                  <c:v>#N/A</c:v>
                </c:pt>
                <c:pt idx="1287">
                  <c:v>9967</c:v>
                </c:pt>
                <c:pt idx="1288">
                  <c:v>#N/A</c:v>
                </c:pt>
                <c:pt idx="1289">
                  <c:v>9974</c:v>
                </c:pt>
                <c:pt idx="1290">
                  <c:v>9977</c:v>
                </c:pt>
                <c:pt idx="1291">
                  <c:v>9977</c:v>
                </c:pt>
                <c:pt idx="1292">
                  <c:v>9985</c:v>
                </c:pt>
                <c:pt idx="1293">
                  <c:v>9985</c:v>
                </c:pt>
                <c:pt idx="1294">
                  <c:v>#N/A</c:v>
                </c:pt>
                <c:pt idx="1295">
                  <c:v>10000</c:v>
                </c:pt>
                <c:pt idx="1296">
                  <c:v>10000</c:v>
                </c:pt>
                <c:pt idx="1297">
                  <c:v>10010</c:v>
                </c:pt>
                <c:pt idx="1298">
                  <c:v>10021</c:v>
                </c:pt>
                <c:pt idx="1299">
                  <c:v>10032</c:v>
                </c:pt>
                <c:pt idx="1300">
                  <c:v>10046</c:v>
                </c:pt>
                <c:pt idx="1301">
                  <c:v>10058</c:v>
                </c:pt>
                <c:pt idx="1302">
                  <c:v>10072</c:v>
                </c:pt>
                <c:pt idx="1303">
                  <c:v>10087</c:v>
                </c:pt>
                <c:pt idx="1304">
                  <c:v>10087</c:v>
                </c:pt>
                <c:pt idx="1305">
                  <c:v>10117</c:v>
                </c:pt>
                <c:pt idx="1306">
                  <c:v>10119</c:v>
                </c:pt>
                <c:pt idx="1307">
                  <c:v>10119</c:v>
                </c:pt>
                <c:pt idx="1308">
                  <c:v>10149</c:v>
                </c:pt>
                <c:pt idx="1309">
                  <c:v>10165</c:v>
                </c:pt>
                <c:pt idx="1310">
                  <c:v>10181</c:v>
                </c:pt>
                <c:pt idx="1311">
                  <c:v>10200</c:v>
                </c:pt>
                <c:pt idx="1312">
                  <c:v>10216</c:v>
                </c:pt>
                <c:pt idx="1313">
                  <c:v>10235</c:v>
                </c:pt>
                <c:pt idx="1314">
                  <c:v>10252</c:v>
                </c:pt>
                <c:pt idx="1315">
                  <c:v>10270</c:v>
                </c:pt>
                <c:pt idx="1316">
                  <c:v>10273</c:v>
                </c:pt>
                <c:pt idx="1317">
                  <c:v>10273</c:v>
                </c:pt>
                <c:pt idx="1318">
                  <c:v>10307</c:v>
                </c:pt>
                <c:pt idx="1319">
                  <c:v>10308</c:v>
                </c:pt>
                <c:pt idx="1320">
                  <c:v>10308</c:v>
                </c:pt>
                <c:pt idx="1321">
                  <c:v>10344</c:v>
                </c:pt>
                <c:pt idx="1322">
                  <c:v>10363</c:v>
                </c:pt>
                <c:pt idx="1323">
                  <c:v>10379</c:v>
                </c:pt>
                <c:pt idx="1324">
                  <c:v>10398</c:v>
                </c:pt>
                <c:pt idx="1325">
                  <c:v>10416</c:v>
                </c:pt>
                <c:pt idx="1326">
                  <c:v>10433</c:v>
                </c:pt>
                <c:pt idx="1327">
                  <c:v>10436</c:v>
                </c:pt>
                <c:pt idx="1328">
                  <c:v>10436</c:v>
                </c:pt>
                <c:pt idx="1329">
                  <c:v>10464</c:v>
                </c:pt>
                <c:pt idx="1330">
                  <c:v>10473</c:v>
                </c:pt>
                <c:pt idx="1331">
                  <c:v>10473</c:v>
                </c:pt>
                <c:pt idx="1332">
                  <c:v>10473</c:v>
                </c:pt>
                <c:pt idx="1333">
                  <c:v>10499</c:v>
                </c:pt>
                <c:pt idx="1334">
                  <c:v>10515</c:v>
                </c:pt>
                <c:pt idx="1335">
                  <c:v>10529</c:v>
                </c:pt>
                <c:pt idx="1336">
                  <c:v>10530</c:v>
                </c:pt>
                <c:pt idx="1337">
                  <c:v>10530</c:v>
                </c:pt>
                <c:pt idx="1338">
                  <c:v>10556</c:v>
                </c:pt>
                <c:pt idx="1339">
                  <c:v>10568</c:v>
                </c:pt>
                <c:pt idx="1340">
                  <c:v>10568</c:v>
                </c:pt>
                <c:pt idx="1341">
                  <c:v>10583</c:v>
                </c:pt>
                <c:pt idx="1342">
                  <c:v>10595</c:v>
                </c:pt>
                <c:pt idx="1343">
                  <c:v>10609</c:v>
                </c:pt>
                <c:pt idx="1344">
                  <c:v>10621</c:v>
                </c:pt>
                <c:pt idx="1345">
                  <c:v>10621</c:v>
                </c:pt>
                <c:pt idx="1346">
                  <c:v>10648</c:v>
                </c:pt>
                <c:pt idx="1347">
                  <c:v>10661</c:v>
                </c:pt>
                <c:pt idx="1348">
                  <c:v>10674</c:v>
                </c:pt>
                <c:pt idx="1349">
                  <c:v>10688</c:v>
                </c:pt>
                <c:pt idx="1350">
                  <c:v>10702</c:v>
                </c:pt>
                <c:pt idx="1351">
                  <c:v>10702</c:v>
                </c:pt>
                <c:pt idx="1352">
                  <c:v>10716</c:v>
                </c:pt>
                <c:pt idx="1353">
                  <c:v>10732</c:v>
                </c:pt>
                <c:pt idx="1354">
                  <c:v>10747</c:v>
                </c:pt>
                <c:pt idx="1355">
                  <c:v>10764</c:v>
                </c:pt>
                <c:pt idx="1356">
                  <c:v>10765</c:v>
                </c:pt>
                <c:pt idx="1357">
                  <c:v>10765</c:v>
                </c:pt>
                <c:pt idx="1358">
                  <c:v>10765</c:v>
                </c:pt>
                <c:pt idx="1359">
                  <c:v>10765</c:v>
                </c:pt>
                <c:pt idx="1360">
                  <c:v>10810</c:v>
                </c:pt>
                <c:pt idx="1361">
                  <c:v>10810</c:v>
                </c:pt>
                <c:pt idx="1362">
                  <c:v>10810</c:v>
                </c:pt>
                <c:pt idx="1363">
                  <c:v>10838</c:v>
                </c:pt>
                <c:pt idx="1364">
                  <c:v>10855</c:v>
                </c:pt>
                <c:pt idx="1365">
                  <c:v>10872</c:v>
                </c:pt>
                <c:pt idx="1366">
                  <c:v>10890</c:v>
                </c:pt>
                <c:pt idx="1367">
                  <c:v>10890</c:v>
                </c:pt>
                <c:pt idx="1368">
                  <c:v>10918</c:v>
                </c:pt>
                <c:pt idx="1369">
                  <c:v>10925</c:v>
                </c:pt>
                <c:pt idx="1370">
                  <c:v>10925</c:v>
                </c:pt>
                <c:pt idx="1371">
                  <c:v>10925</c:v>
                </c:pt>
                <c:pt idx="1372">
                  <c:v>10974</c:v>
                </c:pt>
                <c:pt idx="1373">
                  <c:v>10987</c:v>
                </c:pt>
                <c:pt idx="1374">
                  <c:v>11001</c:v>
                </c:pt>
                <c:pt idx="1375">
                  <c:v>11013</c:v>
                </c:pt>
                <c:pt idx="1376">
                  <c:v>11013</c:v>
                </c:pt>
                <c:pt idx="1377">
                  <c:v>11027</c:v>
                </c:pt>
                <c:pt idx="1378">
                  <c:v>11039</c:v>
                </c:pt>
                <c:pt idx="1379">
                  <c:v>11050</c:v>
                </c:pt>
                <c:pt idx="1380">
                  <c:v>11050</c:v>
                </c:pt>
                <c:pt idx="1381">
                  <c:v>11074</c:v>
                </c:pt>
                <c:pt idx="1382">
                  <c:v>11074</c:v>
                </c:pt>
                <c:pt idx="1383">
                  <c:v>#N/A</c:v>
                </c:pt>
                <c:pt idx="1384">
                  <c:v>11094</c:v>
                </c:pt>
                <c:pt idx="1385">
                  <c:v>11094</c:v>
                </c:pt>
                <c:pt idx="1386">
                  <c:v>11104</c:v>
                </c:pt>
                <c:pt idx="1387">
                  <c:v>11105</c:v>
                </c:pt>
                <c:pt idx="1388">
                  <c:v>11105</c:v>
                </c:pt>
                <c:pt idx="1389">
                  <c:v>11122</c:v>
                </c:pt>
                <c:pt idx="1390">
                  <c:v>11131</c:v>
                </c:pt>
                <c:pt idx="1391">
                  <c:v>11137</c:v>
                </c:pt>
                <c:pt idx="1392">
                  <c:v>11138</c:v>
                </c:pt>
                <c:pt idx="1393">
                  <c:v>11138</c:v>
                </c:pt>
                <c:pt idx="1394">
                  <c:v>11150</c:v>
                </c:pt>
                <c:pt idx="1395">
                  <c:v>11150</c:v>
                </c:pt>
                <c:pt idx="1396">
                  <c:v>11155</c:v>
                </c:pt>
                <c:pt idx="1397">
                  <c:v>11160</c:v>
                </c:pt>
                <c:pt idx="1398">
                  <c:v>11162</c:v>
                </c:pt>
                <c:pt idx="1399">
                  <c:v>11162</c:v>
                </c:pt>
                <c:pt idx="1400">
                  <c:v>11169</c:v>
                </c:pt>
                <c:pt idx="1401">
                  <c:v>11172</c:v>
                </c:pt>
                <c:pt idx="1402">
                  <c:v>11172</c:v>
                </c:pt>
                <c:pt idx="1403">
                  <c:v>11174</c:v>
                </c:pt>
                <c:pt idx="1404">
                  <c:v>11175</c:v>
                </c:pt>
                <c:pt idx="1405">
                  <c:v>11176</c:v>
                </c:pt>
                <c:pt idx="1406">
                  <c:v>11176</c:v>
                </c:pt>
                <c:pt idx="1407">
                  <c:v>11177</c:v>
                </c:pt>
                <c:pt idx="1408">
                  <c:v>11177</c:v>
                </c:pt>
                <c:pt idx="1409">
                  <c:v>#N/A</c:v>
                </c:pt>
                <c:pt idx="1410">
                  <c:v>#N/A</c:v>
                </c:pt>
                <c:pt idx="1411">
                  <c:v>#N/A</c:v>
                </c:pt>
                <c:pt idx="1412">
                  <c:v>#N/A</c:v>
                </c:pt>
                <c:pt idx="1413">
                  <c:v>11180</c:v>
                </c:pt>
                <c:pt idx="1414">
                  <c:v>11180</c:v>
                </c:pt>
                <c:pt idx="1415">
                  <c:v>11184</c:v>
                </c:pt>
                <c:pt idx="1416">
                  <c:v>11188</c:v>
                </c:pt>
                <c:pt idx="1417">
                  <c:v>11195</c:v>
                </c:pt>
                <c:pt idx="1418">
                  <c:v>11199</c:v>
                </c:pt>
                <c:pt idx="1419">
                  <c:v>11199</c:v>
                </c:pt>
                <c:pt idx="1420">
                  <c:v>11199</c:v>
                </c:pt>
                <c:pt idx="1421">
                  <c:v>11221</c:v>
                </c:pt>
                <c:pt idx="1422">
                  <c:v>11221</c:v>
                </c:pt>
                <c:pt idx="1423">
                  <c:v>11222</c:v>
                </c:pt>
                <c:pt idx="1424">
                  <c:v>11222</c:v>
                </c:pt>
                <c:pt idx="1425">
                  <c:v>11242</c:v>
                </c:pt>
                <c:pt idx="1426">
                  <c:v>11242</c:v>
                </c:pt>
                <c:pt idx="1427">
                  <c:v>11257</c:v>
                </c:pt>
                <c:pt idx="1428">
                  <c:v>11270</c:v>
                </c:pt>
                <c:pt idx="1429">
                  <c:v>11283</c:v>
                </c:pt>
                <c:pt idx="1430">
                  <c:v>11298</c:v>
                </c:pt>
                <c:pt idx="1431">
                  <c:v>11311</c:v>
                </c:pt>
                <c:pt idx="1432">
                  <c:v>11311</c:v>
                </c:pt>
                <c:pt idx="1433">
                  <c:v>11312</c:v>
                </c:pt>
                <c:pt idx="1434">
                  <c:v>11312</c:v>
                </c:pt>
                <c:pt idx="1435">
                  <c:v>11340</c:v>
                </c:pt>
                <c:pt idx="1436">
                  <c:v>11355</c:v>
                </c:pt>
                <c:pt idx="1437">
                  <c:v>11370</c:v>
                </c:pt>
                <c:pt idx="1438">
                  <c:v>11385</c:v>
                </c:pt>
                <c:pt idx="1439">
                  <c:v>11389</c:v>
                </c:pt>
                <c:pt idx="1440">
                  <c:v>11389</c:v>
                </c:pt>
                <c:pt idx="1441">
                  <c:v>11389</c:v>
                </c:pt>
                <c:pt idx="1442">
                  <c:v>11412</c:v>
                </c:pt>
                <c:pt idx="1443">
                  <c:v>11426</c:v>
                </c:pt>
                <c:pt idx="1444">
                  <c:v>11431</c:v>
                </c:pt>
                <c:pt idx="1445">
                  <c:v>11431</c:v>
                </c:pt>
                <c:pt idx="1446">
                  <c:v>11431</c:v>
                </c:pt>
                <c:pt idx="1447">
                  <c:v>11463</c:v>
                </c:pt>
                <c:pt idx="1448">
                  <c:v>11463</c:v>
                </c:pt>
                <c:pt idx="1449">
                  <c:v>11494</c:v>
                </c:pt>
                <c:pt idx="1450">
                  <c:v>11494</c:v>
                </c:pt>
                <c:pt idx="1451">
                  <c:v>11499</c:v>
                </c:pt>
                <c:pt idx="1452">
                  <c:v>11499</c:v>
                </c:pt>
                <c:pt idx="1453">
                  <c:v>11518</c:v>
                </c:pt>
                <c:pt idx="1454">
                  <c:v>11529</c:v>
                </c:pt>
                <c:pt idx="1455">
                  <c:v>11538</c:v>
                </c:pt>
                <c:pt idx="1456">
                  <c:v>11546</c:v>
                </c:pt>
                <c:pt idx="1457">
                  <c:v>11554</c:v>
                </c:pt>
                <c:pt idx="1458">
                  <c:v>11561</c:v>
                </c:pt>
                <c:pt idx="1459">
                  <c:v>11561</c:v>
                </c:pt>
                <c:pt idx="1460">
                  <c:v>11573</c:v>
                </c:pt>
                <c:pt idx="1461">
                  <c:v>#N/A</c:v>
                </c:pt>
                <c:pt idx="1462">
                  <c:v>#N/A</c:v>
                </c:pt>
                <c:pt idx="1463">
                  <c:v>11584</c:v>
                </c:pt>
                <c:pt idx="1464">
                  <c:v>11590</c:v>
                </c:pt>
                <c:pt idx="1465">
                  <c:v>11595</c:v>
                </c:pt>
                <c:pt idx="1466">
                  <c:v>11601</c:v>
                </c:pt>
                <c:pt idx="1467">
                  <c:v>11601</c:v>
                </c:pt>
                <c:pt idx="1468">
                  <c:v>#N/A</c:v>
                </c:pt>
                <c:pt idx="1469">
                  <c:v>11613</c:v>
                </c:pt>
                <c:pt idx="1470">
                  <c:v>11613</c:v>
                </c:pt>
                <c:pt idx="1471">
                  <c:v>11618</c:v>
                </c:pt>
                <c:pt idx="1472">
                  <c:v>11624</c:v>
                </c:pt>
                <c:pt idx="1473">
                  <c:v>11630</c:v>
                </c:pt>
                <c:pt idx="1474">
                  <c:v>11636</c:v>
                </c:pt>
                <c:pt idx="1475">
                  <c:v>11641</c:v>
                </c:pt>
                <c:pt idx="1476">
                  <c:v>11646</c:v>
                </c:pt>
                <c:pt idx="1477">
                  <c:v>11652</c:v>
                </c:pt>
                <c:pt idx="1478">
                  <c:v>11657</c:v>
                </c:pt>
                <c:pt idx="1479">
                  <c:v>11657</c:v>
                </c:pt>
                <c:pt idx="1480">
                  <c:v>#N/A</c:v>
                </c:pt>
                <c:pt idx="1481">
                  <c:v>11667</c:v>
                </c:pt>
                <c:pt idx="1482">
                  <c:v>11672</c:v>
                </c:pt>
                <c:pt idx="1483">
                  <c:v>11678</c:v>
                </c:pt>
                <c:pt idx="1484">
                  <c:v>11682</c:v>
                </c:pt>
                <c:pt idx="1485">
                  <c:v>11688</c:v>
                </c:pt>
                <c:pt idx="1486">
                  <c:v>11693</c:v>
                </c:pt>
                <c:pt idx="1487">
                  <c:v>11693</c:v>
                </c:pt>
                <c:pt idx="1488">
                  <c:v>11698</c:v>
                </c:pt>
                <c:pt idx="1489">
                  <c:v>11703</c:v>
                </c:pt>
                <c:pt idx="1490">
                  <c:v>11705</c:v>
                </c:pt>
                <c:pt idx="1491">
                  <c:v>11705</c:v>
                </c:pt>
                <c:pt idx="1492">
                  <c:v>11708</c:v>
                </c:pt>
                <c:pt idx="1493">
                  <c:v>11708</c:v>
                </c:pt>
                <c:pt idx="1494">
                  <c:v>11716</c:v>
                </c:pt>
                <c:pt idx="1495">
                  <c:v>11720</c:v>
                </c:pt>
                <c:pt idx="1496">
                  <c:v>11720</c:v>
                </c:pt>
                <c:pt idx="1497">
                  <c:v>11726</c:v>
                </c:pt>
                <c:pt idx="1498">
                  <c:v>11731</c:v>
                </c:pt>
                <c:pt idx="1499">
                  <c:v>11731</c:v>
                </c:pt>
                <c:pt idx="1500">
                  <c:v>11742</c:v>
                </c:pt>
                <c:pt idx="1501">
                  <c:v>11747</c:v>
                </c:pt>
                <c:pt idx="1502">
                  <c:v>11747</c:v>
                </c:pt>
                <c:pt idx="1503">
                  <c:v>11750</c:v>
                </c:pt>
                <c:pt idx="1504">
                  <c:v>11750</c:v>
                </c:pt>
                <c:pt idx="1505">
                  <c:v>11758</c:v>
                </c:pt>
                <c:pt idx="1506">
                  <c:v>11758</c:v>
                </c:pt>
                <c:pt idx="1507">
                  <c:v>11764</c:v>
                </c:pt>
                <c:pt idx="1508">
                  <c:v>11764</c:v>
                </c:pt>
                <c:pt idx="1509">
                  <c:v>11766</c:v>
                </c:pt>
                <c:pt idx="1510">
                  <c:v>11766</c:v>
                </c:pt>
                <c:pt idx="1511">
                  <c:v>11776</c:v>
                </c:pt>
                <c:pt idx="1512">
                  <c:v>11782</c:v>
                </c:pt>
                <c:pt idx="1513">
                  <c:v>11788</c:v>
                </c:pt>
                <c:pt idx="1514">
                  <c:v>11793</c:v>
                </c:pt>
                <c:pt idx="1515">
                  <c:v>11797</c:v>
                </c:pt>
                <c:pt idx="1516">
                  <c:v>11798</c:v>
                </c:pt>
                <c:pt idx="1517">
                  <c:v>11798</c:v>
                </c:pt>
                <c:pt idx="1518">
                  <c:v>11798</c:v>
                </c:pt>
                <c:pt idx="1519">
                  <c:v>11807</c:v>
                </c:pt>
                <c:pt idx="1520">
                  <c:v>11811</c:v>
                </c:pt>
                <c:pt idx="1521">
                  <c:v>11814</c:v>
                </c:pt>
                <c:pt idx="1522">
                  <c:v>11814</c:v>
                </c:pt>
                <c:pt idx="1523">
                  <c:v>11819</c:v>
                </c:pt>
                <c:pt idx="1524">
                  <c:v>11824</c:v>
                </c:pt>
                <c:pt idx="1525">
                  <c:v>11825</c:v>
                </c:pt>
                <c:pt idx="1526">
                  <c:v>11832</c:v>
                </c:pt>
                <c:pt idx="1527">
                  <c:v>11836</c:v>
                </c:pt>
                <c:pt idx="1528">
                  <c:v>11840</c:v>
                </c:pt>
                <c:pt idx="1529">
                  <c:v>11844</c:v>
                </c:pt>
                <c:pt idx="1530">
                  <c:v>11849</c:v>
                </c:pt>
                <c:pt idx="1531">
                  <c:v>11920</c:v>
                </c:pt>
                <c:pt idx="1532">
                  <c:v>11920</c:v>
                </c:pt>
                <c:pt idx="1533">
                  <c:v>11920</c:v>
                </c:pt>
                <c:pt idx="1534">
                  <c:v>11920</c:v>
                </c:pt>
                <c:pt idx="1535">
                  <c:v>11920</c:v>
                </c:pt>
                <c:pt idx="1536">
                  <c:v>11920</c:v>
                </c:pt>
                <c:pt idx="1537">
                  <c:v>11920</c:v>
                </c:pt>
                <c:pt idx="1538">
                  <c:v>11920</c:v>
                </c:pt>
                <c:pt idx="1539">
                  <c:v>11920</c:v>
                </c:pt>
                <c:pt idx="1540">
                  <c:v>11920</c:v>
                </c:pt>
                <c:pt idx="1541">
                  <c:v>11920</c:v>
                </c:pt>
                <c:pt idx="1542">
                  <c:v>11920</c:v>
                </c:pt>
                <c:pt idx="1543">
                  <c:v>11920</c:v>
                </c:pt>
                <c:pt idx="1544">
                  <c:v>11920</c:v>
                </c:pt>
                <c:pt idx="1545">
                  <c:v>11920</c:v>
                </c:pt>
                <c:pt idx="1546">
                  <c:v>11920</c:v>
                </c:pt>
                <c:pt idx="1547">
                  <c:v>11920</c:v>
                </c:pt>
                <c:pt idx="1548">
                  <c:v>11920</c:v>
                </c:pt>
                <c:pt idx="1549">
                  <c:v>11920</c:v>
                </c:pt>
                <c:pt idx="1550">
                  <c:v>11920</c:v>
                </c:pt>
                <c:pt idx="1551">
                  <c:v>11920</c:v>
                </c:pt>
                <c:pt idx="1552">
                  <c:v>11920</c:v>
                </c:pt>
                <c:pt idx="1553">
                  <c:v>11920</c:v>
                </c:pt>
                <c:pt idx="1554">
                  <c:v>11920</c:v>
                </c:pt>
                <c:pt idx="1555">
                  <c:v>11920</c:v>
                </c:pt>
                <c:pt idx="1556">
                  <c:v>11920</c:v>
                </c:pt>
                <c:pt idx="1557">
                  <c:v>11920</c:v>
                </c:pt>
                <c:pt idx="1558">
                  <c:v>11920</c:v>
                </c:pt>
                <c:pt idx="1559">
                  <c:v>11920</c:v>
                </c:pt>
                <c:pt idx="1560">
                  <c:v>11920</c:v>
                </c:pt>
                <c:pt idx="1561">
                  <c:v>11920</c:v>
                </c:pt>
                <c:pt idx="1562">
                  <c:v>11920</c:v>
                </c:pt>
                <c:pt idx="1563">
                  <c:v>11920</c:v>
                </c:pt>
                <c:pt idx="1564">
                  <c:v>11920</c:v>
                </c:pt>
                <c:pt idx="1565">
                  <c:v>11920</c:v>
                </c:pt>
                <c:pt idx="1566">
                  <c:v>11920</c:v>
                </c:pt>
                <c:pt idx="1567">
                  <c:v>11920</c:v>
                </c:pt>
                <c:pt idx="1568">
                  <c:v>11920</c:v>
                </c:pt>
                <c:pt idx="1569">
                  <c:v>11920</c:v>
                </c:pt>
                <c:pt idx="1570">
                  <c:v>11920</c:v>
                </c:pt>
                <c:pt idx="1571">
                  <c:v>11920</c:v>
                </c:pt>
                <c:pt idx="1572">
                  <c:v>11920</c:v>
                </c:pt>
                <c:pt idx="1573">
                  <c:v>11920</c:v>
                </c:pt>
                <c:pt idx="1574">
                  <c:v>11920</c:v>
                </c:pt>
                <c:pt idx="1575">
                  <c:v>11920</c:v>
                </c:pt>
                <c:pt idx="1576">
                  <c:v>11920</c:v>
                </c:pt>
                <c:pt idx="1577">
                  <c:v>11920</c:v>
                </c:pt>
                <c:pt idx="1578">
                  <c:v>11920</c:v>
                </c:pt>
                <c:pt idx="1579">
                  <c:v>11920</c:v>
                </c:pt>
                <c:pt idx="1580">
                  <c:v>11920</c:v>
                </c:pt>
                <c:pt idx="1581">
                  <c:v>11920</c:v>
                </c:pt>
                <c:pt idx="1582">
                  <c:v>11920</c:v>
                </c:pt>
                <c:pt idx="1583">
                  <c:v>11920</c:v>
                </c:pt>
                <c:pt idx="1584">
                  <c:v>11920</c:v>
                </c:pt>
                <c:pt idx="1585">
                  <c:v>11920</c:v>
                </c:pt>
                <c:pt idx="1586">
                  <c:v>11920</c:v>
                </c:pt>
                <c:pt idx="1587">
                  <c:v>11920</c:v>
                </c:pt>
                <c:pt idx="1588">
                  <c:v>11920</c:v>
                </c:pt>
                <c:pt idx="1589">
                  <c:v>11920</c:v>
                </c:pt>
                <c:pt idx="1590">
                  <c:v>11920</c:v>
                </c:pt>
                <c:pt idx="1591">
                  <c:v>11920</c:v>
                </c:pt>
                <c:pt idx="1592">
                  <c:v>11920</c:v>
                </c:pt>
                <c:pt idx="1593">
                  <c:v>11920</c:v>
                </c:pt>
                <c:pt idx="1594">
                  <c:v>11920</c:v>
                </c:pt>
                <c:pt idx="1595">
                  <c:v>11920</c:v>
                </c:pt>
                <c:pt idx="1596">
                  <c:v>11920</c:v>
                </c:pt>
                <c:pt idx="1597">
                  <c:v>11920</c:v>
                </c:pt>
                <c:pt idx="1598">
                  <c:v>11920</c:v>
                </c:pt>
                <c:pt idx="1599">
                  <c:v>11920</c:v>
                </c:pt>
                <c:pt idx="1600">
                  <c:v>11920</c:v>
                </c:pt>
                <c:pt idx="1601">
                  <c:v>11920</c:v>
                </c:pt>
                <c:pt idx="1602">
                  <c:v>11920</c:v>
                </c:pt>
                <c:pt idx="1603">
                  <c:v>11920</c:v>
                </c:pt>
                <c:pt idx="1604">
                  <c:v>11920</c:v>
                </c:pt>
                <c:pt idx="1605">
                  <c:v>11920</c:v>
                </c:pt>
                <c:pt idx="1606">
                  <c:v>11920</c:v>
                </c:pt>
                <c:pt idx="1607">
                  <c:v>11920</c:v>
                </c:pt>
                <c:pt idx="1608">
                  <c:v>11920</c:v>
                </c:pt>
                <c:pt idx="1609">
                  <c:v>11920</c:v>
                </c:pt>
                <c:pt idx="1610">
                  <c:v>11920</c:v>
                </c:pt>
                <c:pt idx="1611">
                  <c:v>11920</c:v>
                </c:pt>
                <c:pt idx="1612">
                  <c:v>11920</c:v>
                </c:pt>
                <c:pt idx="1613">
                  <c:v>11920</c:v>
                </c:pt>
                <c:pt idx="1614">
                  <c:v>11920</c:v>
                </c:pt>
                <c:pt idx="1615">
                  <c:v>11920</c:v>
                </c:pt>
                <c:pt idx="1616">
                  <c:v>11920</c:v>
                </c:pt>
                <c:pt idx="1617">
                  <c:v>11920</c:v>
                </c:pt>
                <c:pt idx="1618">
                  <c:v>11920</c:v>
                </c:pt>
                <c:pt idx="1619">
                  <c:v>11920</c:v>
                </c:pt>
                <c:pt idx="1620">
                  <c:v>11920</c:v>
                </c:pt>
                <c:pt idx="1621">
                  <c:v>11920</c:v>
                </c:pt>
                <c:pt idx="1622">
                  <c:v>11920</c:v>
                </c:pt>
                <c:pt idx="1623">
                  <c:v>11920</c:v>
                </c:pt>
                <c:pt idx="1624">
                  <c:v>11920</c:v>
                </c:pt>
                <c:pt idx="1625">
                  <c:v>11920</c:v>
                </c:pt>
                <c:pt idx="1626">
                  <c:v>11920</c:v>
                </c:pt>
                <c:pt idx="1627">
                  <c:v>11920</c:v>
                </c:pt>
                <c:pt idx="1628">
                  <c:v>11920</c:v>
                </c:pt>
                <c:pt idx="1629">
                  <c:v>11920</c:v>
                </c:pt>
                <c:pt idx="1630">
                  <c:v>11920</c:v>
                </c:pt>
                <c:pt idx="1631">
                  <c:v>11920</c:v>
                </c:pt>
                <c:pt idx="1632">
                  <c:v>11920</c:v>
                </c:pt>
                <c:pt idx="1633">
                  <c:v>11920</c:v>
                </c:pt>
                <c:pt idx="1634">
                  <c:v>11920</c:v>
                </c:pt>
                <c:pt idx="1635">
                  <c:v>11920</c:v>
                </c:pt>
                <c:pt idx="1636">
                  <c:v>11920</c:v>
                </c:pt>
                <c:pt idx="1637">
                  <c:v>11920</c:v>
                </c:pt>
                <c:pt idx="1638">
                  <c:v>11920</c:v>
                </c:pt>
                <c:pt idx="1639">
                  <c:v>11920</c:v>
                </c:pt>
                <c:pt idx="1640">
                  <c:v>11920</c:v>
                </c:pt>
                <c:pt idx="1641">
                  <c:v>11920</c:v>
                </c:pt>
                <c:pt idx="1642">
                  <c:v>11920</c:v>
                </c:pt>
                <c:pt idx="1643">
                  <c:v>11920</c:v>
                </c:pt>
                <c:pt idx="1644">
                  <c:v>11920</c:v>
                </c:pt>
                <c:pt idx="1645">
                  <c:v>11920</c:v>
                </c:pt>
                <c:pt idx="1646">
                  <c:v>11920</c:v>
                </c:pt>
                <c:pt idx="1647">
                  <c:v>11920</c:v>
                </c:pt>
                <c:pt idx="1648">
                  <c:v>11920</c:v>
                </c:pt>
                <c:pt idx="1649">
                  <c:v>11920</c:v>
                </c:pt>
                <c:pt idx="1650">
                  <c:v>11920</c:v>
                </c:pt>
                <c:pt idx="1651">
                  <c:v>11920</c:v>
                </c:pt>
                <c:pt idx="1652">
                  <c:v>11920</c:v>
                </c:pt>
                <c:pt idx="1653">
                  <c:v>11920</c:v>
                </c:pt>
                <c:pt idx="1654">
                  <c:v>11920</c:v>
                </c:pt>
                <c:pt idx="1655">
                  <c:v>11920</c:v>
                </c:pt>
                <c:pt idx="1656">
                  <c:v>11920</c:v>
                </c:pt>
                <c:pt idx="1657">
                  <c:v>11920</c:v>
                </c:pt>
                <c:pt idx="1658">
                  <c:v>11920</c:v>
                </c:pt>
                <c:pt idx="1659">
                  <c:v>11920</c:v>
                </c:pt>
                <c:pt idx="1660">
                  <c:v>11920</c:v>
                </c:pt>
                <c:pt idx="1661">
                  <c:v>11920</c:v>
                </c:pt>
                <c:pt idx="1662">
                  <c:v>11920</c:v>
                </c:pt>
                <c:pt idx="1663">
                  <c:v>11920</c:v>
                </c:pt>
                <c:pt idx="1664">
                  <c:v>11920</c:v>
                </c:pt>
                <c:pt idx="1665">
                  <c:v>11920</c:v>
                </c:pt>
                <c:pt idx="1666">
                  <c:v>11920</c:v>
                </c:pt>
                <c:pt idx="1667">
                  <c:v>11920</c:v>
                </c:pt>
                <c:pt idx="1668">
                  <c:v>11920</c:v>
                </c:pt>
                <c:pt idx="1669">
                  <c:v>11920</c:v>
                </c:pt>
                <c:pt idx="1670">
                  <c:v>11920</c:v>
                </c:pt>
                <c:pt idx="1671">
                  <c:v>11920</c:v>
                </c:pt>
                <c:pt idx="1672">
                  <c:v>11920</c:v>
                </c:pt>
                <c:pt idx="1673">
                  <c:v>11920</c:v>
                </c:pt>
                <c:pt idx="1674">
                  <c:v>11920</c:v>
                </c:pt>
                <c:pt idx="1675">
                  <c:v>11920</c:v>
                </c:pt>
                <c:pt idx="1676">
                  <c:v>11920</c:v>
                </c:pt>
                <c:pt idx="1677">
                  <c:v>11920</c:v>
                </c:pt>
                <c:pt idx="1678">
                  <c:v>11920</c:v>
                </c:pt>
                <c:pt idx="1679">
                  <c:v>11920</c:v>
                </c:pt>
                <c:pt idx="1680">
                  <c:v>11920</c:v>
                </c:pt>
                <c:pt idx="1681">
                  <c:v>11920</c:v>
                </c:pt>
                <c:pt idx="1682">
                  <c:v>11920</c:v>
                </c:pt>
                <c:pt idx="1683">
                  <c:v>11920</c:v>
                </c:pt>
                <c:pt idx="1684">
                  <c:v>11920</c:v>
                </c:pt>
                <c:pt idx="1685">
                  <c:v>11920</c:v>
                </c:pt>
                <c:pt idx="1686">
                  <c:v>11920</c:v>
                </c:pt>
                <c:pt idx="1687">
                  <c:v>11920</c:v>
                </c:pt>
                <c:pt idx="1688">
                  <c:v>11920</c:v>
                </c:pt>
                <c:pt idx="1689">
                  <c:v>11920</c:v>
                </c:pt>
                <c:pt idx="1690">
                  <c:v>11920</c:v>
                </c:pt>
                <c:pt idx="1691">
                  <c:v>11920</c:v>
                </c:pt>
                <c:pt idx="1692">
                  <c:v>11920</c:v>
                </c:pt>
                <c:pt idx="1693">
                  <c:v>11920</c:v>
                </c:pt>
                <c:pt idx="1694">
                  <c:v>11920</c:v>
                </c:pt>
                <c:pt idx="1695">
                  <c:v>11920</c:v>
                </c:pt>
                <c:pt idx="1696">
                  <c:v>11920</c:v>
                </c:pt>
                <c:pt idx="1697">
                  <c:v>11920</c:v>
                </c:pt>
                <c:pt idx="1698">
                  <c:v>11920</c:v>
                </c:pt>
                <c:pt idx="1699">
                  <c:v>11920</c:v>
                </c:pt>
                <c:pt idx="1700">
                  <c:v>11920</c:v>
                </c:pt>
                <c:pt idx="1701">
                  <c:v>11920</c:v>
                </c:pt>
                <c:pt idx="1702">
                  <c:v>11920</c:v>
                </c:pt>
                <c:pt idx="1703">
                  <c:v>11920</c:v>
                </c:pt>
                <c:pt idx="1704">
                  <c:v>11920</c:v>
                </c:pt>
                <c:pt idx="1705">
                  <c:v>11920</c:v>
                </c:pt>
                <c:pt idx="1706">
                  <c:v>11920</c:v>
                </c:pt>
                <c:pt idx="1707">
                  <c:v>11920</c:v>
                </c:pt>
                <c:pt idx="1708">
                  <c:v>11920</c:v>
                </c:pt>
                <c:pt idx="1709">
                  <c:v>11920</c:v>
                </c:pt>
                <c:pt idx="1710">
                  <c:v>11920</c:v>
                </c:pt>
                <c:pt idx="1711">
                  <c:v>11920</c:v>
                </c:pt>
                <c:pt idx="1712">
                  <c:v>11920</c:v>
                </c:pt>
                <c:pt idx="1713">
                  <c:v>11920</c:v>
                </c:pt>
                <c:pt idx="1714">
                  <c:v>11920</c:v>
                </c:pt>
                <c:pt idx="1715">
                  <c:v>11920</c:v>
                </c:pt>
                <c:pt idx="1716">
                  <c:v>11920</c:v>
                </c:pt>
                <c:pt idx="1717">
                  <c:v>11920</c:v>
                </c:pt>
                <c:pt idx="1718">
                  <c:v>11920</c:v>
                </c:pt>
                <c:pt idx="1719">
                  <c:v>11920</c:v>
                </c:pt>
                <c:pt idx="1720">
                  <c:v>11920</c:v>
                </c:pt>
                <c:pt idx="1721">
                  <c:v>11920</c:v>
                </c:pt>
                <c:pt idx="1722">
                  <c:v>11920</c:v>
                </c:pt>
                <c:pt idx="1723">
                  <c:v>11920</c:v>
                </c:pt>
                <c:pt idx="1724">
                  <c:v>11920</c:v>
                </c:pt>
                <c:pt idx="1725">
                  <c:v>11920</c:v>
                </c:pt>
                <c:pt idx="1726">
                  <c:v>11920</c:v>
                </c:pt>
                <c:pt idx="1727">
                  <c:v>11920</c:v>
                </c:pt>
                <c:pt idx="1728">
                  <c:v>11920</c:v>
                </c:pt>
                <c:pt idx="1729">
                  <c:v>11920</c:v>
                </c:pt>
                <c:pt idx="1730">
                  <c:v>11920</c:v>
                </c:pt>
                <c:pt idx="1731">
                  <c:v>11920</c:v>
                </c:pt>
                <c:pt idx="1732">
                  <c:v>11920</c:v>
                </c:pt>
                <c:pt idx="1733">
                  <c:v>11920</c:v>
                </c:pt>
                <c:pt idx="1734">
                  <c:v>11920</c:v>
                </c:pt>
                <c:pt idx="1735">
                  <c:v>11920</c:v>
                </c:pt>
                <c:pt idx="1736">
                  <c:v>11920</c:v>
                </c:pt>
                <c:pt idx="1737">
                  <c:v>11920</c:v>
                </c:pt>
                <c:pt idx="1738">
                  <c:v>11920</c:v>
                </c:pt>
                <c:pt idx="1739">
                  <c:v>11920</c:v>
                </c:pt>
                <c:pt idx="1740">
                  <c:v>11920</c:v>
                </c:pt>
                <c:pt idx="1741">
                  <c:v>11920</c:v>
                </c:pt>
                <c:pt idx="1742">
                  <c:v>11920</c:v>
                </c:pt>
                <c:pt idx="1743">
                  <c:v>11920</c:v>
                </c:pt>
                <c:pt idx="1744">
                  <c:v>11920</c:v>
                </c:pt>
                <c:pt idx="1745">
                  <c:v>11920</c:v>
                </c:pt>
                <c:pt idx="1746">
                  <c:v>11920</c:v>
                </c:pt>
                <c:pt idx="1747">
                  <c:v>11920</c:v>
                </c:pt>
                <c:pt idx="1748">
                  <c:v>11920</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11920</c:v>
                </c:pt>
                <c:pt idx="1818">
                  <c:v>11920</c:v>
                </c:pt>
                <c:pt idx="1819">
                  <c:v>11920</c:v>
                </c:pt>
                <c:pt idx="1820">
                  <c:v>11920</c:v>
                </c:pt>
                <c:pt idx="1821">
                  <c:v>11920</c:v>
                </c:pt>
                <c:pt idx="1822">
                  <c:v>11920</c:v>
                </c:pt>
                <c:pt idx="1823">
                  <c:v>11920</c:v>
                </c:pt>
                <c:pt idx="1824">
                  <c:v>11920</c:v>
                </c:pt>
                <c:pt idx="1825">
                  <c:v>11920</c:v>
                </c:pt>
                <c:pt idx="1826">
                  <c:v>11920</c:v>
                </c:pt>
                <c:pt idx="1827">
                  <c:v>11920</c:v>
                </c:pt>
                <c:pt idx="1828">
                  <c:v>11920</c:v>
                </c:pt>
                <c:pt idx="1829">
                  <c:v>11920</c:v>
                </c:pt>
                <c:pt idx="1830">
                  <c:v>11920</c:v>
                </c:pt>
                <c:pt idx="1831">
                  <c:v>11920</c:v>
                </c:pt>
                <c:pt idx="1832">
                  <c:v>11920</c:v>
                </c:pt>
                <c:pt idx="1833">
                  <c:v>11920</c:v>
                </c:pt>
                <c:pt idx="1834">
                  <c:v>11920</c:v>
                </c:pt>
                <c:pt idx="1835">
                  <c:v>11920</c:v>
                </c:pt>
                <c:pt idx="1836">
                  <c:v>11920</c:v>
                </c:pt>
                <c:pt idx="1837">
                  <c:v>11920</c:v>
                </c:pt>
                <c:pt idx="1838">
                  <c:v>11920</c:v>
                </c:pt>
                <c:pt idx="1839">
                  <c:v>11920</c:v>
                </c:pt>
                <c:pt idx="1840">
                  <c:v>11920</c:v>
                </c:pt>
                <c:pt idx="1841">
                  <c:v>11920</c:v>
                </c:pt>
                <c:pt idx="1842">
                  <c:v>11920</c:v>
                </c:pt>
                <c:pt idx="1843">
                  <c:v>11920</c:v>
                </c:pt>
                <c:pt idx="1844">
                  <c:v>11920</c:v>
                </c:pt>
                <c:pt idx="1845">
                  <c:v>11920</c:v>
                </c:pt>
                <c:pt idx="1846">
                  <c:v>11920</c:v>
                </c:pt>
                <c:pt idx="1847">
                  <c:v>11920</c:v>
                </c:pt>
                <c:pt idx="1848">
                  <c:v>11920</c:v>
                </c:pt>
                <c:pt idx="1849">
                  <c:v>11920</c:v>
                </c:pt>
                <c:pt idx="1850">
                  <c:v>11920</c:v>
                </c:pt>
                <c:pt idx="1851">
                  <c:v>11920</c:v>
                </c:pt>
                <c:pt idx="1852">
                  <c:v>11920</c:v>
                </c:pt>
                <c:pt idx="1853">
                  <c:v>11920</c:v>
                </c:pt>
                <c:pt idx="1854">
                  <c:v>11920</c:v>
                </c:pt>
                <c:pt idx="1855">
                  <c:v>11920</c:v>
                </c:pt>
                <c:pt idx="1856">
                  <c:v>11920</c:v>
                </c:pt>
                <c:pt idx="1857">
                  <c:v>11920</c:v>
                </c:pt>
                <c:pt idx="1858">
                  <c:v>11920</c:v>
                </c:pt>
                <c:pt idx="1859">
                  <c:v>11920</c:v>
                </c:pt>
                <c:pt idx="1860">
                  <c:v>11920</c:v>
                </c:pt>
                <c:pt idx="1861">
                  <c:v>11920</c:v>
                </c:pt>
                <c:pt idx="1862">
                  <c:v>11920</c:v>
                </c:pt>
                <c:pt idx="1863">
                  <c:v>11920</c:v>
                </c:pt>
                <c:pt idx="1864">
                  <c:v>11920</c:v>
                </c:pt>
                <c:pt idx="1865">
                  <c:v>11920</c:v>
                </c:pt>
                <c:pt idx="1866">
                  <c:v>11920</c:v>
                </c:pt>
                <c:pt idx="1867">
                  <c:v>11920</c:v>
                </c:pt>
                <c:pt idx="1868">
                  <c:v>11920</c:v>
                </c:pt>
                <c:pt idx="1869">
                  <c:v>11920</c:v>
                </c:pt>
                <c:pt idx="1870">
                  <c:v>11920</c:v>
                </c:pt>
                <c:pt idx="1871">
                  <c:v>11920</c:v>
                </c:pt>
                <c:pt idx="1872">
                  <c:v>11920</c:v>
                </c:pt>
                <c:pt idx="1873">
                  <c:v>11920</c:v>
                </c:pt>
                <c:pt idx="1874">
                  <c:v>11920</c:v>
                </c:pt>
                <c:pt idx="1875">
                  <c:v>11920</c:v>
                </c:pt>
                <c:pt idx="1876">
                  <c:v>11920</c:v>
                </c:pt>
                <c:pt idx="1877">
                  <c:v>11920</c:v>
                </c:pt>
                <c:pt idx="1878">
                  <c:v>11920</c:v>
                </c:pt>
                <c:pt idx="1879">
                  <c:v>11920</c:v>
                </c:pt>
                <c:pt idx="1880">
                  <c:v>11920</c:v>
                </c:pt>
                <c:pt idx="1881">
                  <c:v>11920</c:v>
                </c:pt>
                <c:pt idx="1882">
                  <c:v>11920</c:v>
                </c:pt>
                <c:pt idx="1883">
                  <c:v>11920</c:v>
                </c:pt>
                <c:pt idx="1884">
                  <c:v>11920</c:v>
                </c:pt>
                <c:pt idx="1885">
                  <c:v>11920</c:v>
                </c:pt>
                <c:pt idx="1886">
                  <c:v>11920</c:v>
                </c:pt>
                <c:pt idx="1887">
                  <c:v>11920</c:v>
                </c:pt>
                <c:pt idx="1888">
                  <c:v>11920</c:v>
                </c:pt>
                <c:pt idx="1889">
                  <c:v>11920</c:v>
                </c:pt>
                <c:pt idx="1890">
                  <c:v>11920</c:v>
                </c:pt>
                <c:pt idx="1891">
                  <c:v>11920</c:v>
                </c:pt>
                <c:pt idx="1892">
                  <c:v>11920</c:v>
                </c:pt>
                <c:pt idx="1893">
                  <c:v>11920</c:v>
                </c:pt>
                <c:pt idx="1894">
                  <c:v>11920</c:v>
                </c:pt>
                <c:pt idx="1895">
                  <c:v>11920</c:v>
                </c:pt>
                <c:pt idx="1896">
                  <c:v>11920</c:v>
                </c:pt>
                <c:pt idx="1897">
                  <c:v>11920</c:v>
                </c:pt>
                <c:pt idx="1898">
                  <c:v>11920</c:v>
                </c:pt>
                <c:pt idx="1899">
                  <c:v>11920</c:v>
                </c:pt>
                <c:pt idx="1900">
                  <c:v>11920</c:v>
                </c:pt>
                <c:pt idx="1901">
                  <c:v>11920</c:v>
                </c:pt>
                <c:pt idx="1902">
                  <c:v>11920</c:v>
                </c:pt>
                <c:pt idx="1903">
                  <c:v>11920</c:v>
                </c:pt>
                <c:pt idx="1904">
                  <c:v>11920</c:v>
                </c:pt>
                <c:pt idx="1905">
                  <c:v>11920</c:v>
                </c:pt>
                <c:pt idx="1906">
                  <c:v>11920</c:v>
                </c:pt>
                <c:pt idx="1907">
                  <c:v>11920</c:v>
                </c:pt>
                <c:pt idx="1908">
                  <c:v>11920</c:v>
                </c:pt>
                <c:pt idx="1909">
                  <c:v>11920</c:v>
                </c:pt>
                <c:pt idx="1910">
                  <c:v>11920</c:v>
                </c:pt>
                <c:pt idx="1911">
                  <c:v>11920</c:v>
                </c:pt>
                <c:pt idx="1912">
                  <c:v>11920</c:v>
                </c:pt>
                <c:pt idx="1913">
                  <c:v>11920</c:v>
                </c:pt>
                <c:pt idx="1914">
                  <c:v>11920</c:v>
                </c:pt>
                <c:pt idx="1915">
                  <c:v>11920</c:v>
                </c:pt>
                <c:pt idx="1916">
                  <c:v>11920</c:v>
                </c:pt>
                <c:pt idx="1917">
                  <c:v>11920</c:v>
                </c:pt>
                <c:pt idx="1918">
                  <c:v>11920</c:v>
                </c:pt>
                <c:pt idx="1919">
                  <c:v>11920</c:v>
                </c:pt>
                <c:pt idx="1920">
                  <c:v>11920</c:v>
                </c:pt>
                <c:pt idx="1921">
                  <c:v>11920</c:v>
                </c:pt>
                <c:pt idx="1922">
                  <c:v>11920</c:v>
                </c:pt>
                <c:pt idx="1923">
                  <c:v>11920</c:v>
                </c:pt>
                <c:pt idx="1924">
                  <c:v>11920</c:v>
                </c:pt>
                <c:pt idx="1925">
                  <c:v>11920</c:v>
                </c:pt>
                <c:pt idx="1926">
                  <c:v>11920</c:v>
                </c:pt>
                <c:pt idx="1927">
                  <c:v>11920</c:v>
                </c:pt>
                <c:pt idx="1928">
                  <c:v>11920</c:v>
                </c:pt>
                <c:pt idx="1929">
                  <c:v>11920</c:v>
                </c:pt>
                <c:pt idx="1930">
                  <c:v>11920</c:v>
                </c:pt>
                <c:pt idx="1931">
                  <c:v>11920</c:v>
                </c:pt>
                <c:pt idx="1932">
                  <c:v>11920</c:v>
                </c:pt>
                <c:pt idx="1933">
                  <c:v>11920</c:v>
                </c:pt>
                <c:pt idx="1934">
                  <c:v>11920</c:v>
                </c:pt>
                <c:pt idx="1935">
                  <c:v>11920</c:v>
                </c:pt>
                <c:pt idx="1936">
                  <c:v>11920</c:v>
                </c:pt>
                <c:pt idx="1937">
                  <c:v>11920</c:v>
                </c:pt>
                <c:pt idx="1938">
                  <c:v>11920</c:v>
                </c:pt>
                <c:pt idx="1939">
                  <c:v>11920</c:v>
                </c:pt>
                <c:pt idx="1940">
                  <c:v>11920</c:v>
                </c:pt>
                <c:pt idx="1941">
                  <c:v>11920</c:v>
                </c:pt>
                <c:pt idx="1942">
                  <c:v>11920</c:v>
                </c:pt>
                <c:pt idx="1943">
                  <c:v>11920</c:v>
                </c:pt>
                <c:pt idx="1944">
                  <c:v>11920</c:v>
                </c:pt>
                <c:pt idx="1945">
                  <c:v>11920</c:v>
                </c:pt>
                <c:pt idx="1946">
                  <c:v>11920</c:v>
                </c:pt>
                <c:pt idx="1947">
                  <c:v>11920</c:v>
                </c:pt>
                <c:pt idx="1948">
                  <c:v>11920</c:v>
                </c:pt>
                <c:pt idx="1949">
                  <c:v>11920</c:v>
                </c:pt>
                <c:pt idx="1950">
                  <c:v>11920</c:v>
                </c:pt>
                <c:pt idx="1951">
                  <c:v>11920</c:v>
                </c:pt>
                <c:pt idx="1952">
                  <c:v>11920</c:v>
                </c:pt>
                <c:pt idx="1953">
                  <c:v>11920</c:v>
                </c:pt>
                <c:pt idx="1954">
                  <c:v>11920</c:v>
                </c:pt>
                <c:pt idx="1955">
                  <c:v>11920</c:v>
                </c:pt>
                <c:pt idx="1956">
                  <c:v>11920</c:v>
                </c:pt>
                <c:pt idx="1957">
                  <c:v>11920</c:v>
                </c:pt>
                <c:pt idx="1958">
                  <c:v>11920</c:v>
                </c:pt>
                <c:pt idx="1959">
                  <c:v>11920</c:v>
                </c:pt>
                <c:pt idx="1960">
                  <c:v>11920</c:v>
                </c:pt>
                <c:pt idx="1961">
                  <c:v>11920</c:v>
                </c:pt>
                <c:pt idx="1962">
                  <c:v>11920</c:v>
                </c:pt>
                <c:pt idx="1963">
                  <c:v>11920</c:v>
                </c:pt>
                <c:pt idx="1964">
                  <c:v>11920</c:v>
                </c:pt>
                <c:pt idx="1965">
                  <c:v>11920</c:v>
                </c:pt>
                <c:pt idx="1966">
                  <c:v>11920</c:v>
                </c:pt>
                <c:pt idx="1967">
                  <c:v>11920</c:v>
                </c:pt>
                <c:pt idx="1968">
                  <c:v>11920</c:v>
                </c:pt>
                <c:pt idx="1969">
                  <c:v>11920</c:v>
                </c:pt>
                <c:pt idx="1970">
                  <c:v>11920</c:v>
                </c:pt>
                <c:pt idx="1971">
                  <c:v>11920</c:v>
                </c:pt>
                <c:pt idx="1972">
                  <c:v>11920</c:v>
                </c:pt>
                <c:pt idx="1973">
                  <c:v>11920</c:v>
                </c:pt>
                <c:pt idx="1974">
                  <c:v>11920</c:v>
                </c:pt>
                <c:pt idx="1975">
                  <c:v>11920</c:v>
                </c:pt>
                <c:pt idx="1976">
                  <c:v>11920</c:v>
                </c:pt>
                <c:pt idx="1977">
                  <c:v>11920</c:v>
                </c:pt>
                <c:pt idx="1978">
                  <c:v>11920</c:v>
                </c:pt>
                <c:pt idx="1979">
                  <c:v>11920</c:v>
                </c:pt>
                <c:pt idx="1980">
                  <c:v>11920</c:v>
                </c:pt>
                <c:pt idx="1981">
                  <c:v>11920</c:v>
                </c:pt>
                <c:pt idx="1982">
                  <c:v>11920</c:v>
                </c:pt>
                <c:pt idx="1983">
                  <c:v>11920</c:v>
                </c:pt>
                <c:pt idx="1984">
                  <c:v>11920</c:v>
                </c:pt>
                <c:pt idx="1985">
                  <c:v>11920</c:v>
                </c:pt>
                <c:pt idx="1986">
                  <c:v>11920</c:v>
                </c:pt>
                <c:pt idx="1987">
                  <c:v>11920</c:v>
                </c:pt>
                <c:pt idx="1988">
                  <c:v>11920</c:v>
                </c:pt>
                <c:pt idx="1989">
                  <c:v>11920</c:v>
                </c:pt>
                <c:pt idx="1990">
                  <c:v>11920</c:v>
                </c:pt>
                <c:pt idx="1991">
                  <c:v>11920</c:v>
                </c:pt>
                <c:pt idx="1992">
                  <c:v>11920</c:v>
                </c:pt>
                <c:pt idx="1993">
                  <c:v>11920</c:v>
                </c:pt>
                <c:pt idx="1994">
                  <c:v>11920</c:v>
                </c:pt>
                <c:pt idx="1995">
                  <c:v>11920</c:v>
                </c:pt>
                <c:pt idx="1996">
                  <c:v>11920</c:v>
                </c:pt>
                <c:pt idx="1997">
                  <c:v>11920</c:v>
                </c:pt>
                <c:pt idx="1998">
                  <c:v>11920</c:v>
                </c:pt>
              </c:numCache>
            </c:numRef>
          </c:xVal>
          <c:yVal>
            <c:numRef>
              <c:f>Calculations!$M$2:$M$2000</c:f>
              <c:numCache>
                <c:formatCode>General</c:formatCode>
                <c:ptCount val="1999"/>
                <c:pt idx="0">
                  <c:v>1.9299999995999999</c:v>
                </c:pt>
                <c:pt idx="1">
                  <c:v>1.9299999995999999</c:v>
                </c:pt>
                <c:pt idx="2">
                  <c:v>4.9799999988000003</c:v>
                </c:pt>
                <c:pt idx="3">
                  <c:v>6.8000000003999999</c:v>
                </c:pt>
                <c:pt idx="4">
                  <c:v>8.1600000012000002</c:v>
                </c:pt>
                <c:pt idx="5">
                  <c:v>10.1599999992</c:v>
                </c:pt>
                <c:pt idx="6">
                  <c:v>11.16</c:v>
                </c:pt>
                <c:pt idx="7">
                  <c:v>11.16</c:v>
                </c:pt>
                <c:pt idx="8">
                  <c:v>12.4999999992</c:v>
                </c:pt>
                <c:pt idx="9">
                  <c:v>12.290000000399999</c:v>
                </c:pt>
                <c:pt idx="10">
                  <c:v>12.1600000008</c:v>
                </c:pt>
                <c:pt idx="11">
                  <c:v>12.269999998799999</c:v>
                </c:pt>
                <c:pt idx="12">
                  <c:v>13.129999999200001</c:v>
                </c:pt>
                <c:pt idx="13">
                  <c:v>14.109999998399999</c:v>
                </c:pt>
                <c:pt idx="14">
                  <c:v>14.9100000012</c:v>
                </c:pt>
                <c:pt idx="15">
                  <c:v>15.630000001200001</c:v>
                </c:pt>
                <c:pt idx="16">
                  <c:v>16.1600000004</c:v>
                </c:pt>
                <c:pt idx="17">
                  <c:v>16.1600000004</c:v>
                </c:pt>
                <c:pt idx="18">
                  <c:v>17.470000000800002</c:v>
                </c:pt>
                <c:pt idx="19">
                  <c:v>18.299999998800001</c:v>
                </c:pt>
                <c:pt idx="20">
                  <c:v>19.059999998399999</c:v>
                </c:pt>
                <c:pt idx="21">
                  <c:v>19.850000000400001</c:v>
                </c:pt>
                <c:pt idx="22">
                  <c:v>22.209999998400001</c:v>
                </c:pt>
                <c:pt idx="23">
                  <c:v>22.209999998400001</c:v>
                </c:pt>
                <c:pt idx="24">
                  <c:v>22.209999998400001</c:v>
                </c:pt>
                <c:pt idx="25">
                  <c:v>26.989999999200002</c:v>
                </c:pt>
                <c:pt idx="26">
                  <c:v>29.530000000800001</c:v>
                </c:pt>
                <c:pt idx="27">
                  <c:v>31.020000001200003</c:v>
                </c:pt>
                <c:pt idx="28">
                  <c:v>32.479999999200004</c:v>
                </c:pt>
                <c:pt idx="29">
                  <c:v>33.850000000800001</c:v>
                </c:pt>
                <c:pt idx="30">
                  <c:v>33.630000001200003</c:v>
                </c:pt>
                <c:pt idx="31">
                  <c:v>33.270000001200003</c:v>
                </c:pt>
                <c:pt idx="32">
                  <c:v>32.870000001599998</c:v>
                </c:pt>
                <c:pt idx="33">
                  <c:v>32.500000000800007</c:v>
                </c:pt>
                <c:pt idx="34">
                  <c:v>32.500000000800007</c:v>
                </c:pt>
                <c:pt idx="35">
                  <c:v>30.880000000799999</c:v>
                </c:pt>
                <c:pt idx="36">
                  <c:v>29.639999998799997</c:v>
                </c:pt>
                <c:pt idx="37">
                  <c:v>28.450000000799999</c:v>
                </c:pt>
                <c:pt idx="38">
                  <c:v>28.450000000799999</c:v>
                </c:pt>
                <c:pt idx="39">
                  <c:v>28.450000000799999</c:v>
                </c:pt>
                <c:pt idx="40">
                  <c:v>27.5900000004</c:v>
                </c:pt>
                <c:pt idx="41">
                  <c:v>27.780000001200001</c:v>
                </c:pt>
                <c:pt idx="42">
                  <c:v>28.220000000399999</c:v>
                </c:pt>
                <c:pt idx="43">
                  <c:v>28.950000001199999</c:v>
                </c:pt>
                <c:pt idx="44">
                  <c:v>29.689999999199998</c:v>
                </c:pt>
                <c:pt idx="45">
                  <c:v>29.689999999199998</c:v>
                </c:pt>
                <c:pt idx="46">
                  <c:v>30.499999999199996</c:v>
                </c:pt>
                <c:pt idx="47">
                  <c:v>31.179999999600003</c:v>
                </c:pt>
                <c:pt idx="48">
                  <c:v>32.230000000799997</c:v>
                </c:pt>
                <c:pt idx="49">
                  <c:v>32.230000000799997</c:v>
                </c:pt>
                <c:pt idx="50">
                  <c:v>35.880000001200003</c:v>
                </c:pt>
                <c:pt idx="51">
                  <c:v>40.489999992000001</c:v>
                </c:pt>
                <c:pt idx="52">
                  <c:v>45.020000015999997</c:v>
                </c:pt>
                <c:pt idx="53">
                  <c:v>45.020000015999997</c:v>
                </c:pt>
                <c:pt idx="54">
                  <c:v>48.87</c:v>
                </c:pt>
                <c:pt idx="55">
                  <c:v>50.109999983999998</c:v>
                </c:pt>
                <c:pt idx="56">
                  <c:v>50.429999987999999</c:v>
                </c:pt>
                <c:pt idx="57">
                  <c:v>50.749999992000006</c:v>
                </c:pt>
                <c:pt idx="58">
                  <c:v>50.749999992000006</c:v>
                </c:pt>
                <c:pt idx="59">
                  <c:v>51.130000008000003</c:v>
                </c:pt>
                <c:pt idx="60">
                  <c:v>51.429999995999999</c:v>
                </c:pt>
                <c:pt idx="61">
                  <c:v>51.429999995999999</c:v>
                </c:pt>
                <c:pt idx="62">
                  <c:v>51.429999995999999</c:v>
                </c:pt>
                <c:pt idx="63">
                  <c:v>51.800000004000005</c:v>
                </c:pt>
                <c:pt idx="64">
                  <c:v>51.800000004000005</c:v>
                </c:pt>
                <c:pt idx="65">
                  <c:v>51.800000004000005</c:v>
                </c:pt>
                <c:pt idx="66">
                  <c:v>51.519999996000003</c:v>
                </c:pt>
                <c:pt idx="67">
                  <c:v>50.699999988000002</c:v>
                </c:pt>
                <c:pt idx="68">
                  <c:v>48.309999984000001</c:v>
                </c:pt>
                <c:pt idx="69">
                  <c:v>48.309999984000001</c:v>
                </c:pt>
                <c:pt idx="70">
                  <c:v>48.309999984000001</c:v>
                </c:pt>
                <c:pt idx="71">
                  <c:v>45.979999992000003</c:v>
                </c:pt>
                <c:pt idx="72">
                  <c:v>43.830000000000005</c:v>
                </c:pt>
                <c:pt idx="73">
                  <c:v>41.630000003999996</c:v>
                </c:pt>
                <c:pt idx="74">
                  <c:v>39.750000012000001</c:v>
                </c:pt>
                <c:pt idx="75">
                  <c:v>39.750000012000001</c:v>
                </c:pt>
                <c:pt idx="76">
                  <c:v>38.049999984000003</c:v>
                </c:pt>
                <c:pt idx="77">
                  <c:v>36.500000004</c:v>
                </c:pt>
                <c:pt idx="78">
                  <c:v>34.92</c:v>
                </c:pt>
                <c:pt idx="79">
                  <c:v>33.2499999996</c:v>
                </c:pt>
                <c:pt idx="80">
                  <c:v>33.2499999996</c:v>
                </c:pt>
                <c:pt idx="81">
                  <c:v>30.9999999996</c:v>
                </c:pt>
                <c:pt idx="82">
                  <c:v>30.9999999996</c:v>
                </c:pt>
                <c:pt idx="83">
                  <c:v>28.419999998400002</c:v>
                </c:pt>
                <c:pt idx="84">
                  <c:v>26.669999998800002</c:v>
                </c:pt>
                <c:pt idx="85">
                  <c:v>24.789999999599999</c:v>
                </c:pt>
                <c:pt idx="86">
                  <c:v>22.330000000799998</c:v>
                </c:pt>
                <c:pt idx="87">
                  <c:v>19.350000000000001</c:v>
                </c:pt>
                <c:pt idx="88">
                  <c:v>15.800000000400003</c:v>
                </c:pt>
                <c:pt idx="89">
                  <c:v>11.540000001600001</c:v>
                </c:pt>
                <c:pt idx="90">
                  <c:v>8.0600000004000005</c:v>
                </c:pt>
                <c:pt idx="91">
                  <c:v>5.1800000003999997</c:v>
                </c:pt>
                <c:pt idx="92">
                  <c:v>5.1800000003999997</c:v>
                </c:pt>
                <c:pt idx="93">
                  <c:v>1.3600000008000002</c:v>
                </c:pt>
                <c:pt idx="94">
                  <c:v>0.56000000160000007</c:v>
                </c:pt>
                <c:pt idx="95">
                  <c:v>0.56000000160000007</c:v>
                </c:pt>
                <c:pt idx="96">
                  <c:v>0.1299999996</c:v>
                </c:pt>
                <c:pt idx="97">
                  <c:v>0</c:v>
                </c:pt>
                <c:pt idx="98">
                  <c:v>0.11999999880000001</c:v>
                </c:pt>
                <c:pt idx="99">
                  <c:v>0.11999999880000001</c:v>
                </c:pt>
                <c:pt idx="100">
                  <c:v>4.2999999983999997</c:v>
                </c:pt>
                <c:pt idx="101">
                  <c:v>8.9399999988000012</c:v>
                </c:pt>
                <c:pt idx="102">
                  <c:v>13.8300000012</c:v>
                </c:pt>
                <c:pt idx="103">
                  <c:v>18.420000001199998</c:v>
                </c:pt>
                <c:pt idx="104">
                  <c:v>18.420000001199998</c:v>
                </c:pt>
                <c:pt idx="105">
                  <c:v>18.420000001199998</c:v>
                </c:pt>
                <c:pt idx="106">
                  <c:v>22.449999999599999</c:v>
                </c:pt>
                <c:pt idx="107">
                  <c:v>27.519999998400003</c:v>
                </c:pt>
                <c:pt idx="108">
                  <c:v>32.04</c:v>
                </c:pt>
                <c:pt idx="109">
                  <c:v>35.200000000800003</c:v>
                </c:pt>
                <c:pt idx="110">
                  <c:v>38.469999996000006</c:v>
                </c:pt>
                <c:pt idx="111">
                  <c:v>41.569999992</c:v>
                </c:pt>
                <c:pt idx="112">
                  <c:v>41.569999992</c:v>
                </c:pt>
                <c:pt idx="113">
                  <c:v>42.879999996000002</c:v>
                </c:pt>
                <c:pt idx="114">
                  <c:v>42.879999996000002</c:v>
                </c:pt>
                <c:pt idx="115">
                  <c:v>43.710000012000002</c:v>
                </c:pt>
                <c:pt idx="116">
                  <c:v>44.46</c:v>
                </c:pt>
                <c:pt idx="117">
                  <c:v>45.230000003999997</c:v>
                </c:pt>
                <c:pt idx="118">
                  <c:v>45.230000003999997</c:v>
                </c:pt>
                <c:pt idx="119">
                  <c:v>45.110000016000001</c:v>
                </c:pt>
                <c:pt idx="120">
                  <c:v>45.110000016000001</c:v>
                </c:pt>
                <c:pt idx="121">
                  <c:v>44.730000000000004</c:v>
                </c:pt>
                <c:pt idx="122">
                  <c:v>44.730000000000004</c:v>
                </c:pt>
                <c:pt idx="123">
                  <c:v>42.450000011999997</c:v>
                </c:pt>
                <c:pt idx="124">
                  <c:v>40.520000015999997</c:v>
                </c:pt>
                <c:pt idx="125">
                  <c:v>39.489999984000001</c:v>
                </c:pt>
                <c:pt idx="126">
                  <c:v>38.630000016000004</c:v>
                </c:pt>
                <c:pt idx="127">
                  <c:v>37.810000008000003</c:v>
                </c:pt>
                <c:pt idx="128">
                  <c:v>37.26</c:v>
                </c:pt>
                <c:pt idx="129">
                  <c:v>36.860000004</c:v>
                </c:pt>
                <c:pt idx="130">
                  <c:v>36.860000004</c:v>
                </c:pt>
                <c:pt idx="131">
                  <c:v>36.860000004</c:v>
                </c:pt>
                <c:pt idx="132">
                  <c:v>36.860000004</c:v>
                </c:pt>
                <c:pt idx="133">
                  <c:v>36.299999988000003</c:v>
                </c:pt>
                <c:pt idx="134">
                  <c:v>36.380000016000004</c:v>
                </c:pt>
                <c:pt idx="135">
                  <c:v>36.389999988000007</c:v>
                </c:pt>
                <c:pt idx="136">
                  <c:v>36.450000000000003</c:v>
                </c:pt>
                <c:pt idx="137">
                  <c:v>36.460000008000002</c:v>
                </c:pt>
                <c:pt idx="138">
                  <c:v>36.330000011999999</c:v>
                </c:pt>
                <c:pt idx="139">
                  <c:v>36.249999983999999</c:v>
                </c:pt>
                <c:pt idx="140">
                  <c:v>36.630000000000003</c:v>
                </c:pt>
                <c:pt idx="141">
                  <c:v>39.669999984</c:v>
                </c:pt>
                <c:pt idx="142">
                  <c:v>39.669999984</c:v>
                </c:pt>
                <c:pt idx="143">
                  <c:v>48.129999984000001</c:v>
                </c:pt>
                <c:pt idx="144">
                  <c:v>49.799999988000003</c:v>
                </c:pt>
                <c:pt idx="145">
                  <c:v>49.799999988000003</c:v>
                </c:pt>
                <c:pt idx="146">
                  <c:v>51.170000004000002</c:v>
                </c:pt>
                <c:pt idx="147">
                  <c:v>51.170000004000002</c:v>
                </c:pt>
                <c:pt idx="148">
                  <c:v>52.490000016000003</c:v>
                </c:pt>
                <c:pt idx="149">
                  <c:v>53.499999996</c:v>
                </c:pt>
                <c:pt idx="150">
                  <c:v>53.499999996</c:v>
                </c:pt>
                <c:pt idx="151">
                  <c:v>54.54</c:v>
                </c:pt>
                <c:pt idx="152">
                  <c:v>54.479999987999996</c:v>
                </c:pt>
                <c:pt idx="153">
                  <c:v>54.479999987999996</c:v>
                </c:pt>
                <c:pt idx="154">
                  <c:v>54.569999987999999</c:v>
                </c:pt>
                <c:pt idx="155">
                  <c:v>54</c:v>
                </c:pt>
                <c:pt idx="156">
                  <c:v>53.780000004000001</c:v>
                </c:pt>
                <c:pt idx="157">
                  <c:v>53.750000016000001</c:v>
                </c:pt>
                <c:pt idx="158">
                  <c:v>53.759999988000004</c:v>
                </c:pt>
                <c:pt idx="159">
                  <c:v>53.759999988000004</c:v>
                </c:pt>
                <c:pt idx="160">
                  <c:v>53.719999991999998</c:v>
                </c:pt>
                <c:pt idx="161">
                  <c:v>53.859999995999999</c:v>
                </c:pt>
                <c:pt idx="162">
                  <c:v>53.859999995999999</c:v>
                </c:pt>
                <c:pt idx="163">
                  <c:v>53.420000004000002</c:v>
                </c:pt>
                <c:pt idx="164">
                  <c:v>53.420000004000002</c:v>
                </c:pt>
                <c:pt idx="165">
                  <c:v>52.530000012000002</c:v>
                </c:pt>
                <c:pt idx="166">
                  <c:v>51.019999992000002</c:v>
                </c:pt>
                <c:pt idx="167">
                  <c:v>48.790000008</c:v>
                </c:pt>
                <c:pt idx="168">
                  <c:v>46.53</c:v>
                </c:pt>
                <c:pt idx="169">
                  <c:v>46.53</c:v>
                </c:pt>
                <c:pt idx="170">
                  <c:v>44.210000016000002</c:v>
                </c:pt>
                <c:pt idx="171">
                  <c:v>42.099999984</c:v>
                </c:pt>
                <c:pt idx="172">
                  <c:v>42.099999984</c:v>
                </c:pt>
                <c:pt idx="173">
                  <c:v>40.650000012</c:v>
                </c:pt>
                <c:pt idx="174">
                  <c:v>38.940000011999999</c:v>
                </c:pt>
                <c:pt idx="175">
                  <c:v>38.940000011999999</c:v>
                </c:pt>
                <c:pt idx="176">
                  <c:v>38.940000011999999</c:v>
                </c:pt>
                <c:pt idx="177">
                  <c:v>38.000000016000001</c:v>
                </c:pt>
                <c:pt idx="178">
                  <c:v>37.190000016000006</c:v>
                </c:pt>
                <c:pt idx="179">
                  <c:v>37.190000016000006</c:v>
                </c:pt>
                <c:pt idx="180">
                  <c:v>35.809999999200002</c:v>
                </c:pt>
                <c:pt idx="181">
                  <c:v>34.179999998400007</c:v>
                </c:pt>
                <c:pt idx="182">
                  <c:v>34.179999998400007</c:v>
                </c:pt>
                <c:pt idx="183">
                  <c:v>31.809999999599999</c:v>
                </c:pt>
                <c:pt idx="184">
                  <c:v>29.649999999599999</c:v>
                </c:pt>
                <c:pt idx="185">
                  <c:v>28.019999998799999</c:v>
                </c:pt>
                <c:pt idx="186">
                  <c:v>26.7500000016</c:v>
                </c:pt>
                <c:pt idx="187">
                  <c:v>25.369999999200001</c:v>
                </c:pt>
                <c:pt idx="188">
                  <c:v>22.539999999599999</c:v>
                </c:pt>
                <c:pt idx="189">
                  <c:v>19.469999998799999</c:v>
                </c:pt>
                <c:pt idx="190">
                  <c:v>15.609999999600001</c:v>
                </c:pt>
                <c:pt idx="191">
                  <c:v>15.609999999600001</c:v>
                </c:pt>
                <c:pt idx="192">
                  <c:v>11.720000001600001</c:v>
                </c:pt>
                <c:pt idx="193">
                  <c:v>8.2000000007999994</c:v>
                </c:pt>
                <c:pt idx="194">
                  <c:v>4.7300000004000005</c:v>
                </c:pt>
                <c:pt idx="195">
                  <c:v>1.2999999996</c:v>
                </c:pt>
                <c:pt idx="196">
                  <c:v>0.15000000119999998</c:v>
                </c:pt>
                <c:pt idx="197">
                  <c:v>0</c:v>
                </c:pt>
                <c:pt idx="198">
                  <c:v>1.5099999984000001</c:v>
                </c:pt>
                <c:pt idx="199">
                  <c:v>1.5099999984000001</c:v>
                </c:pt>
                <c:pt idx="200">
                  <c:v>6.1800000011999998</c:v>
                </c:pt>
                <c:pt idx="201">
                  <c:v>10.1599999992</c:v>
                </c:pt>
                <c:pt idx="202">
                  <c:v>10.1599999992</c:v>
                </c:pt>
                <c:pt idx="203">
                  <c:v>14.360000000400001</c:v>
                </c:pt>
                <c:pt idx="204">
                  <c:v>14.360000000400001</c:v>
                </c:pt>
                <c:pt idx="205">
                  <c:v>18.309999999600002</c:v>
                </c:pt>
                <c:pt idx="206">
                  <c:v>21.899999998799998</c:v>
                </c:pt>
                <c:pt idx="207">
                  <c:v>26.1</c:v>
                </c:pt>
                <c:pt idx="208">
                  <c:v>30.219999998399999</c:v>
                </c:pt>
                <c:pt idx="209">
                  <c:v>34.409999998800004</c:v>
                </c:pt>
                <c:pt idx="210">
                  <c:v>38.549999988000003</c:v>
                </c:pt>
                <c:pt idx="211">
                  <c:v>42.170000004000002</c:v>
                </c:pt>
                <c:pt idx="212">
                  <c:v>44.920000008000002</c:v>
                </c:pt>
                <c:pt idx="213">
                  <c:v>46.869999983999996</c:v>
                </c:pt>
                <c:pt idx="214">
                  <c:v>48.290000004000007</c:v>
                </c:pt>
                <c:pt idx="215">
                  <c:v>49.830000011999999</c:v>
                </c:pt>
                <c:pt idx="216">
                  <c:v>51.329999987999997</c:v>
                </c:pt>
                <c:pt idx="217">
                  <c:v>52.070000004000001</c:v>
                </c:pt>
                <c:pt idx="218">
                  <c:v>52.840000007999997</c:v>
                </c:pt>
                <c:pt idx="219">
                  <c:v>52.840000007999997</c:v>
                </c:pt>
                <c:pt idx="220">
                  <c:v>53.560000008000003</c:v>
                </c:pt>
                <c:pt idx="221">
                  <c:v>53.560000008000003</c:v>
                </c:pt>
                <c:pt idx="222">
                  <c:v>55.069999992</c:v>
                </c:pt>
                <c:pt idx="223">
                  <c:v>55.839999996000003</c:v>
                </c:pt>
                <c:pt idx="224">
                  <c:v>55.839999996000003</c:v>
                </c:pt>
                <c:pt idx="225">
                  <c:v>56.840000004000004</c:v>
                </c:pt>
                <c:pt idx="226">
                  <c:v>56.840000004000004</c:v>
                </c:pt>
                <c:pt idx="227">
                  <c:v>57.099999996000001</c:v>
                </c:pt>
                <c:pt idx="228">
                  <c:v>56.940000011999999</c:v>
                </c:pt>
                <c:pt idx="229">
                  <c:v>56.649999995999998</c:v>
                </c:pt>
                <c:pt idx="230">
                  <c:v>56.400000012</c:v>
                </c:pt>
                <c:pt idx="231">
                  <c:v>56.260000008000006</c:v>
                </c:pt>
                <c:pt idx="232">
                  <c:v>55.940000004000005</c:v>
                </c:pt>
                <c:pt idx="233">
                  <c:v>55.680000012000001</c:v>
                </c:pt>
                <c:pt idx="234">
                  <c:v>55.580000003999999</c:v>
                </c:pt>
                <c:pt idx="235">
                  <c:v>55.580000003999999</c:v>
                </c:pt>
                <c:pt idx="236">
                  <c:v>55.320000012000001</c:v>
                </c:pt>
                <c:pt idx="237">
                  <c:v>54.609999983999998</c:v>
                </c:pt>
                <c:pt idx="238">
                  <c:v>54.609999983999998</c:v>
                </c:pt>
                <c:pt idx="239">
                  <c:v>53.949999996000003</c:v>
                </c:pt>
                <c:pt idx="240">
                  <c:v>53.949999996000003</c:v>
                </c:pt>
                <c:pt idx="241">
                  <c:v>53.01</c:v>
                </c:pt>
                <c:pt idx="242">
                  <c:v>53.01</c:v>
                </c:pt>
                <c:pt idx="243">
                  <c:v>51.509999988000004</c:v>
                </c:pt>
                <c:pt idx="244">
                  <c:v>50.270000004000003</c:v>
                </c:pt>
                <c:pt idx="245">
                  <c:v>48.890000016000002</c:v>
                </c:pt>
                <c:pt idx="246">
                  <c:v>47.890000008000001</c:v>
                </c:pt>
                <c:pt idx="247">
                  <c:v>46.919999988000001</c:v>
                </c:pt>
                <c:pt idx="248">
                  <c:v>45.309999995999995</c:v>
                </c:pt>
                <c:pt idx="249">
                  <c:v>43.689999995999997</c:v>
                </c:pt>
                <c:pt idx="250">
                  <c:v>42.760000008000006</c:v>
                </c:pt>
                <c:pt idx="251">
                  <c:v>41.540000004000007</c:v>
                </c:pt>
                <c:pt idx="252">
                  <c:v>39.849999984</c:v>
                </c:pt>
                <c:pt idx="253">
                  <c:v>38.149999992000005</c:v>
                </c:pt>
                <c:pt idx="254">
                  <c:v>35.979999998400004</c:v>
                </c:pt>
                <c:pt idx="255">
                  <c:v>32.900000000400006</c:v>
                </c:pt>
                <c:pt idx="256">
                  <c:v>30.859999999200003</c:v>
                </c:pt>
                <c:pt idx="257">
                  <c:v>30.859999999200003</c:v>
                </c:pt>
                <c:pt idx="258">
                  <c:v>27.870000001199998</c:v>
                </c:pt>
                <c:pt idx="259">
                  <c:v>27.870000001199998</c:v>
                </c:pt>
                <c:pt idx="260">
                  <c:v>24.400000000799999</c:v>
                </c:pt>
                <c:pt idx="261">
                  <c:v>21.200000000400003</c:v>
                </c:pt>
                <c:pt idx="262">
                  <c:v>18.2300000004</c:v>
                </c:pt>
                <c:pt idx="263">
                  <c:v>15.120000000000001</c:v>
                </c:pt>
                <c:pt idx="264">
                  <c:v>12.0800000016</c:v>
                </c:pt>
                <c:pt idx="265">
                  <c:v>10.280000001600001</c:v>
                </c:pt>
                <c:pt idx="266">
                  <c:v>10.280000001600001</c:v>
                </c:pt>
                <c:pt idx="267">
                  <c:v>9.1500000012000005</c:v>
                </c:pt>
                <c:pt idx="268">
                  <c:v>8.1399999996000005</c:v>
                </c:pt>
                <c:pt idx="269">
                  <c:v>8.1399999996000005</c:v>
                </c:pt>
                <c:pt idx="270">
                  <c:v>7.1399999988000005</c:v>
                </c:pt>
                <c:pt idx="271">
                  <c:v>6.39</c:v>
                </c:pt>
                <c:pt idx="272">
                  <c:v>6.39</c:v>
                </c:pt>
                <c:pt idx="273">
                  <c:v>5.1000000012000006</c:v>
                </c:pt>
                <c:pt idx="274">
                  <c:v>4.8399999984000006</c:v>
                </c:pt>
                <c:pt idx="275">
                  <c:v>5.1000000012000006</c:v>
                </c:pt>
                <c:pt idx="276">
                  <c:v>5.2899999984000008</c:v>
                </c:pt>
                <c:pt idx="277">
                  <c:v>5.5000000008000001</c:v>
                </c:pt>
                <c:pt idx="278">
                  <c:v>5.5000000008000001</c:v>
                </c:pt>
                <c:pt idx="279">
                  <c:v>4.6699999991999999</c:v>
                </c:pt>
                <c:pt idx="280">
                  <c:v>4.6699999991999999</c:v>
                </c:pt>
                <c:pt idx="281">
                  <c:v>4.6699999991999999</c:v>
                </c:pt>
                <c:pt idx="282">
                  <c:v>0.60999999839999997</c:v>
                </c:pt>
                <c:pt idx="283">
                  <c:v>0.50000000039999992</c:v>
                </c:pt>
                <c:pt idx="284">
                  <c:v>0.50000000039999992</c:v>
                </c:pt>
                <c:pt idx="285">
                  <c:v>0</c:v>
                </c:pt>
                <c:pt idx="286">
                  <c:v>2.5599999996</c:v>
                </c:pt>
                <c:pt idx="287">
                  <c:v>2.5599999996</c:v>
                </c:pt>
                <c:pt idx="288">
                  <c:v>6.8100000011999997</c:v>
                </c:pt>
                <c:pt idx="289">
                  <c:v>10.730000001600001</c:v>
                </c:pt>
                <c:pt idx="290">
                  <c:v>14.860000000799999</c:v>
                </c:pt>
                <c:pt idx="291">
                  <c:v>18.9799999992</c:v>
                </c:pt>
                <c:pt idx="292">
                  <c:v>22.849999999200001</c:v>
                </c:pt>
                <c:pt idx="293">
                  <c:v>22.849999999200001</c:v>
                </c:pt>
                <c:pt idx="294">
                  <c:v>22.849999999200001</c:v>
                </c:pt>
                <c:pt idx="295">
                  <c:v>26.799999998400001</c:v>
                </c:pt>
                <c:pt idx="296">
                  <c:v>31.280000000399998</c:v>
                </c:pt>
                <c:pt idx="297">
                  <c:v>34.790000000400006</c:v>
                </c:pt>
                <c:pt idx="298">
                  <c:v>38.570000004000001</c:v>
                </c:pt>
                <c:pt idx="299">
                  <c:v>40.569999983999999</c:v>
                </c:pt>
                <c:pt idx="300">
                  <c:v>42.739999992000001</c:v>
                </c:pt>
                <c:pt idx="301">
                  <c:v>44.880000012000004</c:v>
                </c:pt>
                <c:pt idx="302">
                  <c:v>44.880000012000004</c:v>
                </c:pt>
                <c:pt idx="303">
                  <c:v>48.250000008000001</c:v>
                </c:pt>
                <c:pt idx="304">
                  <c:v>49.470000012000007</c:v>
                </c:pt>
                <c:pt idx="305">
                  <c:v>50.4</c:v>
                </c:pt>
                <c:pt idx="306">
                  <c:v>50.4</c:v>
                </c:pt>
                <c:pt idx="307">
                  <c:v>51.320000016000002</c:v>
                </c:pt>
                <c:pt idx="308">
                  <c:v>52.220000016</c:v>
                </c:pt>
                <c:pt idx="309">
                  <c:v>52.779999996000001</c:v>
                </c:pt>
                <c:pt idx="310">
                  <c:v>53.28</c:v>
                </c:pt>
                <c:pt idx="311">
                  <c:v>53.510000003999998</c:v>
                </c:pt>
                <c:pt idx="312">
                  <c:v>53.830000007999999</c:v>
                </c:pt>
                <c:pt idx="313">
                  <c:v>53.920000008000002</c:v>
                </c:pt>
                <c:pt idx="314">
                  <c:v>54.050000004000005</c:v>
                </c:pt>
                <c:pt idx="315">
                  <c:v>54.240000012000003</c:v>
                </c:pt>
                <c:pt idx="316">
                  <c:v>54.240000012000003</c:v>
                </c:pt>
                <c:pt idx="317">
                  <c:v>54.54</c:v>
                </c:pt>
                <c:pt idx="318">
                  <c:v>54.54</c:v>
                </c:pt>
                <c:pt idx="319">
                  <c:v>54.650000016</c:v>
                </c:pt>
                <c:pt idx="320">
                  <c:v>54.650000016</c:v>
                </c:pt>
                <c:pt idx="321">
                  <c:v>54.81</c:v>
                </c:pt>
                <c:pt idx="322">
                  <c:v>54.81</c:v>
                </c:pt>
                <c:pt idx="323">
                  <c:v>54.519999983999995</c:v>
                </c:pt>
                <c:pt idx="324">
                  <c:v>54.010000008000006</c:v>
                </c:pt>
                <c:pt idx="325">
                  <c:v>53.880000012000004</c:v>
                </c:pt>
                <c:pt idx="326">
                  <c:v>53.709999984</c:v>
                </c:pt>
                <c:pt idx="327">
                  <c:v>53.480000016000005</c:v>
                </c:pt>
                <c:pt idx="328">
                  <c:v>52.999999992000006</c:v>
                </c:pt>
                <c:pt idx="329">
                  <c:v>52.300000007999998</c:v>
                </c:pt>
                <c:pt idx="330">
                  <c:v>52.300000007999998</c:v>
                </c:pt>
                <c:pt idx="331">
                  <c:v>52.300000007999998</c:v>
                </c:pt>
                <c:pt idx="332">
                  <c:v>51.549999984000003</c:v>
                </c:pt>
                <c:pt idx="333">
                  <c:v>51.549999984000003</c:v>
                </c:pt>
                <c:pt idx="334">
                  <c:v>51.159999995999996</c:v>
                </c:pt>
                <c:pt idx="335">
                  <c:v>51.159999995999996</c:v>
                </c:pt>
                <c:pt idx="336">
                  <c:v>51.159999995999996</c:v>
                </c:pt>
                <c:pt idx="337">
                  <c:v>50.510000015999999</c:v>
                </c:pt>
                <c:pt idx="338">
                  <c:v>50.510000015999999</c:v>
                </c:pt>
                <c:pt idx="339">
                  <c:v>50.339999988000002</c:v>
                </c:pt>
                <c:pt idx="340">
                  <c:v>50.339999988000002</c:v>
                </c:pt>
                <c:pt idx="341">
                  <c:v>49.759999992000004</c:v>
                </c:pt>
                <c:pt idx="342">
                  <c:v>49.759999992000004</c:v>
                </c:pt>
                <c:pt idx="343">
                  <c:v>48.87</c:v>
                </c:pt>
                <c:pt idx="344">
                  <c:v>48.200000004000003</c:v>
                </c:pt>
                <c:pt idx="345">
                  <c:v>48.200000004000003</c:v>
                </c:pt>
                <c:pt idx="346">
                  <c:v>47.670000012000003</c:v>
                </c:pt>
                <c:pt idx="347">
                  <c:v>47.199999996000003</c:v>
                </c:pt>
                <c:pt idx="348">
                  <c:v>47.199999996000003</c:v>
                </c:pt>
                <c:pt idx="349">
                  <c:v>46.770000012000004</c:v>
                </c:pt>
                <c:pt idx="350">
                  <c:v>46.26</c:v>
                </c:pt>
                <c:pt idx="351">
                  <c:v>46.26</c:v>
                </c:pt>
                <c:pt idx="352">
                  <c:v>46.479999996000004</c:v>
                </c:pt>
                <c:pt idx="353">
                  <c:v>46.119999996000004</c:v>
                </c:pt>
                <c:pt idx="354">
                  <c:v>46.119999996000004</c:v>
                </c:pt>
                <c:pt idx="355">
                  <c:v>45.849999996000001</c:v>
                </c:pt>
                <c:pt idx="356">
                  <c:v>45.849999996000001</c:v>
                </c:pt>
                <c:pt idx="357">
                  <c:v>44.390000016000002</c:v>
                </c:pt>
                <c:pt idx="358">
                  <c:v>44.390000016000002</c:v>
                </c:pt>
                <c:pt idx="359">
                  <c:v>42.699999996000003</c:v>
                </c:pt>
                <c:pt idx="360">
                  <c:v>41.289999984000005</c:v>
                </c:pt>
                <c:pt idx="361">
                  <c:v>39.120000012000006</c:v>
                </c:pt>
                <c:pt idx="362">
                  <c:v>37.080000000000005</c:v>
                </c:pt>
                <c:pt idx="363">
                  <c:v>37.080000000000005</c:v>
                </c:pt>
                <c:pt idx="364">
                  <c:v>37.080000000000005</c:v>
                </c:pt>
                <c:pt idx="365">
                  <c:v>37.080000000000005</c:v>
                </c:pt>
                <c:pt idx="366">
                  <c:v>36.219999996000006</c:v>
                </c:pt>
                <c:pt idx="367">
                  <c:v>36.269999999999996</c:v>
                </c:pt>
                <c:pt idx="368">
                  <c:v>36.200000016000004</c:v>
                </c:pt>
                <c:pt idx="369">
                  <c:v>36.249999983999999</c:v>
                </c:pt>
                <c:pt idx="370">
                  <c:v>36.510000011999999</c:v>
                </c:pt>
                <c:pt idx="371">
                  <c:v>36.9</c:v>
                </c:pt>
                <c:pt idx="372">
                  <c:v>37.130000003999996</c:v>
                </c:pt>
                <c:pt idx="373">
                  <c:v>37.900000007999999</c:v>
                </c:pt>
                <c:pt idx="374">
                  <c:v>38.310000011999996</c:v>
                </c:pt>
                <c:pt idx="375">
                  <c:v>38.310000011999996</c:v>
                </c:pt>
                <c:pt idx="376">
                  <c:v>39.039999984000005</c:v>
                </c:pt>
                <c:pt idx="377">
                  <c:v>39.020000004000003</c:v>
                </c:pt>
                <c:pt idx="378">
                  <c:v>39.06</c:v>
                </c:pt>
                <c:pt idx="379">
                  <c:v>39.06</c:v>
                </c:pt>
                <c:pt idx="380">
                  <c:v>39.030000012000002</c:v>
                </c:pt>
                <c:pt idx="381">
                  <c:v>38.940000011999999</c:v>
                </c:pt>
                <c:pt idx="382">
                  <c:v>38.940000011999999</c:v>
                </c:pt>
                <c:pt idx="383">
                  <c:v>38.909999988000003</c:v>
                </c:pt>
                <c:pt idx="384">
                  <c:v>38.909999988000003</c:v>
                </c:pt>
                <c:pt idx="385">
                  <c:v>38.909999988000003</c:v>
                </c:pt>
                <c:pt idx="386">
                  <c:v>38.909999988000003</c:v>
                </c:pt>
                <c:pt idx="387">
                  <c:v>38.620000008000005</c:v>
                </c:pt>
                <c:pt idx="388">
                  <c:v>38.319999983999999</c:v>
                </c:pt>
                <c:pt idx="389">
                  <c:v>38.009999988000004</c:v>
                </c:pt>
                <c:pt idx="390">
                  <c:v>38.009999988000004</c:v>
                </c:pt>
                <c:pt idx="391">
                  <c:v>38.009999988000004</c:v>
                </c:pt>
                <c:pt idx="392">
                  <c:v>37.249999992000006</c:v>
                </c:pt>
                <c:pt idx="393">
                  <c:v>37.249999992000006</c:v>
                </c:pt>
                <c:pt idx="394">
                  <c:v>37.249999992000006</c:v>
                </c:pt>
                <c:pt idx="395">
                  <c:v>36.290000016</c:v>
                </c:pt>
                <c:pt idx="396">
                  <c:v>34.980000001200004</c:v>
                </c:pt>
                <c:pt idx="397">
                  <c:v>33.080000000399998</c:v>
                </c:pt>
                <c:pt idx="398">
                  <c:v>30.8400000012</c:v>
                </c:pt>
                <c:pt idx="399">
                  <c:v>29.199999999599999</c:v>
                </c:pt>
                <c:pt idx="400">
                  <c:v>28.149999998400002</c:v>
                </c:pt>
                <c:pt idx="401">
                  <c:v>28.149999998400002</c:v>
                </c:pt>
                <c:pt idx="402">
                  <c:v>24.860000001600003</c:v>
                </c:pt>
                <c:pt idx="403">
                  <c:v>22.8899999988</c:v>
                </c:pt>
                <c:pt idx="404">
                  <c:v>20.869999999200001</c:v>
                </c:pt>
                <c:pt idx="405">
                  <c:v>20.869999999200001</c:v>
                </c:pt>
                <c:pt idx="406">
                  <c:v>18.900000000000002</c:v>
                </c:pt>
                <c:pt idx="407">
                  <c:v>18.900000000000002</c:v>
                </c:pt>
                <c:pt idx="408">
                  <c:v>18.439999999200001</c:v>
                </c:pt>
                <c:pt idx="409">
                  <c:v>18.2300000004</c:v>
                </c:pt>
                <c:pt idx="410">
                  <c:v>18.5900000004</c:v>
                </c:pt>
                <c:pt idx="411">
                  <c:v>19.389999999600001</c:v>
                </c:pt>
                <c:pt idx="412">
                  <c:v>19.389999999600001</c:v>
                </c:pt>
                <c:pt idx="413">
                  <c:v>20.300000000400001</c:v>
                </c:pt>
                <c:pt idx="414">
                  <c:v>21.099999999599998</c:v>
                </c:pt>
                <c:pt idx="415">
                  <c:v>21.700000000799999</c:v>
                </c:pt>
                <c:pt idx="416">
                  <c:v>21.8199999996</c:v>
                </c:pt>
                <c:pt idx="417">
                  <c:v>21.8199999996</c:v>
                </c:pt>
                <c:pt idx="418">
                  <c:v>21.6</c:v>
                </c:pt>
                <c:pt idx="419">
                  <c:v>21.6</c:v>
                </c:pt>
                <c:pt idx="420">
                  <c:v>21.6</c:v>
                </c:pt>
                <c:pt idx="421">
                  <c:v>19.140000001200001</c:v>
                </c:pt>
                <c:pt idx="422">
                  <c:v>17.039999998799999</c:v>
                </c:pt>
                <c:pt idx="423">
                  <c:v>14.460000001200001</c:v>
                </c:pt>
                <c:pt idx="424">
                  <c:v>14.460000001200001</c:v>
                </c:pt>
                <c:pt idx="425">
                  <c:v>14.460000001200001</c:v>
                </c:pt>
                <c:pt idx="426">
                  <c:v>8.6199999983999991</c:v>
                </c:pt>
                <c:pt idx="427">
                  <c:v>8.6199999983999991</c:v>
                </c:pt>
                <c:pt idx="428">
                  <c:v>3.2799999995999998</c:v>
                </c:pt>
                <c:pt idx="429">
                  <c:v>0.78999999840000001</c:v>
                </c:pt>
                <c:pt idx="430">
                  <c:v>0.38999999880000003</c:v>
                </c:pt>
                <c:pt idx="431">
                  <c:v>0.38999999880000003</c:v>
                </c:pt>
                <c:pt idx="432">
                  <c:v>0.88999999919999995</c:v>
                </c:pt>
                <c:pt idx="433">
                  <c:v>0.88999999919999995</c:v>
                </c:pt>
                <c:pt idx="434">
                  <c:v>3.06</c:v>
                </c:pt>
                <c:pt idx="435">
                  <c:v>7.1600000004000002</c:v>
                </c:pt>
                <c:pt idx="436">
                  <c:v>7.1600000004000002</c:v>
                </c:pt>
                <c:pt idx="437">
                  <c:v>12.6</c:v>
                </c:pt>
                <c:pt idx="438">
                  <c:v>12.6</c:v>
                </c:pt>
                <c:pt idx="439">
                  <c:v>17.960000000400001</c:v>
                </c:pt>
                <c:pt idx="440">
                  <c:v>19.720000000800002</c:v>
                </c:pt>
                <c:pt idx="441">
                  <c:v>22.690000000800001</c:v>
                </c:pt>
                <c:pt idx="442">
                  <c:v>26.200000000799999</c:v>
                </c:pt>
                <c:pt idx="443">
                  <c:v>29.400000001199999</c:v>
                </c:pt>
                <c:pt idx="444">
                  <c:v>29.400000001199999</c:v>
                </c:pt>
                <c:pt idx="445">
                  <c:v>32.709999999600001</c:v>
                </c:pt>
                <c:pt idx="446">
                  <c:v>33.689999998799998</c:v>
                </c:pt>
                <c:pt idx="447">
                  <c:v>33.410000001599997</c:v>
                </c:pt>
                <c:pt idx="448">
                  <c:v>33.410000001599997</c:v>
                </c:pt>
                <c:pt idx="449">
                  <c:v>33.339999999600003</c:v>
                </c:pt>
                <c:pt idx="450">
                  <c:v>33.339999999600003</c:v>
                </c:pt>
                <c:pt idx="451">
                  <c:v>32.910000001200004</c:v>
                </c:pt>
                <c:pt idx="452">
                  <c:v>32.910000001200004</c:v>
                </c:pt>
                <c:pt idx="453">
                  <c:v>32.870000001599998</c:v>
                </c:pt>
                <c:pt idx="454">
                  <c:v>32.979999999600004</c:v>
                </c:pt>
                <c:pt idx="455">
                  <c:v>32.979999999600004</c:v>
                </c:pt>
                <c:pt idx="456">
                  <c:v>32.979999999600004</c:v>
                </c:pt>
                <c:pt idx="457">
                  <c:v>32.979999999600004</c:v>
                </c:pt>
                <c:pt idx="458">
                  <c:v>34.120000000800005</c:v>
                </c:pt>
                <c:pt idx="459">
                  <c:v>34.120000000800005</c:v>
                </c:pt>
                <c:pt idx="460">
                  <c:v>33.909999998400004</c:v>
                </c:pt>
                <c:pt idx="461">
                  <c:v>33.940000000799998</c:v>
                </c:pt>
                <c:pt idx="462">
                  <c:v>33.310000000800002</c:v>
                </c:pt>
                <c:pt idx="463">
                  <c:v>32.919999998400002</c:v>
                </c:pt>
                <c:pt idx="464">
                  <c:v>32.5699999992</c:v>
                </c:pt>
                <c:pt idx="465">
                  <c:v>32.230000000799997</c:v>
                </c:pt>
                <c:pt idx="466">
                  <c:v>32.289999998400006</c:v>
                </c:pt>
                <c:pt idx="467">
                  <c:v>32.280000001200001</c:v>
                </c:pt>
                <c:pt idx="468">
                  <c:v>32.109999998399999</c:v>
                </c:pt>
                <c:pt idx="469">
                  <c:v>32.090000000400003</c:v>
                </c:pt>
                <c:pt idx="470">
                  <c:v>32.199999998400003</c:v>
                </c:pt>
                <c:pt idx="471">
                  <c:v>32.339999998799996</c:v>
                </c:pt>
                <c:pt idx="472">
                  <c:v>32.49</c:v>
                </c:pt>
                <c:pt idx="473">
                  <c:v>32.770000000800003</c:v>
                </c:pt>
                <c:pt idx="474">
                  <c:v>33.170000000400002</c:v>
                </c:pt>
                <c:pt idx="475">
                  <c:v>33.419999998800002</c:v>
                </c:pt>
                <c:pt idx="476">
                  <c:v>33.919999999200002</c:v>
                </c:pt>
                <c:pt idx="477">
                  <c:v>33.919999999200002</c:v>
                </c:pt>
                <c:pt idx="478">
                  <c:v>40.970000016</c:v>
                </c:pt>
                <c:pt idx="479">
                  <c:v>45.399999995999998</c:v>
                </c:pt>
                <c:pt idx="480">
                  <c:v>47.7</c:v>
                </c:pt>
                <c:pt idx="481">
                  <c:v>47.7</c:v>
                </c:pt>
                <c:pt idx="482">
                  <c:v>51.540000012</c:v>
                </c:pt>
                <c:pt idx="483">
                  <c:v>51.540000012</c:v>
                </c:pt>
                <c:pt idx="484">
                  <c:v>52.080000011999999</c:v>
                </c:pt>
                <c:pt idx="485">
                  <c:v>52.409999988000003</c:v>
                </c:pt>
                <c:pt idx="486">
                  <c:v>52.819999992</c:v>
                </c:pt>
                <c:pt idx="487">
                  <c:v>52.940000016000006</c:v>
                </c:pt>
                <c:pt idx="488">
                  <c:v>52.940000016000006</c:v>
                </c:pt>
                <c:pt idx="489">
                  <c:v>52.959999996000001</c:v>
                </c:pt>
                <c:pt idx="490">
                  <c:v>52.840000007999997</c:v>
                </c:pt>
                <c:pt idx="491">
                  <c:v>52.729999992000003</c:v>
                </c:pt>
                <c:pt idx="492">
                  <c:v>52.729999992000003</c:v>
                </c:pt>
                <c:pt idx="493">
                  <c:v>52.729999992000003</c:v>
                </c:pt>
                <c:pt idx="494">
                  <c:v>52.549999992000004</c:v>
                </c:pt>
                <c:pt idx="495">
                  <c:v>52.549999992000004</c:v>
                </c:pt>
                <c:pt idx="496">
                  <c:v>51.000000012000001</c:v>
                </c:pt>
                <c:pt idx="497">
                  <c:v>49.190000004000005</c:v>
                </c:pt>
                <c:pt idx="498">
                  <c:v>47.720000016</c:v>
                </c:pt>
                <c:pt idx="499">
                  <c:v>47.720000016</c:v>
                </c:pt>
                <c:pt idx="500">
                  <c:v>46.540000008</c:v>
                </c:pt>
                <c:pt idx="501">
                  <c:v>44.200000007999996</c:v>
                </c:pt>
                <c:pt idx="502">
                  <c:v>41.280000012000002</c:v>
                </c:pt>
                <c:pt idx="503">
                  <c:v>41.280000012000002</c:v>
                </c:pt>
                <c:pt idx="504">
                  <c:v>35.060000000400002</c:v>
                </c:pt>
                <c:pt idx="505">
                  <c:v>35.060000000400002</c:v>
                </c:pt>
                <c:pt idx="506">
                  <c:v>29.509999999200001</c:v>
                </c:pt>
                <c:pt idx="507">
                  <c:v>27.439999999200001</c:v>
                </c:pt>
                <c:pt idx="508">
                  <c:v>27.439999999200001</c:v>
                </c:pt>
                <c:pt idx="509">
                  <c:v>25.11</c:v>
                </c:pt>
                <c:pt idx="510">
                  <c:v>23.079999999600002</c:v>
                </c:pt>
                <c:pt idx="511">
                  <c:v>21.179999998800003</c:v>
                </c:pt>
                <c:pt idx="512">
                  <c:v>19.98</c:v>
                </c:pt>
                <c:pt idx="513">
                  <c:v>19.98</c:v>
                </c:pt>
                <c:pt idx="514">
                  <c:v>19.98</c:v>
                </c:pt>
                <c:pt idx="515">
                  <c:v>18.119999998800001</c:v>
                </c:pt>
                <c:pt idx="516">
                  <c:v>15.630000001200001</c:v>
                </c:pt>
                <c:pt idx="517">
                  <c:v>12.6</c:v>
                </c:pt>
                <c:pt idx="518">
                  <c:v>9.7999999992000006</c:v>
                </c:pt>
                <c:pt idx="519">
                  <c:v>6.9699999995999997</c:v>
                </c:pt>
                <c:pt idx="520">
                  <c:v>3.8300000004000001</c:v>
                </c:pt>
                <c:pt idx="521">
                  <c:v>3.8300000004000001</c:v>
                </c:pt>
                <c:pt idx="522">
                  <c:v>3.8300000004000001</c:v>
                </c:pt>
                <c:pt idx="523">
                  <c:v>1.4500000008</c:v>
                </c:pt>
                <c:pt idx="524">
                  <c:v>0.46000000080000003</c:v>
                </c:pt>
                <c:pt idx="525">
                  <c:v>0.46000000080000003</c:v>
                </c:pt>
                <c:pt idx="526">
                  <c:v>2.1399999984</c:v>
                </c:pt>
                <c:pt idx="527">
                  <c:v>2.1399999984</c:v>
                </c:pt>
                <c:pt idx="528">
                  <c:v>5.7600000000000007</c:v>
                </c:pt>
                <c:pt idx="529">
                  <c:v>5.7600000000000007</c:v>
                </c:pt>
                <c:pt idx="530">
                  <c:v>10.199999998800001</c:v>
                </c:pt>
                <c:pt idx="531">
                  <c:v>14.0000000004</c:v>
                </c:pt>
                <c:pt idx="532">
                  <c:v>18.380000001599999</c:v>
                </c:pt>
                <c:pt idx="533">
                  <c:v>22.41</c:v>
                </c:pt>
                <c:pt idx="534">
                  <c:v>22.41</c:v>
                </c:pt>
                <c:pt idx="535">
                  <c:v>22.41</c:v>
                </c:pt>
                <c:pt idx="536">
                  <c:v>31.0899999996</c:v>
                </c:pt>
                <c:pt idx="537">
                  <c:v>35.550000000000004</c:v>
                </c:pt>
                <c:pt idx="538">
                  <c:v>39.719999987999998</c:v>
                </c:pt>
                <c:pt idx="539">
                  <c:v>39.719999987999998</c:v>
                </c:pt>
                <c:pt idx="540">
                  <c:v>39.719999987999998</c:v>
                </c:pt>
                <c:pt idx="541">
                  <c:v>43.220000016</c:v>
                </c:pt>
                <c:pt idx="542">
                  <c:v>45.889999992</c:v>
                </c:pt>
                <c:pt idx="543">
                  <c:v>48.51</c:v>
                </c:pt>
                <c:pt idx="544">
                  <c:v>50.659999992000003</c:v>
                </c:pt>
                <c:pt idx="545">
                  <c:v>50.659999992000003</c:v>
                </c:pt>
                <c:pt idx="546">
                  <c:v>52.880000003999996</c:v>
                </c:pt>
                <c:pt idx="547">
                  <c:v>55.199999988000002</c:v>
                </c:pt>
                <c:pt idx="548">
                  <c:v>56.949999984000002</c:v>
                </c:pt>
                <c:pt idx="549">
                  <c:v>57.710000016000002</c:v>
                </c:pt>
                <c:pt idx="550">
                  <c:v>58.29999998400001</c:v>
                </c:pt>
                <c:pt idx="551">
                  <c:v>58.29999998400001</c:v>
                </c:pt>
                <c:pt idx="552">
                  <c:v>59.259999996000005</c:v>
                </c:pt>
                <c:pt idx="553">
                  <c:v>59.450000004000003</c:v>
                </c:pt>
                <c:pt idx="554">
                  <c:v>59.810000003999995</c:v>
                </c:pt>
                <c:pt idx="555">
                  <c:v>60.009999983999997</c:v>
                </c:pt>
                <c:pt idx="556">
                  <c:v>60.009999983999997</c:v>
                </c:pt>
                <c:pt idx="557">
                  <c:v>60.009999983999997</c:v>
                </c:pt>
                <c:pt idx="558">
                  <c:v>59.370000012000006</c:v>
                </c:pt>
                <c:pt idx="559">
                  <c:v>58.830000011999999</c:v>
                </c:pt>
                <c:pt idx="560">
                  <c:v>58.830000011999999</c:v>
                </c:pt>
                <c:pt idx="561">
                  <c:v>58.830000011999999</c:v>
                </c:pt>
                <c:pt idx="562">
                  <c:v>58.259999988000004</c:v>
                </c:pt>
                <c:pt idx="563">
                  <c:v>56.549999988000003</c:v>
                </c:pt>
                <c:pt idx="564">
                  <c:v>56.549999988000003</c:v>
                </c:pt>
                <c:pt idx="565">
                  <c:v>53.849999988</c:v>
                </c:pt>
                <c:pt idx="566">
                  <c:v>52.2</c:v>
                </c:pt>
                <c:pt idx="567">
                  <c:v>51.069999996</c:v>
                </c:pt>
                <c:pt idx="568">
                  <c:v>51.069999996</c:v>
                </c:pt>
                <c:pt idx="569">
                  <c:v>49.970000016</c:v>
                </c:pt>
                <c:pt idx="570">
                  <c:v>48.170000015999996</c:v>
                </c:pt>
                <c:pt idx="571">
                  <c:v>48.170000015999996</c:v>
                </c:pt>
                <c:pt idx="572">
                  <c:v>48.170000015999996</c:v>
                </c:pt>
                <c:pt idx="573">
                  <c:v>47.180000016000001</c:v>
                </c:pt>
                <c:pt idx="574">
                  <c:v>46.940000004000005</c:v>
                </c:pt>
                <c:pt idx="575">
                  <c:v>46.940000004000005</c:v>
                </c:pt>
                <c:pt idx="576">
                  <c:v>46.940000004000005</c:v>
                </c:pt>
                <c:pt idx="577">
                  <c:v>47.409999984000002</c:v>
                </c:pt>
                <c:pt idx="578">
                  <c:v>48.650000004000006</c:v>
                </c:pt>
                <c:pt idx="579">
                  <c:v>49.719999996000006</c:v>
                </c:pt>
                <c:pt idx="580">
                  <c:v>50.820000012000001</c:v>
                </c:pt>
                <c:pt idx="581">
                  <c:v>53.250000012000001</c:v>
                </c:pt>
                <c:pt idx="582">
                  <c:v>56.229999984000003</c:v>
                </c:pt>
                <c:pt idx="583">
                  <c:v>58.830000011999999</c:v>
                </c:pt>
                <c:pt idx="584">
                  <c:v>58.830000011999999</c:v>
                </c:pt>
                <c:pt idx="585">
                  <c:v>61.430000004000007</c:v>
                </c:pt>
                <c:pt idx="586">
                  <c:v>62.650000008000006</c:v>
                </c:pt>
                <c:pt idx="587">
                  <c:v>62.650000008000006</c:v>
                </c:pt>
                <c:pt idx="588">
                  <c:v>62.650000008000006</c:v>
                </c:pt>
                <c:pt idx="589">
                  <c:v>63.879999983999994</c:v>
                </c:pt>
                <c:pt idx="590">
                  <c:v>63.879999983999994</c:v>
                </c:pt>
                <c:pt idx="591">
                  <c:v>64.260000000000005</c:v>
                </c:pt>
                <c:pt idx="592">
                  <c:v>64.829999987999997</c:v>
                </c:pt>
                <c:pt idx="593">
                  <c:v>65.000000016000001</c:v>
                </c:pt>
                <c:pt idx="594">
                  <c:v>65.189999988000011</c:v>
                </c:pt>
                <c:pt idx="595">
                  <c:v>65.109999995999999</c:v>
                </c:pt>
                <c:pt idx="596">
                  <c:v>64.760000003999991</c:v>
                </c:pt>
                <c:pt idx="597">
                  <c:v>64.779999984</c:v>
                </c:pt>
                <c:pt idx="598">
                  <c:v>64.89</c:v>
                </c:pt>
                <c:pt idx="599">
                  <c:v>65.030000004000001</c:v>
                </c:pt>
                <c:pt idx="600">
                  <c:v>65.180000015999994</c:v>
                </c:pt>
                <c:pt idx="601">
                  <c:v>65.189999988000011</c:v>
                </c:pt>
                <c:pt idx="602">
                  <c:v>65.409999983999995</c:v>
                </c:pt>
                <c:pt idx="603">
                  <c:v>65.490000011999996</c:v>
                </c:pt>
                <c:pt idx="604">
                  <c:v>65.580000011999999</c:v>
                </c:pt>
                <c:pt idx="605">
                  <c:v>65.580000011999999</c:v>
                </c:pt>
                <c:pt idx="606">
                  <c:v>65.800000008000012</c:v>
                </c:pt>
                <c:pt idx="607">
                  <c:v>65.769999984000009</c:v>
                </c:pt>
                <c:pt idx="608">
                  <c:v>65.750000004</c:v>
                </c:pt>
                <c:pt idx="609">
                  <c:v>65.980000008000005</c:v>
                </c:pt>
                <c:pt idx="610">
                  <c:v>65.459999988000007</c:v>
                </c:pt>
                <c:pt idx="611">
                  <c:v>65.459999988000007</c:v>
                </c:pt>
                <c:pt idx="612">
                  <c:v>65.180000015999994</c:v>
                </c:pt>
                <c:pt idx="613">
                  <c:v>65.180000015999994</c:v>
                </c:pt>
                <c:pt idx="614">
                  <c:v>64.509999984000004</c:v>
                </c:pt>
                <c:pt idx="615">
                  <c:v>63.050000004000005</c:v>
                </c:pt>
                <c:pt idx="616">
                  <c:v>62.200000008000004</c:v>
                </c:pt>
                <c:pt idx="617">
                  <c:v>62.200000008000004</c:v>
                </c:pt>
                <c:pt idx="618">
                  <c:v>60.249999996</c:v>
                </c:pt>
                <c:pt idx="619">
                  <c:v>60.249999996</c:v>
                </c:pt>
                <c:pt idx="620">
                  <c:v>59.119999991999997</c:v>
                </c:pt>
                <c:pt idx="621">
                  <c:v>58.029999984</c:v>
                </c:pt>
                <c:pt idx="622">
                  <c:v>56.589999984000002</c:v>
                </c:pt>
                <c:pt idx="623">
                  <c:v>54.110000016000001</c:v>
                </c:pt>
                <c:pt idx="624">
                  <c:v>51.930000000000007</c:v>
                </c:pt>
                <c:pt idx="625">
                  <c:v>50.010000011999999</c:v>
                </c:pt>
                <c:pt idx="626">
                  <c:v>50.010000011999999</c:v>
                </c:pt>
                <c:pt idx="627">
                  <c:v>48.380000003999996</c:v>
                </c:pt>
                <c:pt idx="628">
                  <c:v>46.860000012</c:v>
                </c:pt>
                <c:pt idx="629">
                  <c:v>45.140000004000001</c:v>
                </c:pt>
                <c:pt idx="630">
                  <c:v>43.350000012000002</c:v>
                </c:pt>
                <c:pt idx="631">
                  <c:v>41.879999988000002</c:v>
                </c:pt>
                <c:pt idx="632">
                  <c:v>41.879999988000002</c:v>
                </c:pt>
                <c:pt idx="633">
                  <c:v>41.879999988000002</c:v>
                </c:pt>
                <c:pt idx="634">
                  <c:v>40.700000016000004</c:v>
                </c:pt>
                <c:pt idx="635">
                  <c:v>39.530000016000002</c:v>
                </c:pt>
                <c:pt idx="636">
                  <c:v>38.639999988000007</c:v>
                </c:pt>
                <c:pt idx="637">
                  <c:v>37.569999996</c:v>
                </c:pt>
                <c:pt idx="638">
                  <c:v>37.569999996</c:v>
                </c:pt>
                <c:pt idx="639">
                  <c:v>37.569999996</c:v>
                </c:pt>
                <c:pt idx="640">
                  <c:v>36.249999983999999</c:v>
                </c:pt>
                <c:pt idx="641">
                  <c:v>34.449999998400003</c:v>
                </c:pt>
                <c:pt idx="642">
                  <c:v>31.960000000800001</c:v>
                </c:pt>
                <c:pt idx="643">
                  <c:v>29.180000001600003</c:v>
                </c:pt>
                <c:pt idx="644">
                  <c:v>29.180000001600003</c:v>
                </c:pt>
                <c:pt idx="645">
                  <c:v>21.7500000012</c:v>
                </c:pt>
                <c:pt idx="646">
                  <c:v>18.870000001199998</c:v>
                </c:pt>
                <c:pt idx="647">
                  <c:v>15.03</c:v>
                </c:pt>
                <c:pt idx="648">
                  <c:v>15.03</c:v>
                </c:pt>
                <c:pt idx="649">
                  <c:v>11.109999999600001</c:v>
                </c:pt>
                <c:pt idx="650">
                  <c:v>6.8900000004000006</c:v>
                </c:pt>
                <c:pt idx="651">
                  <c:v>3.2799999995999998</c:v>
                </c:pt>
                <c:pt idx="652">
                  <c:v>0.87000000119999998</c:v>
                </c:pt>
                <c:pt idx="653">
                  <c:v>0.54</c:v>
                </c:pt>
                <c:pt idx="654">
                  <c:v>0.54</c:v>
                </c:pt>
                <c:pt idx="655">
                  <c:v>0</c:v>
                </c:pt>
                <c:pt idx="656">
                  <c:v>1.9100000016000003</c:v>
                </c:pt>
                <c:pt idx="657">
                  <c:v>1.9100000016000003</c:v>
                </c:pt>
                <c:pt idx="658">
                  <c:v>1.9100000016000003</c:v>
                </c:pt>
                <c:pt idx="659">
                  <c:v>6.0699999996000003</c:v>
                </c:pt>
                <c:pt idx="660">
                  <c:v>10.170000000000002</c:v>
                </c:pt>
                <c:pt idx="661">
                  <c:v>10.170000000000002</c:v>
                </c:pt>
                <c:pt idx="662">
                  <c:v>14.519999998799999</c:v>
                </c:pt>
                <c:pt idx="663">
                  <c:v>18.600000001200002</c:v>
                </c:pt>
                <c:pt idx="664">
                  <c:v>18.600000001200002</c:v>
                </c:pt>
                <c:pt idx="665">
                  <c:v>22.8899999988</c:v>
                </c:pt>
                <c:pt idx="666">
                  <c:v>27.039999999599999</c:v>
                </c:pt>
                <c:pt idx="667">
                  <c:v>31.309999999200002</c:v>
                </c:pt>
                <c:pt idx="668">
                  <c:v>34.019999999999996</c:v>
                </c:pt>
                <c:pt idx="669">
                  <c:v>34.940000001600005</c:v>
                </c:pt>
                <c:pt idx="670">
                  <c:v>35.6799999996</c:v>
                </c:pt>
                <c:pt idx="671">
                  <c:v>35.6799999996</c:v>
                </c:pt>
                <c:pt idx="672">
                  <c:v>36.370000008000005</c:v>
                </c:pt>
                <c:pt idx="673">
                  <c:v>36.370000008000005</c:v>
                </c:pt>
                <c:pt idx="674">
                  <c:v>36.939999995999997</c:v>
                </c:pt>
                <c:pt idx="675">
                  <c:v>36.370000008000005</c:v>
                </c:pt>
                <c:pt idx="676">
                  <c:v>35.64</c:v>
                </c:pt>
                <c:pt idx="677">
                  <c:v>35.64</c:v>
                </c:pt>
                <c:pt idx="678">
                  <c:v>34.4300000004</c:v>
                </c:pt>
                <c:pt idx="679">
                  <c:v>32.49</c:v>
                </c:pt>
                <c:pt idx="680">
                  <c:v>31.010000000400002</c:v>
                </c:pt>
                <c:pt idx="681">
                  <c:v>29.580000001200002</c:v>
                </c:pt>
                <c:pt idx="682">
                  <c:v>27.870000001199998</c:v>
                </c:pt>
                <c:pt idx="683">
                  <c:v>25.8400000008</c:v>
                </c:pt>
                <c:pt idx="684">
                  <c:v>23.829999998400002</c:v>
                </c:pt>
                <c:pt idx="685">
                  <c:v>23.829999998400002</c:v>
                </c:pt>
                <c:pt idx="686">
                  <c:v>20.43</c:v>
                </c:pt>
                <c:pt idx="687">
                  <c:v>19.950000001200003</c:v>
                </c:pt>
                <c:pt idx="688">
                  <c:v>19.950000001200003</c:v>
                </c:pt>
                <c:pt idx="689">
                  <c:v>19.950000001200003</c:v>
                </c:pt>
                <c:pt idx="690">
                  <c:v>19.130000000400003</c:v>
                </c:pt>
                <c:pt idx="691">
                  <c:v>18.969999998400002</c:v>
                </c:pt>
                <c:pt idx="692">
                  <c:v>18.809999999999999</c:v>
                </c:pt>
                <c:pt idx="693">
                  <c:v>18.7700000004</c:v>
                </c:pt>
                <c:pt idx="694">
                  <c:v>18.7499999988</c:v>
                </c:pt>
                <c:pt idx="695">
                  <c:v>18.540000000000003</c:v>
                </c:pt>
                <c:pt idx="696">
                  <c:v>18.489999999600002</c:v>
                </c:pt>
                <c:pt idx="697">
                  <c:v>18.2499999984</c:v>
                </c:pt>
                <c:pt idx="698">
                  <c:v>17.960000000400001</c:v>
                </c:pt>
                <c:pt idx="699">
                  <c:v>17.899999999200002</c:v>
                </c:pt>
                <c:pt idx="700">
                  <c:v>17.9799999984</c:v>
                </c:pt>
                <c:pt idx="701">
                  <c:v>18.190000000800001</c:v>
                </c:pt>
                <c:pt idx="702">
                  <c:v>18.4299999984</c:v>
                </c:pt>
                <c:pt idx="703">
                  <c:v>18.690000001200001</c:v>
                </c:pt>
                <c:pt idx="704">
                  <c:v>19.010000001600002</c:v>
                </c:pt>
                <c:pt idx="705">
                  <c:v>19.010000001600002</c:v>
                </c:pt>
                <c:pt idx="706">
                  <c:v>19.829999998800002</c:v>
                </c:pt>
                <c:pt idx="707">
                  <c:v>20.149999999200002</c:v>
                </c:pt>
                <c:pt idx="708">
                  <c:v>20.149999999200002</c:v>
                </c:pt>
                <c:pt idx="709">
                  <c:v>21.78</c:v>
                </c:pt>
                <c:pt idx="710">
                  <c:v>21.78</c:v>
                </c:pt>
                <c:pt idx="711">
                  <c:v>27.3200000004</c:v>
                </c:pt>
                <c:pt idx="712">
                  <c:v>29.469999999600002</c:v>
                </c:pt>
                <c:pt idx="713">
                  <c:v>31.579999999200002</c:v>
                </c:pt>
                <c:pt idx="714">
                  <c:v>33.350000000400001</c:v>
                </c:pt>
                <c:pt idx="715">
                  <c:v>33.350000000400001</c:v>
                </c:pt>
                <c:pt idx="716">
                  <c:v>34.869999999600005</c:v>
                </c:pt>
                <c:pt idx="717">
                  <c:v>34.869999999600005</c:v>
                </c:pt>
                <c:pt idx="718">
                  <c:v>34.869999999600005</c:v>
                </c:pt>
                <c:pt idx="719">
                  <c:v>36.600000012000002</c:v>
                </c:pt>
                <c:pt idx="720">
                  <c:v>36.799999992000004</c:v>
                </c:pt>
                <c:pt idx="721">
                  <c:v>36.799999992000004</c:v>
                </c:pt>
                <c:pt idx="722">
                  <c:v>36.799999992000004</c:v>
                </c:pt>
                <c:pt idx="723">
                  <c:v>35.880000001200003</c:v>
                </c:pt>
                <c:pt idx="724">
                  <c:v>35.399999998800006</c:v>
                </c:pt>
                <c:pt idx="725">
                  <c:v>35.4300000012</c:v>
                </c:pt>
                <c:pt idx="726">
                  <c:v>35.4300000012</c:v>
                </c:pt>
                <c:pt idx="727">
                  <c:v>35.399999998800006</c:v>
                </c:pt>
                <c:pt idx="728">
                  <c:v>35.769999999600003</c:v>
                </c:pt>
                <c:pt idx="729">
                  <c:v>36.069999983999999</c:v>
                </c:pt>
                <c:pt idx="730">
                  <c:v>36.299999988000003</c:v>
                </c:pt>
                <c:pt idx="731">
                  <c:v>36.299999988000003</c:v>
                </c:pt>
                <c:pt idx="732">
                  <c:v>36.849999996000001</c:v>
                </c:pt>
                <c:pt idx="733">
                  <c:v>38.080000007999999</c:v>
                </c:pt>
                <c:pt idx="734">
                  <c:v>42.609999995999999</c:v>
                </c:pt>
                <c:pt idx="735">
                  <c:v>42.609999995999999</c:v>
                </c:pt>
                <c:pt idx="736">
                  <c:v>46.839999996000003</c:v>
                </c:pt>
                <c:pt idx="737">
                  <c:v>50.609999987999998</c:v>
                </c:pt>
                <c:pt idx="738">
                  <c:v>54</c:v>
                </c:pt>
                <c:pt idx="739">
                  <c:v>54</c:v>
                </c:pt>
                <c:pt idx="740">
                  <c:v>55.980000000000004</c:v>
                </c:pt>
                <c:pt idx="741">
                  <c:v>57.06</c:v>
                </c:pt>
                <c:pt idx="742">
                  <c:v>57.06</c:v>
                </c:pt>
                <c:pt idx="743">
                  <c:v>58.370000003999998</c:v>
                </c:pt>
                <c:pt idx="744">
                  <c:v>58.619999988000004</c:v>
                </c:pt>
                <c:pt idx="745">
                  <c:v>58.290000012</c:v>
                </c:pt>
                <c:pt idx="746">
                  <c:v>57.790000008</c:v>
                </c:pt>
                <c:pt idx="747">
                  <c:v>57.790000008</c:v>
                </c:pt>
                <c:pt idx="748">
                  <c:v>57.579999984000004</c:v>
                </c:pt>
                <c:pt idx="749">
                  <c:v>57.120000012000006</c:v>
                </c:pt>
                <c:pt idx="750">
                  <c:v>57.120000012000006</c:v>
                </c:pt>
                <c:pt idx="751">
                  <c:v>56.540000016</c:v>
                </c:pt>
                <c:pt idx="752">
                  <c:v>56.149999992000005</c:v>
                </c:pt>
                <c:pt idx="753">
                  <c:v>55.839999996000003</c:v>
                </c:pt>
                <c:pt idx="754">
                  <c:v>55.839999996000003</c:v>
                </c:pt>
                <c:pt idx="755">
                  <c:v>55.839999996000003</c:v>
                </c:pt>
                <c:pt idx="756">
                  <c:v>55.360000008</c:v>
                </c:pt>
                <c:pt idx="757">
                  <c:v>54.579999996000005</c:v>
                </c:pt>
                <c:pt idx="758">
                  <c:v>54.579999996000005</c:v>
                </c:pt>
                <c:pt idx="759">
                  <c:v>52.520000004000003</c:v>
                </c:pt>
                <c:pt idx="760">
                  <c:v>50.169999996000001</c:v>
                </c:pt>
                <c:pt idx="761">
                  <c:v>50.169999996000001</c:v>
                </c:pt>
                <c:pt idx="762">
                  <c:v>47.79</c:v>
                </c:pt>
                <c:pt idx="763">
                  <c:v>47.79</c:v>
                </c:pt>
                <c:pt idx="764">
                  <c:v>45.050000004000005</c:v>
                </c:pt>
                <c:pt idx="765">
                  <c:v>42.03</c:v>
                </c:pt>
                <c:pt idx="766">
                  <c:v>38.97</c:v>
                </c:pt>
                <c:pt idx="767">
                  <c:v>36.010000008000006</c:v>
                </c:pt>
                <c:pt idx="768">
                  <c:v>33.689999998799998</c:v>
                </c:pt>
                <c:pt idx="769">
                  <c:v>30.9300000012</c:v>
                </c:pt>
                <c:pt idx="770">
                  <c:v>28.08</c:v>
                </c:pt>
                <c:pt idx="771">
                  <c:v>25.369999999200001</c:v>
                </c:pt>
                <c:pt idx="772">
                  <c:v>22.780000000800001</c:v>
                </c:pt>
                <c:pt idx="773">
                  <c:v>19.689999998399998</c:v>
                </c:pt>
                <c:pt idx="774">
                  <c:v>16.650000000000002</c:v>
                </c:pt>
                <c:pt idx="775">
                  <c:v>13.269999999600001</c:v>
                </c:pt>
                <c:pt idx="776">
                  <c:v>9.6000000011999997</c:v>
                </c:pt>
                <c:pt idx="777">
                  <c:v>6.4299999996000006</c:v>
                </c:pt>
                <c:pt idx="778">
                  <c:v>6.4299999996000006</c:v>
                </c:pt>
                <c:pt idx="779">
                  <c:v>0.63</c:v>
                </c:pt>
                <c:pt idx="780">
                  <c:v>0.63</c:v>
                </c:pt>
                <c:pt idx="781">
                  <c:v>0.56999999879999996</c:v>
                </c:pt>
                <c:pt idx="782">
                  <c:v>0.56999999879999996</c:v>
                </c:pt>
                <c:pt idx="783">
                  <c:v>0</c:v>
                </c:pt>
                <c:pt idx="784">
                  <c:v>2.6499999996000003</c:v>
                </c:pt>
                <c:pt idx="785">
                  <c:v>2.6499999996000003</c:v>
                </c:pt>
                <c:pt idx="786">
                  <c:v>2.6499999996000003</c:v>
                </c:pt>
                <c:pt idx="787">
                  <c:v>7.5399999984000008</c:v>
                </c:pt>
                <c:pt idx="788">
                  <c:v>9.8700000012000011</c:v>
                </c:pt>
                <c:pt idx="789">
                  <c:v>9.8700000012000011</c:v>
                </c:pt>
                <c:pt idx="790">
                  <c:v>12.1600000008</c:v>
                </c:pt>
                <c:pt idx="791">
                  <c:v>12.4099999992</c:v>
                </c:pt>
                <c:pt idx="792">
                  <c:v>12.0899999988</c:v>
                </c:pt>
                <c:pt idx="793">
                  <c:v>12.449999998800001</c:v>
                </c:pt>
                <c:pt idx="794">
                  <c:v>12.4899999984</c:v>
                </c:pt>
                <c:pt idx="795">
                  <c:v>12.039999998400001</c:v>
                </c:pt>
                <c:pt idx="796">
                  <c:v>11.599999999200001</c:v>
                </c:pt>
                <c:pt idx="797">
                  <c:v>11.130000001200001</c:v>
                </c:pt>
                <c:pt idx="798">
                  <c:v>11.130000001200001</c:v>
                </c:pt>
                <c:pt idx="799">
                  <c:v>10.71</c:v>
                </c:pt>
                <c:pt idx="800">
                  <c:v>10.2499999992</c:v>
                </c:pt>
                <c:pt idx="801">
                  <c:v>11.530000000800001</c:v>
                </c:pt>
                <c:pt idx="802">
                  <c:v>14.2400000016</c:v>
                </c:pt>
                <c:pt idx="803">
                  <c:v>16.880000000400003</c:v>
                </c:pt>
                <c:pt idx="804">
                  <c:v>19.209999999600001</c:v>
                </c:pt>
                <c:pt idx="805">
                  <c:v>19.209999999600001</c:v>
                </c:pt>
                <c:pt idx="806">
                  <c:v>21.790000000800003</c:v>
                </c:pt>
                <c:pt idx="807">
                  <c:v>21.790000000800003</c:v>
                </c:pt>
                <c:pt idx="808">
                  <c:v>23.839999999200003</c:v>
                </c:pt>
                <c:pt idx="809">
                  <c:v>25.220000001599999</c:v>
                </c:pt>
                <c:pt idx="810">
                  <c:v>26.64</c:v>
                </c:pt>
                <c:pt idx="811">
                  <c:v>27.920000001600002</c:v>
                </c:pt>
                <c:pt idx="812">
                  <c:v>28.599999998400001</c:v>
                </c:pt>
                <c:pt idx="813">
                  <c:v>29.670000001200002</c:v>
                </c:pt>
                <c:pt idx="814">
                  <c:v>30.989999998799998</c:v>
                </c:pt>
                <c:pt idx="815">
                  <c:v>32.780000001600001</c:v>
                </c:pt>
                <c:pt idx="816">
                  <c:v>34.6799999988</c:v>
                </c:pt>
                <c:pt idx="817">
                  <c:v>36.709999992</c:v>
                </c:pt>
                <c:pt idx="818">
                  <c:v>37.959999984</c:v>
                </c:pt>
                <c:pt idx="819">
                  <c:v>39.089999988000002</c:v>
                </c:pt>
                <c:pt idx="820">
                  <c:v>39.089999988000002</c:v>
                </c:pt>
                <c:pt idx="821">
                  <c:v>42.080000003999999</c:v>
                </c:pt>
                <c:pt idx="822">
                  <c:v>43.2</c:v>
                </c:pt>
                <c:pt idx="823">
                  <c:v>43.949999988000002</c:v>
                </c:pt>
                <c:pt idx="824">
                  <c:v>44.830000007999999</c:v>
                </c:pt>
                <c:pt idx="825">
                  <c:v>44.830000007999999</c:v>
                </c:pt>
                <c:pt idx="826">
                  <c:v>44.830000007999999</c:v>
                </c:pt>
                <c:pt idx="827">
                  <c:v>45.650000016</c:v>
                </c:pt>
                <c:pt idx="828">
                  <c:v>45.929999987999999</c:v>
                </c:pt>
                <c:pt idx="829">
                  <c:v>46.019999988000002</c:v>
                </c:pt>
                <c:pt idx="830">
                  <c:v>46.019999988000002</c:v>
                </c:pt>
                <c:pt idx="831">
                  <c:v>45.849999996000001</c:v>
                </c:pt>
                <c:pt idx="832">
                  <c:v>45.789999984000005</c:v>
                </c:pt>
                <c:pt idx="833">
                  <c:v>45.619999992000004</c:v>
                </c:pt>
                <c:pt idx="834">
                  <c:v>45.429999984000005</c:v>
                </c:pt>
                <c:pt idx="835">
                  <c:v>45.290000016</c:v>
                </c:pt>
                <c:pt idx="836">
                  <c:v>45.290000016</c:v>
                </c:pt>
                <c:pt idx="837">
                  <c:v>45.129999996000002</c:v>
                </c:pt>
                <c:pt idx="838">
                  <c:v>45.129999996000002</c:v>
                </c:pt>
                <c:pt idx="839">
                  <c:v>45.129999996000002</c:v>
                </c:pt>
                <c:pt idx="840">
                  <c:v>44.870000003999998</c:v>
                </c:pt>
                <c:pt idx="841">
                  <c:v>44.870000003999998</c:v>
                </c:pt>
                <c:pt idx="842">
                  <c:v>44.870000003999998</c:v>
                </c:pt>
                <c:pt idx="843">
                  <c:v>44.489999988000001</c:v>
                </c:pt>
                <c:pt idx="844">
                  <c:v>43.65</c:v>
                </c:pt>
                <c:pt idx="845">
                  <c:v>42.099999984</c:v>
                </c:pt>
                <c:pt idx="846">
                  <c:v>42.099999984</c:v>
                </c:pt>
                <c:pt idx="847">
                  <c:v>40.280000004000001</c:v>
                </c:pt>
                <c:pt idx="848">
                  <c:v>39.549999995999997</c:v>
                </c:pt>
                <c:pt idx="849">
                  <c:v>39.549999995999997</c:v>
                </c:pt>
                <c:pt idx="850">
                  <c:v>38.890000008000001</c:v>
                </c:pt>
                <c:pt idx="851">
                  <c:v>38.07</c:v>
                </c:pt>
                <c:pt idx="852">
                  <c:v>37.080000000000005</c:v>
                </c:pt>
                <c:pt idx="853">
                  <c:v>36.169999992000001</c:v>
                </c:pt>
                <c:pt idx="854">
                  <c:v>33.8600000016</c:v>
                </c:pt>
                <c:pt idx="855">
                  <c:v>31.8200000004</c:v>
                </c:pt>
                <c:pt idx="856">
                  <c:v>30.69</c:v>
                </c:pt>
                <c:pt idx="857">
                  <c:v>29.120000000400001</c:v>
                </c:pt>
                <c:pt idx="858">
                  <c:v>27.45</c:v>
                </c:pt>
                <c:pt idx="859">
                  <c:v>27.45</c:v>
                </c:pt>
                <c:pt idx="860">
                  <c:v>25.490000001600002</c:v>
                </c:pt>
                <c:pt idx="861">
                  <c:v>23.799999999600001</c:v>
                </c:pt>
                <c:pt idx="862">
                  <c:v>21.890000001600001</c:v>
                </c:pt>
                <c:pt idx="863">
                  <c:v>19.079999999999998</c:v>
                </c:pt>
                <c:pt idx="864">
                  <c:v>15.4400000004</c:v>
                </c:pt>
                <c:pt idx="865">
                  <c:v>15.4400000004</c:v>
                </c:pt>
                <c:pt idx="866">
                  <c:v>12.9999999996</c:v>
                </c:pt>
                <c:pt idx="867">
                  <c:v>12.9999999996</c:v>
                </c:pt>
                <c:pt idx="868">
                  <c:v>12.210000001200001</c:v>
                </c:pt>
                <c:pt idx="869">
                  <c:v>12.210000001200001</c:v>
                </c:pt>
                <c:pt idx="870">
                  <c:v>12.020000000400001</c:v>
                </c:pt>
                <c:pt idx="871">
                  <c:v>12.5799999984</c:v>
                </c:pt>
                <c:pt idx="872">
                  <c:v>13.200000001199999</c:v>
                </c:pt>
                <c:pt idx="873">
                  <c:v>13.200000001199999</c:v>
                </c:pt>
                <c:pt idx="874">
                  <c:v>14.2300000008</c:v>
                </c:pt>
                <c:pt idx="875">
                  <c:v>14.2300000008</c:v>
                </c:pt>
                <c:pt idx="876">
                  <c:v>14.9299999992</c:v>
                </c:pt>
                <c:pt idx="877">
                  <c:v>14.9900000004</c:v>
                </c:pt>
                <c:pt idx="878">
                  <c:v>14.9900000004</c:v>
                </c:pt>
                <c:pt idx="879">
                  <c:v>14.690000001600001</c:v>
                </c:pt>
                <c:pt idx="880">
                  <c:v>14.690000001600001</c:v>
                </c:pt>
                <c:pt idx="881">
                  <c:v>14.3399999988</c:v>
                </c:pt>
                <c:pt idx="882">
                  <c:v>14.3399999988</c:v>
                </c:pt>
                <c:pt idx="883">
                  <c:v>14.3399999988</c:v>
                </c:pt>
                <c:pt idx="884">
                  <c:v>13.6900000008</c:v>
                </c:pt>
                <c:pt idx="885">
                  <c:v>13.3999999992</c:v>
                </c:pt>
                <c:pt idx="886">
                  <c:v>13.1500000008</c:v>
                </c:pt>
                <c:pt idx="887">
                  <c:v>13.1500000008</c:v>
                </c:pt>
                <c:pt idx="888">
                  <c:v>12.69</c:v>
                </c:pt>
                <c:pt idx="889">
                  <c:v>12.430000000800002</c:v>
                </c:pt>
                <c:pt idx="890">
                  <c:v>11.120000000400001</c:v>
                </c:pt>
                <c:pt idx="891">
                  <c:v>11.120000000400001</c:v>
                </c:pt>
                <c:pt idx="892">
                  <c:v>11.879999999999999</c:v>
                </c:pt>
                <c:pt idx="893">
                  <c:v>12.629999998800001</c:v>
                </c:pt>
                <c:pt idx="894">
                  <c:v>13.950000000000001</c:v>
                </c:pt>
                <c:pt idx="895">
                  <c:v>13.950000000000001</c:v>
                </c:pt>
                <c:pt idx="896">
                  <c:v>14.6000000016</c:v>
                </c:pt>
                <c:pt idx="897">
                  <c:v>14.889999999600001</c:v>
                </c:pt>
                <c:pt idx="898">
                  <c:v>14.820000001199999</c:v>
                </c:pt>
                <c:pt idx="899">
                  <c:v>14.529999999600001</c:v>
                </c:pt>
                <c:pt idx="900">
                  <c:v>14.529999999600001</c:v>
                </c:pt>
                <c:pt idx="901">
                  <c:v>14.289999998400001</c:v>
                </c:pt>
                <c:pt idx="902">
                  <c:v>14.289999998400001</c:v>
                </c:pt>
                <c:pt idx="903">
                  <c:v>14.289999998400001</c:v>
                </c:pt>
                <c:pt idx="904">
                  <c:v>14.019999998399999</c:v>
                </c:pt>
                <c:pt idx="905">
                  <c:v>14.019999998399999</c:v>
                </c:pt>
                <c:pt idx="906">
                  <c:v>14.3499999996</c:v>
                </c:pt>
                <c:pt idx="907">
                  <c:v>14.3499999996</c:v>
                </c:pt>
                <c:pt idx="908">
                  <c:v>15.450000001200001</c:v>
                </c:pt>
                <c:pt idx="909">
                  <c:v>16.1600000004</c:v>
                </c:pt>
                <c:pt idx="910">
                  <c:v>16.769999998799999</c:v>
                </c:pt>
                <c:pt idx="911">
                  <c:v>18.119999998800001</c:v>
                </c:pt>
                <c:pt idx="912">
                  <c:v>18.950000000400003</c:v>
                </c:pt>
                <c:pt idx="913">
                  <c:v>18.950000000400003</c:v>
                </c:pt>
                <c:pt idx="914">
                  <c:v>19.4799999996</c:v>
                </c:pt>
                <c:pt idx="915">
                  <c:v>19.89</c:v>
                </c:pt>
                <c:pt idx="916">
                  <c:v>19.89</c:v>
                </c:pt>
                <c:pt idx="917">
                  <c:v>20.099999998799998</c:v>
                </c:pt>
                <c:pt idx="918">
                  <c:v>20.310000001199999</c:v>
                </c:pt>
                <c:pt idx="919">
                  <c:v>20.310000001199999</c:v>
                </c:pt>
                <c:pt idx="920">
                  <c:v>20.369999998800001</c:v>
                </c:pt>
                <c:pt idx="921">
                  <c:v>20.369999998800001</c:v>
                </c:pt>
                <c:pt idx="922">
                  <c:v>20.3199999984</c:v>
                </c:pt>
                <c:pt idx="923">
                  <c:v>19.779999998400001</c:v>
                </c:pt>
                <c:pt idx="924">
                  <c:v>19.599999998400001</c:v>
                </c:pt>
                <c:pt idx="925">
                  <c:v>19.5900000012</c:v>
                </c:pt>
                <c:pt idx="926">
                  <c:v>19.649999998799998</c:v>
                </c:pt>
                <c:pt idx="927">
                  <c:v>19.779999998400001</c:v>
                </c:pt>
                <c:pt idx="928">
                  <c:v>19.940000000400001</c:v>
                </c:pt>
                <c:pt idx="929">
                  <c:v>20.080000000799998</c:v>
                </c:pt>
                <c:pt idx="930">
                  <c:v>20.080000000799998</c:v>
                </c:pt>
                <c:pt idx="931">
                  <c:v>20.080000000799998</c:v>
                </c:pt>
                <c:pt idx="932">
                  <c:v>20.869999999200001</c:v>
                </c:pt>
                <c:pt idx="933">
                  <c:v>21.170000001600002</c:v>
                </c:pt>
                <c:pt idx="934">
                  <c:v>21.170000001600002</c:v>
                </c:pt>
                <c:pt idx="935">
                  <c:v>21.260000001600002</c:v>
                </c:pt>
                <c:pt idx="936">
                  <c:v>21.2299999992</c:v>
                </c:pt>
                <c:pt idx="937">
                  <c:v>21.3199999992</c:v>
                </c:pt>
                <c:pt idx="938">
                  <c:v>21.3199999992</c:v>
                </c:pt>
                <c:pt idx="939">
                  <c:v>20.850000001200002</c:v>
                </c:pt>
                <c:pt idx="940">
                  <c:v>20.1800000016</c:v>
                </c:pt>
                <c:pt idx="941">
                  <c:v>20.1800000016</c:v>
                </c:pt>
                <c:pt idx="942">
                  <c:v>20.1800000016</c:v>
                </c:pt>
                <c:pt idx="943">
                  <c:v>17.579999998800002</c:v>
                </c:pt>
                <c:pt idx="944">
                  <c:v>15.800000000400003</c:v>
                </c:pt>
                <c:pt idx="945">
                  <c:v>13.550000000400001</c:v>
                </c:pt>
                <c:pt idx="946">
                  <c:v>10.789999999200001</c:v>
                </c:pt>
                <c:pt idx="947">
                  <c:v>7.6299999983999998</c:v>
                </c:pt>
                <c:pt idx="948">
                  <c:v>5.8799999987999998</c:v>
                </c:pt>
                <c:pt idx="949">
                  <c:v>3.9099999995999997</c:v>
                </c:pt>
                <c:pt idx="950">
                  <c:v>1.1000000016</c:v>
                </c:pt>
                <c:pt idx="951">
                  <c:v>0.63</c:v>
                </c:pt>
                <c:pt idx="952">
                  <c:v>0.63</c:v>
                </c:pt>
                <c:pt idx="953">
                  <c:v>0.78000000120000001</c:v>
                </c:pt>
                <c:pt idx="954">
                  <c:v>0.78000000120000001</c:v>
                </c:pt>
                <c:pt idx="955">
                  <c:v>0.78000000120000001</c:v>
                </c:pt>
                <c:pt idx="956">
                  <c:v>5.0299999992000002</c:v>
                </c:pt>
                <c:pt idx="957">
                  <c:v>9.2000000015999994</c:v>
                </c:pt>
                <c:pt idx="958">
                  <c:v>9.2000000015999994</c:v>
                </c:pt>
                <c:pt idx="959">
                  <c:v>18.519999998400003</c:v>
                </c:pt>
                <c:pt idx="960">
                  <c:v>22.079999998800002</c:v>
                </c:pt>
                <c:pt idx="961">
                  <c:v>22.079999998800002</c:v>
                </c:pt>
                <c:pt idx="962">
                  <c:v>26.200000000799999</c:v>
                </c:pt>
                <c:pt idx="963">
                  <c:v>29.9800000008</c:v>
                </c:pt>
                <c:pt idx="964">
                  <c:v>33.119999999999997</c:v>
                </c:pt>
                <c:pt idx="965">
                  <c:v>36.280000008000002</c:v>
                </c:pt>
                <c:pt idx="966">
                  <c:v>39.409999992000003</c:v>
                </c:pt>
                <c:pt idx="967">
                  <c:v>42.57</c:v>
                </c:pt>
                <c:pt idx="968">
                  <c:v>42.57</c:v>
                </c:pt>
                <c:pt idx="969">
                  <c:v>46.000000008000001</c:v>
                </c:pt>
                <c:pt idx="970">
                  <c:v>46.000000008000001</c:v>
                </c:pt>
                <c:pt idx="971">
                  <c:v>49.41</c:v>
                </c:pt>
                <c:pt idx="972">
                  <c:v>52.279999992</c:v>
                </c:pt>
                <c:pt idx="973">
                  <c:v>55.029999996000001</c:v>
                </c:pt>
                <c:pt idx="974">
                  <c:v>55.029999996000001</c:v>
                </c:pt>
                <c:pt idx="975">
                  <c:v>57.740000003999995</c:v>
                </c:pt>
                <c:pt idx="976">
                  <c:v>58.730000004000004</c:v>
                </c:pt>
                <c:pt idx="977">
                  <c:v>58.730000004000004</c:v>
                </c:pt>
                <c:pt idx="978">
                  <c:v>59.919999984000007</c:v>
                </c:pt>
                <c:pt idx="979">
                  <c:v>60.980000004000004</c:v>
                </c:pt>
                <c:pt idx="980">
                  <c:v>62.079999983999997</c:v>
                </c:pt>
                <c:pt idx="981">
                  <c:v>62.340000012000004</c:v>
                </c:pt>
                <c:pt idx="982">
                  <c:v>62.489999988000001</c:v>
                </c:pt>
                <c:pt idx="983">
                  <c:v>62.579999987999997</c:v>
                </c:pt>
                <c:pt idx="984">
                  <c:v>62.629999992000002</c:v>
                </c:pt>
                <c:pt idx="985">
                  <c:v>62.849999987999993</c:v>
                </c:pt>
                <c:pt idx="986">
                  <c:v>63.129999996000002</c:v>
                </c:pt>
                <c:pt idx="987">
                  <c:v>63.020000016000004</c:v>
                </c:pt>
                <c:pt idx="988">
                  <c:v>62.38000000800001</c:v>
                </c:pt>
                <c:pt idx="989">
                  <c:v>62.38000000800001</c:v>
                </c:pt>
                <c:pt idx="990">
                  <c:v>61.549999991999996</c:v>
                </c:pt>
                <c:pt idx="991">
                  <c:v>61.359999983999998</c:v>
                </c:pt>
                <c:pt idx="992">
                  <c:v>61.139999988000007</c:v>
                </c:pt>
                <c:pt idx="993">
                  <c:v>61.139999988000007</c:v>
                </c:pt>
                <c:pt idx="994">
                  <c:v>61.139999988000007</c:v>
                </c:pt>
                <c:pt idx="995">
                  <c:v>59.590000007999997</c:v>
                </c:pt>
                <c:pt idx="996">
                  <c:v>57.679999991999999</c:v>
                </c:pt>
                <c:pt idx="997">
                  <c:v>55.050000011999998</c:v>
                </c:pt>
                <c:pt idx="998">
                  <c:v>52.890000012000002</c:v>
                </c:pt>
                <c:pt idx="999">
                  <c:v>52.890000012000002</c:v>
                </c:pt>
                <c:pt idx="1000">
                  <c:v>50.339999988000002</c:v>
                </c:pt>
                <c:pt idx="1001">
                  <c:v>48.579999984000004</c:v>
                </c:pt>
                <c:pt idx="1002">
                  <c:v>47.030000004000001</c:v>
                </c:pt>
                <c:pt idx="1003">
                  <c:v>47.030000004000001</c:v>
                </c:pt>
                <c:pt idx="1004">
                  <c:v>46.109999987999998</c:v>
                </c:pt>
                <c:pt idx="1005">
                  <c:v>46.069999992</c:v>
                </c:pt>
                <c:pt idx="1006">
                  <c:v>46.109999987999998</c:v>
                </c:pt>
                <c:pt idx="1007">
                  <c:v>46.130000003999996</c:v>
                </c:pt>
                <c:pt idx="1008">
                  <c:v>46.17</c:v>
                </c:pt>
                <c:pt idx="1009">
                  <c:v>46.080000000000005</c:v>
                </c:pt>
                <c:pt idx="1010">
                  <c:v>45.979999992000003</c:v>
                </c:pt>
                <c:pt idx="1011">
                  <c:v>45.889999992</c:v>
                </c:pt>
                <c:pt idx="1012">
                  <c:v>45.889999992</c:v>
                </c:pt>
                <c:pt idx="1013">
                  <c:v>46.770000012000004</c:v>
                </c:pt>
                <c:pt idx="1014">
                  <c:v>46.770000012000004</c:v>
                </c:pt>
                <c:pt idx="1015">
                  <c:v>53.430000012000001</c:v>
                </c:pt>
                <c:pt idx="1016">
                  <c:v>56.689999991999997</c:v>
                </c:pt>
                <c:pt idx="1017">
                  <c:v>58.579999991999998</c:v>
                </c:pt>
                <c:pt idx="1018">
                  <c:v>59.339999988000002</c:v>
                </c:pt>
                <c:pt idx="1019">
                  <c:v>59.379999983999994</c:v>
                </c:pt>
                <c:pt idx="1020">
                  <c:v>59.289999984000005</c:v>
                </c:pt>
                <c:pt idx="1021">
                  <c:v>59.140000008000001</c:v>
                </c:pt>
                <c:pt idx="1022">
                  <c:v>59.140000008000001</c:v>
                </c:pt>
                <c:pt idx="1023">
                  <c:v>58.979999987999996</c:v>
                </c:pt>
                <c:pt idx="1024">
                  <c:v>58.979999987999996</c:v>
                </c:pt>
                <c:pt idx="1025">
                  <c:v>58.680000000000007</c:v>
                </c:pt>
                <c:pt idx="1026">
                  <c:v>58.680000000000007</c:v>
                </c:pt>
                <c:pt idx="1027">
                  <c:v>57.549999995999997</c:v>
                </c:pt>
                <c:pt idx="1028">
                  <c:v>57.549999995999997</c:v>
                </c:pt>
                <c:pt idx="1029">
                  <c:v>56.599999992000001</c:v>
                </c:pt>
                <c:pt idx="1030">
                  <c:v>56.180000016000001</c:v>
                </c:pt>
                <c:pt idx="1031">
                  <c:v>54.399999995999998</c:v>
                </c:pt>
                <c:pt idx="1032">
                  <c:v>52.530000012000002</c:v>
                </c:pt>
                <c:pt idx="1033">
                  <c:v>49.430000016000001</c:v>
                </c:pt>
                <c:pt idx="1034">
                  <c:v>49.430000016000001</c:v>
                </c:pt>
                <c:pt idx="1035">
                  <c:v>45.789999984000005</c:v>
                </c:pt>
                <c:pt idx="1036">
                  <c:v>45.789999984000005</c:v>
                </c:pt>
                <c:pt idx="1037">
                  <c:v>42.66</c:v>
                </c:pt>
                <c:pt idx="1038">
                  <c:v>42.66</c:v>
                </c:pt>
                <c:pt idx="1039">
                  <c:v>41.950000007999996</c:v>
                </c:pt>
                <c:pt idx="1040">
                  <c:v>41.950000007999996</c:v>
                </c:pt>
                <c:pt idx="1041">
                  <c:v>42.170000004000002</c:v>
                </c:pt>
                <c:pt idx="1042">
                  <c:v>42.170000004000002</c:v>
                </c:pt>
                <c:pt idx="1043">
                  <c:v>42.990000012000003</c:v>
                </c:pt>
                <c:pt idx="1044">
                  <c:v>45.36</c:v>
                </c:pt>
                <c:pt idx="1045">
                  <c:v>47.459999988</c:v>
                </c:pt>
                <c:pt idx="1046">
                  <c:v>47.260000008000006</c:v>
                </c:pt>
                <c:pt idx="1047">
                  <c:v>47.260000008000006</c:v>
                </c:pt>
                <c:pt idx="1048">
                  <c:v>47.869999992000004</c:v>
                </c:pt>
                <c:pt idx="1049">
                  <c:v>50.770000008000004</c:v>
                </c:pt>
                <c:pt idx="1050">
                  <c:v>53.740000008000003</c:v>
                </c:pt>
                <c:pt idx="1051">
                  <c:v>55.17</c:v>
                </c:pt>
                <c:pt idx="1052">
                  <c:v>55.919999988000001</c:v>
                </c:pt>
                <c:pt idx="1053">
                  <c:v>56.570000004000001</c:v>
                </c:pt>
                <c:pt idx="1054">
                  <c:v>56.919999996000001</c:v>
                </c:pt>
                <c:pt idx="1055">
                  <c:v>57.250000008000001</c:v>
                </c:pt>
                <c:pt idx="1056">
                  <c:v>57.489999984000001</c:v>
                </c:pt>
                <c:pt idx="1057">
                  <c:v>56.800000007999998</c:v>
                </c:pt>
                <c:pt idx="1058">
                  <c:v>55.789999991999998</c:v>
                </c:pt>
                <c:pt idx="1059">
                  <c:v>54.830000016000007</c:v>
                </c:pt>
                <c:pt idx="1060">
                  <c:v>54.150000012</c:v>
                </c:pt>
                <c:pt idx="1061">
                  <c:v>53.309999988000001</c:v>
                </c:pt>
                <c:pt idx="1062">
                  <c:v>53.309999988000001</c:v>
                </c:pt>
                <c:pt idx="1063">
                  <c:v>52.830000000000005</c:v>
                </c:pt>
                <c:pt idx="1064">
                  <c:v>51.919999992000001</c:v>
                </c:pt>
                <c:pt idx="1065">
                  <c:v>51.919999992000001</c:v>
                </c:pt>
                <c:pt idx="1066">
                  <c:v>50.950000007999996</c:v>
                </c:pt>
                <c:pt idx="1067">
                  <c:v>49.470000012000007</c:v>
                </c:pt>
                <c:pt idx="1068">
                  <c:v>49.470000012000007</c:v>
                </c:pt>
                <c:pt idx="1069">
                  <c:v>47.07</c:v>
                </c:pt>
                <c:pt idx="1070">
                  <c:v>47.07</c:v>
                </c:pt>
                <c:pt idx="1071">
                  <c:v>47.07</c:v>
                </c:pt>
                <c:pt idx="1072">
                  <c:v>43.499999987999999</c:v>
                </c:pt>
                <c:pt idx="1073">
                  <c:v>40.340000016000005</c:v>
                </c:pt>
                <c:pt idx="1074">
                  <c:v>40.340000016000005</c:v>
                </c:pt>
                <c:pt idx="1075">
                  <c:v>37.069999992</c:v>
                </c:pt>
                <c:pt idx="1076">
                  <c:v>37.069999992</c:v>
                </c:pt>
                <c:pt idx="1077">
                  <c:v>33.810000001200002</c:v>
                </c:pt>
                <c:pt idx="1078">
                  <c:v>30.260000001599998</c:v>
                </c:pt>
                <c:pt idx="1079">
                  <c:v>27.0699999984</c:v>
                </c:pt>
                <c:pt idx="1080">
                  <c:v>27.0699999984</c:v>
                </c:pt>
                <c:pt idx="1081">
                  <c:v>23.690000001600001</c:v>
                </c:pt>
                <c:pt idx="1082">
                  <c:v>20.810000001600002</c:v>
                </c:pt>
                <c:pt idx="1083">
                  <c:v>18.259999999199998</c:v>
                </c:pt>
                <c:pt idx="1084">
                  <c:v>15.6800000016</c:v>
                </c:pt>
                <c:pt idx="1085">
                  <c:v>12.7400000004</c:v>
                </c:pt>
                <c:pt idx="1086">
                  <c:v>10.2399999984</c:v>
                </c:pt>
                <c:pt idx="1087">
                  <c:v>7.6399999992000005</c:v>
                </c:pt>
                <c:pt idx="1088">
                  <c:v>4.7400000012000003</c:v>
                </c:pt>
                <c:pt idx="1089">
                  <c:v>1.6999999992000001</c:v>
                </c:pt>
                <c:pt idx="1090">
                  <c:v>0.2000000016</c:v>
                </c:pt>
                <c:pt idx="1091">
                  <c:v>0.1699999992</c:v>
                </c:pt>
                <c:pt idx="1092">
                  <c:v>0</c:v>
                </c:pt>
                <c:pt idx="1093">
                  <c:v>1.0500000011999999</c:v>
                </c:pt>
                <c:pt idx="1094">
                  <c:v>1.0500000011999999</c:v>
                </c:pt>
                <c:pt idx="1095">
                  <c:v>4.9899999996000002</c:v>
                </c:pt>
                <c:pt idx="1096">
                  <c:v>9.6500000016000005</c:v>
                </c:pt>
                <c:pt idx="1097">
                  <c:v>13.780000000800001</c:v>
                </c:pt>
                <c:pt idx="1098">
                  <c:v>17.8899999984</c:v>
                </c:pt>
                <c:pt idx="1099">
                  <c:v>22.3400000016</c:v>
                </c:pt>
                <c:pt idx="1100">
                  <c:v>22.3400000016</c:v>
                </c:pt>
                <c:pt idx="1101">
                  <c:v>26.790000001199999</c:v>
                </c:pt>
                <c:pt idx="1102">
                  <c:v>26.790000001199999</c:v>
                </c:pt>
                <c:pt idx="1103">
                  <c:v>31.380000001200003</c:v>
                </c:pt>
                <c:pt idx="1104">
                  <c:v>36.299999988000003</c:v>
                </c:pt>
                <c:pt idx="1105">
                  <c:v>40.610000016000001</c:v>
                </c:pt>
                <c:pt idx="1106">
                  <c:v>45.81</c:v>
                </c:pt>
                <c:pt idx="1107">
                  <c:v>49.169999988000001</c:v>
                </c:pt>
                <c:pt idx="1108">
                  <c:v>52.700000004000003</c:v>
                </c:pt>
                <c:pt idx="1109">
                  <c:v>55.440000000000005</c:v>
                </c:pt>
                <c:pt idx="1110">
                  <c:v>58.129999992000002</c:v>
                </c:pt>
                <c:pt idx="1111">
                  <c:v>58.129999992000002</c:v>
                </c:pt>
                <c:pt idx="1112">
                  <c:v>60.059999988000001</c:v>
                </c:pt>
                <c:pt idx="1113">
                  <c:v>61.260000011999999</c:v>
                </c:pt>
                <c:pt idx="1114">
                  <c:v>62.780000004000009</c:v>
                </c:pt>
                <c:pt idx="1115">
                  <c:v>64.010000016000006</c:v>
                </c:pt>
                <c:pt idx="1116">
                  <c:v>64.010000016000006</c:v>
                </c:pt>
                <c:pt idx="1117">
                  <c:v>64.820000016000009</c:v>
                </c:pt>
                <c:pt idx="1118">
                  <c:v>65.840000004000004</c:v>
                </c:pt>
                <c:pt idx="1119">
                  <c:v>65.840000004000004</c:v>
                </c:pt>
                <c:pt idx="1120">
                  <c:v>66.69</c:v>
                </c:pt>
                <c:pt idx="1121">
                  <c:v>67.410000000000011</c:v>
                </c:pt>
                <c:pt idx="1122">
                  <c:v>68.150000015999993</c:v>
                </c:pt>
                <c:pt idx="1123">
                  <c:v>68.150000015999993</c:v>
                </c:pt>
                <c:pt idx="1124">
                  <c:v>67.899999996000005</c:v>
                </c:pt>
                <c:pt idx="1125">
                  <c:v>68.159999987999996</c:v>
                </c:pt>
                <c:pt idx="1126">
                  <c:v>68.159999987999996</c:v>
                </c:pt>
                <c:pt idx="1127">
                  <c:v>67.95</c:v>
                </c:pt>
                <c:pt idx="1128">
                  <c:v>67.849999991999994</c:v>
                </c:pt>
                <c:pt idx="1129">
                  <c:v>67.849999991999994</c:v>
                </c:pt>
                <c:pt idx="1130">
                  <c:v>67.659999983999995</c:v>
                </c:pt>
                <c:pt idx="1131">
                  <c:v>67.659999983999995</c:v>
                </c:pt>
                <c:pt idx="1132">
                  <c:v>67.659999983999995</c:v>
                </c:pt>
                <c:pt idx="1133">
                  <c:v>67.410000000000011</c:v>
                </c:pt>
                <c:pt idx="1134">
                  <c:v>67.290000012000007</c:v>
                </c:pt>
                <c:pt idx="1135">
                  <c:v>66.890000016000002</c:v>
                </c:pt>
                <c:pt idx="1136">
                  <c:v>66.890000016000002</c:v>
                </c:pt>
                <c:pt idx="1137">
                  <c:v>66.589999992000003</c:v>
                </c:pt>
                <c:pt idx="1138">
                  <c:v>66.020000003999996</c:v>
                </c:pt>
                <c:pt idx="1139">
                  <c:v>65.490000011999996</c:v>
                </c:pt>
                <c:pt idx="1140">
                  <c:v>65.040000012000007</c:v>
                </c:pt>
                <c:pt idx="1141">
                  <c:v>64.569999995999993</c:v>
                </c:pt>
                <c:pt idx="1142">
                  <c:v>63.950000004000003</c:v>
                </c:pt>
                <c:pt idx="1143">
                  <c:v>63.360000000000007</c:v>
                </c:pt>
                <c:pt idx="1144">
                  <c:v>63.360000000000007</c:v>
                </c:pt>
                <c:pt idx="1145">
                  <c:v>62.520000012000004</c:v>
                </c:pt>
                <c:pt idx="1146">
                  <c:v>61.610000003999993</c:v>
                </c:pt>
                <c:pt idx="1147">
                  <c:v>61.610000003999993</c:v>
                </c:pt>
                <c:pt idx="1148">
                  <c:v>60.660000000000004</c:v>
                </c:pt>
                <c:pt idx="1149">
                  <c:v>59.630000004000003</c:v>
                </c:pt>
                <c:pt idx="1150">
                  <c:v>58.889999988000007</c:v>
                </c:pt>
                <c:pt idx="1151">
                  <c:v>58.889999988000007</c:v>
                </c:pt>
                <c:pt idx="1152">
                  <c:v>58.889999988000007</c:v>
                </c:pt>
                <c:pt idx="1153">
                  <c:v>58.129999992000002</c:v>
                </c:pt>
                <c:pt idx="1154">
                  <c:v>56.109999995999999</c:v>
                </c:pt>
                <c:pt idx="1155">
                  <c:v>56.109999995999999</c:v>
                </c:pt>
                <c:pt idx="1156">
                  <c:v>54.799999992000004</c:v>
                </c:pt>
                <c:pt idx="1157">
                  <c:v>54.799999992000004</c:v>
                </c:pt>
                <c:pt idx="1158">
                  <c:v>53.049999995999997</c:v>
                </c:pt>
                <c:pt idx="1159">
                  <c:v>53.049999995999997</c:v>
                </c:pt>
                <c:pt idx="1160">
                  <c:v>50.709999996000001</c:v>
                </c:pt>
                <c:pt idx="1161">
                  <c:v>48.589999991999996</c:v>
                </c:pt>
                <c:pt idx="1162">
                  <c:v>46.230000012000005</c:v>
                </c:pt>
                <c:pt idx="1163">
                  <c:v>44.129999988000002</c:v>
                </c:pt>
                <c:pt idx="1164">
                  <c:v>42.509999988000004</c:v>
                </c:pt>
                <c:pt idx="1165">
                  <c:v>40.489999992000001</c:v>
                </c:pt>
                <c:pt idx="1166">
                  <c:v>39.210000012000002</c:v>
                </c:pt>
                <c:pt idx="1167">
                  <c:v>37.879999992000002</c:v>
                </c:pt>
                <c:pt idx="1168">
                  <c:v>37.249999992000006</c:v>
                </c:pt>
                <c:pt idx="1169">
                  <c:v>36.820000008000001</c:v>
                </c:pt>
                <c:pt idx="1170">
                  <c:v>36.36</c:v>
                </c:pt>
                <c:pt idx="1171">
                  <c:v>36.020000015999997</c:v>
                </c:pt>
                <c:pt idx="1172">
                  <c:v>35.1799999992</c:v>
                </c:pt>
                <c:pt idx="1173">
                  <c:v>33.6399999984</c:v>
                </c:pt>
                <c:pt idx="1174">
                  <c:v>32.280000001200001</c:v>
                </c:pt>
                <c:pt idx="1175">
                  <c:v>32.280000001200001</c:v>
                </c:pt>
                <c:pt idx="1176">
                  <c:v>31.430000001600003</c:v>
                </c:pt>
                <c:pt idx="1177">
                  <c:v>30.129999998400002</c:v>
                </c:pt>
                <c:pt idx="1178">
                  <c:v>28.419999998400002</c:v>
                </c:pt>
                <c:pt idx="1179">
                  <c:v>26.740000000800002</c:v>
                </c:pt>
                <c:pt idx="1180">
                  <c:v>26.740000000800002</c:v>
                </c:pt>
                <c:pt idx="1181">
                  <c:v>26.740000000800002</c:v>
                </c:pt>
                <c:pt idx="1182">
                  <c:v>24.490000000800002</c:v>
                </c:pt>
                <c:pt idx="1183">
                  <c:v>21.7299999996</c:v>
                </c:pt>
                <c:pt idx="1184">
                  <c:v>21.7299999996</c:v>
                </c:pt>
                <c:pt idx="1185">
                  <c:v>19.310000000400002</c:v>
                </c:pt>
                <c:pt idx="1186">
                  <c:v>16.440000001200001</c:v>
                </c:pt>
                <c:pt idx="1187">
                  <c:v>13.299999998400001</c:v>
                </c:pt>
                <c:pt idx="1188">
                  <c:v>13.299999998400001</c:v>
                </c:pt>
                <c:pt idx="1189">
                  <c:v>9.5600000016000006</c:v>
                </c:pt>
                <c:pt idx="1190">
                  <c:v>5.8899999995999996</c:v>
                </c:pt>
                <c:pt idx="1191">
                  <c:v>5.8899999995999996</c:v>
                </c:pt>
                <c:pt idx="1192">
                  <c:v>3.2900000004000001</c:v>
                </c:pt>
                <c:pt idx="1193">
                  <c:v>0.5199999984</c:v>
                </c:pt>
                <c:pt idx="1194">
                  <c:v>0.15999999840000001</c:v>
                </c:pt>
                <c:pt idx="1195">
                  <c:v>0</c:v>
                </c:pt>
                <c:pt idx="1196">
                  <c:v>1.7700000012000001</c:v>
                </c:pt>
                <c:pt idx="1197">
                  <c:v>1.7700000012000001</c:v>
                </c:pt>
                <c:pt idx="1198">
                  <c:v>5.8700000016000002</c:v>
                </c:pt>
                <c:pt idx="1199">
                  <c:v>10.8299999988</c:v>
                </c:pt>
                <c:pt idx="1200">
                  <c:v>15.199999999200001</c:v>
                </c:pt>
                <c:pt idx="1201">
                  <c:v>19.829999998800002</c:v>
                </c:pt>
                <c:pt idx="1202">
                  <c:v>24.459999998400001</c:v>
                </c:pt>
                <c:pt idx="1203">
                  <c:v>24.459999998400001</c:v>
                </c:pt>
                <c:pt idx="1204">
                  <c:v>27.830000001599998</c:v>
                </c:pt>
                <c:pt idx="1205">
                  <c:v>28.609999999199999</c:v>
                </c:pt>
                <c:pt idx="1206">
                  <c:v>27.799999999200001</c:v>
                </c:pt>
                <c:pt idx="1207">
                  <c:v>27.799999999200001</c:v>
                </c:pt>
                <c:pt idx="1208">
                  <c:v>26.28</c:v>
                </c:pt>
                <c:pt idx="1209">
                  <c:v>25.5700000008</c:v>
                </c:pt>
                <c:pt idx="1210">
                  <c:v>24.900000001200002</c:v>
                </c:pt>
                <c:pt idx="1211">
                  <c:v>24.900000001200002</c:v>
                </c:pt>
                <c:pt idx="1212">
                  <c:v>25.099999999200001</c:v>
                </c:pt>
                <c:pt idx="1213">
                  <c:v>25.099999999200001</c:v>
                </c:pt>
                <c:pt idx="1214">
                  <c:v>27.119999998800001</c:v>
                </c:pt>
                <c:pt idx="1215">
                  <c:v>27.6800000004</c:v>
                </c:pt>
                <c:pt idx="1216">
                  <c:v>28.450000000799999</c:v>
                </c:pt>
                <c:pt idx="1217">
                  <c:v>28.450000000799999</c:v>
                </c:pt>
                <c:pt idx="1218">
                  <c:v>29.760000001200005</c:v>
                </c:pt>
                <c:pt idx="1219">
                  <c:v>33.950000001600003</c:v>
                </c:pt>
                <c:pt idx="1220">
                  <c:v>33.950000001600003</c:v>
                </c:pt>
                <c:pt idx="1221">
                  <c:v>38.120000003999998</c:v>
                </c:pt>
                <c:pt idx="1222">
                  <c:v>42.599999988</c:v>
                </c:pt>
                <c:pt idx="1223">
                  <c:v>44.920000008000002</c:v>
                </c:pt>
                <c:pt idx="1224">
                  <c:v>47.059999992000002</c:v>
                </c:pt>
                <c:pt idx="1225">
                  <c:v>47.059999992000002</c:v>
                </c:pt>
                <c:pt idx="1226">
                  <c:v>49.41</c:v>
                </c:pt>
                <c:pt idx="1227">
                  <c:v>50.510000015999999</c:v>
                </c:pt>
                <c:pt idx="1228">
                  <c:v>52.940000016000006</c:v>
                </c:pt>
                <c:pt idx="1229">
                  <c:v>55.419999984</c:v>
                </c:pt>
                <c:pt idx="1230">
                  <c:v>57.020000004000003</c:v>
                </c:pt>
                <c:pt idx="1231">
                  <c:v>57.269999988000002</c:v>
                </c:pt>
                <c:pt idx="1232">
                  <c:v>57.920000004000002</c:v>
                </c:pt>
                <c:pt idx="1233">
                  <c:v>58.709999988</c:v>
                </c:pt>
                <c:pt idx="1234">
                  <c:v>58.95</c:v>
                </c:pt>
                <c:pt idx="1235">
                  <c:v>58.929999983999998</c:v>
                </c:pt>
                <c:pt idx="1236">
                  <c:v>58.929999983999998</c:v>
                </c:pt>
                <c:pt idx="1237">
                  <c:v>59.289999984000005</c:v>
                </c:pt>
                <c:pt idx="1238">
                  <c:v>59.730000011999998</c:v>
                </c:pt>
                <c:pt idx="1239">
                  <c:v>59.900000004000006</c:v>
                </c:pt>
                <c:pt idx="1240">
                  <c:v>60.040000008</c:v>
                </c:pt>
                <c:pt idx="1241">
                  <c:v>60.040000008</c:v>
                </c:pt>
                <c:pt idx="1242">
                  <c:v>60.040000008</c:v>
                </c:pt>
                <c:pt idx="1243">
                  <c:v>60.140000016000002</c:v>
                </c:pt>
                <c:pt idx="1244">
                  <c:v>60.140000016000002</c:v>
                </c:pt>
                <c:pt idx="1245">
                  <c:v>59.85</c:v>
                </c:pt>
                <c:pt idx="1246">
                  <c:v>59.730000011999998</c:v>
                </c:pt>
                <c:pt idx="1247">
                  <c:v>59.730000011999998</c:v>
                </c:pt>
                <c:pt idx="1248">
                  <c:v>59.330000016</c:v>
                </c:pt>
                <c:pt idx="1249">
                  <c:v>59.330000016</c:v>
                </c:pt>
                <c:pt idx="1250">
                  <c:v>58.420000008000002</c:v>
                </c:pt>
                <c:pt idx="1251">
                  <c:v>57.629999988000002</c:v>
                </c:pt>
                <c:pt idx="1252">
                  <c:v>56.469999996000006</c:v>
                </c:pt>
                <c:pt idx="1253">
                  <c:v>56.469999996000006</c:v>
                </c:pt>
                <c:pt idx="1254">
                  <c:v>56.469999996000006</c:v>
                </c:pt>
                <c:pt idx="1255">
                  <c:v>54.470000016</c:v>
                </c:pt>
                <c:pt idx="1256">
                  <c:v>51.900000012</c:v>
                </c:pt>
                <c:pt idx="1257">
                  <c:v>50.780000016000002</c:v>
                </c:pt>
                <c:pt idx="1258">
                  <c:v>49.650000012</c:v>
                </c:pt>
                <c:pt idx="1259">
                  <c:v>47.919999996000001</c:v>
                </c:pt>
                <c:pt idx="1260">
                  <c:v>46.689999984000004</c:v>
                </c:pt>
                <c:pt idx="1261">
                  <c:v>45.36</c:v>
                </c:pt>
                <c:pt idx="1262">
                  <c:v>44.470000008</c:v>
                </c:pt>
                <c:pt idx="1263">
                  <c:v>43.490000016000003</c:v>
                </c:pt>
                <c:pt idx="1264">
                  <c:v>42.519999996000003</c:v>
                </c:pt>
                <c:pt idx="1265">
                  <c:v>42.519999996000003</c:v>
                </c:pt>
                <c:pt idx="1266">
                  <c:v>42.519999996000003</c:v>
                </c:pt>
                <c:pt idx="1267">
                  <c:v>41.49</c:v>
                </c:pt>
                <c:pt idx="1268">
                  <c:v>40.839999984000002</c:v>
                </c:pt>
                <c:pt idx="1269">
                  <c:v>40.060000008000003</c:v>
                </c:pt>
                <c:pt idx="1270">
                  <c:v>40.060000008000003</c:v>
                </c:pt>
                <c:pt idx="1271">
                  <c:v>39.15</c:v>
                </c:pt>
                <c:pt idx="1272">
                  <c:v>37.029999996000001</c:v>
                </c:pt>
                <c:pt idx="1273">
                  <c:v>34.790000000400006</c:v>
                </c:pt>
                <c:pt idx="1274">
                  <c:v>33.090000001200004</c:v>
                </c:pt>
                <c:pt idx="1275">
                  <c:v>30.660000001200004</c:v>
                </c:pt>
                <c:pt idx="1276">
                  <c:v>27.380000001599999</c:v>
                </c:pt>
                <c:pt idx="1277">
                  <c:v>24.48</c:v>
                </c:pt>
                <c:pt idx="1278">
                  <c:v>21.6</c:v>
                </c:pt>
                <c:pt idx="1279">
                  <c:v>17.37</c:v>
                </c:pt>
                <c:pt idx="1280">
                  <c:v>13.0100000004</c:v>
                </c:pt>
                <c:pt idx="1281">
                  <c:v>8.5700000016000004</c:v>
                </c:pt>
                <c:pt idx="1282">
                  <c:v>5.4299999987999996</c:v>
                </c:pt>
                <c:pt idx="1283">
                  <c:v>2.4199999992000003</c:v>
                </c:pt>
                <c:pt idx="1284">
                  <c:v>0.50000000039999992</c:v>
                </c:pt>
                <c:pt idx="1285">
                  <c:v>0.2000000016</c:v>
                </c:pt>
                <c:pt idx="1286">
                  <c:v>0</c:v>
                </c:pt>
                <c:pt idx="1287">
                  <c:v>3.2100000012000001</c:v>
                </c:pt>
                <c:pt idx="1288">
                  <c:v>7.5099999996000006</c:v>
                </c:pt>
                <c:pt idx="1289">
                  <c:v>11.810000001600001</c:v>
                </c:pt>
                <c:pt idx="1290">
                  <c:v>15.800000000400003</c:v>
                </c:pt>
                <c:pt idx="1291">
                  <c:v>15.800000000400003</c:v>
                </c:pt>
                <c:pt idx="1292">
                  <c:v>19.990000000800002</c:v>
                </c:pt>
                <c:pt idx="1293">
                  <c:v>19.990000000800002</c:v>
                </c:pt>
                <c:pt idx="1294">
                  <c:v>24.239999998800002</c:v>
                </c:pt>
                <c:pt idx="1295">
                  <c:v>28.1599999992</c:v>
                </c:pt>
                <c:pt idx="1296">
                  <c:v>28.1599999992</c:v>
                </c:pt>
                <c:pt idx="1297">
                  <c:v>32.289999998400006</c:v>
                </c:pt>
                <c:pt idx="1298">
                  <c:v>36.609999983999998</c:v>
                </c:pt>
                <c:pt idx="1299">
                  <c:v>40.709999988</c:v>
                </c:pt>
                <c:pt idx="1300">
                  <c:v>43.620000012000006</c:v>
                </c:pt>
                <c:pt idx="1301">
                  <c:v>46.940000004000005</c:v>
                </c:pt>
                <c:pt idx="1302">
                  <c:v>49.119999983999996</c:v>
                </c:pt>
                <c:pt idx="1303">
                  <c:v>51.369999983999996</c:v>
                </c:pt>
                <c:pt idx="1304">
                  <c:v>51.369999983999996</c:v>
                </c:pt>
                <c:pt idx="1305">
                  <c:v>54.489999996000002</c:v>
                </c:pt>
                <c:pt idx="1306">
                  <c:v>55.850000004000002</c:v>
                </c:pt>
                <c:pt idx="1307">
                  <c:v>55.850000004000002</c:v>
                </c:pt>
                <c:pt idx="1308">
                  <c:v>57.080000016000007</c:v>
                </c:pt>
                <c:pt idx="1309">
                  <c:v>58.550000004000005</c:v>
                </c:pt>
                <c:pt idx="1310">
                  <c:v>60.059999988000001</c:v>
                </c:pt>
                <c:pt idx="1311">
                  <c:v>61.2</c:v>
                </c:pt>
                <c:pt idx="1312">
                  <c:v>62.269999991999995</c:v>
                </c:pt>
                <c:pt idx="1313">
                  <c:v>63.249999984000006</c:v>
                </c:pt>
                <c:pt idx="1314">
                  <c:v>64.410000011999998</c:v>
                </c:pt>
                <c:pt idx="1315">
                  <c:v>65.229999984000003</c:v>
                </c:pt>
                <c:pt idx="1316">
                  <c:v>65.390000004000001</c:v>
                </c:pt>
                <c:pt idx="1317">
                  <c:v>65.390000004000001</c:v>
                </c:pt>
                <c:pt idx="1318">
                  <c:v>65.660000003999997</c:v>
                </c:pt>
                <c:pt idx="1319">
                  <c:v>65.580000011999999</c:v>
                </c:pt>
                <c:pt idx="1320">
                  <c:v>65.580000011999999</c:v>
                </c:pt>
                <c:pt idx="1321">
                  <c:v>65.580000011999999</c:v>
                </c:pt>
                <c:pt idx="1322">
                  <c:v>65.610000000000014</c:v>
                </c:pt>
                <c:pt idx="1323">
                  <c:v>65.570000004000008</c:v>
                </c:pt>
                <c:pt idx="1324">
                  <c:v>65.480000004000004</c:v>
                </c:pt>
                <c:pt idx="1325">
                  <c:v>64.299999995999997</c:v>
                </c:pt>
                <c:pt idx="1326">
                  <c:v>62.759999988000004</c:v>
                </c:pt>
                <c:pt idx="1327">
                  <c:v>61.269999984000002</c:v>
                </c:pt>
                <c:pt idx="1328">
                  <c:v>61.269999984000002</c:v>
                </c:pt>
                <c:pt idx="1329">
                  <c:v>60.350000004000002</c:v>
                </c:pt>
                <c:pt idx="1330">
                  <c:v>59.969999988000005</c:v>
                </c:pt>
                <c:pt idx="1331">
                  <c:v>59.969999988000005</c:v>
                </c:pt>
                <c:pt idx="1332">
                  <c:v>59.969999988000005</c:v>
                </c:pt>
                <c:pt idx="1333">
                  <c:v>58.370000003999998</c:v>
                </c:pt>
                <c:pt idx="1334">
                  <c:v>56.25</c:v>
                </c:pt>
                <c:pt idx="1335">
                  <c:v>53.830000007999999</c:v>
                </c:pt>
                <c:pt idx="1336">
                  <c:v>51.980000003999997</c:v>
                </c:pt>
                <c:pt idx="1337">
                  <c:v>51.980000003999997</c:v>
                </c:pt>
                <c:pt idx="1338">
                  <c:v>50.019999983999995</c:v>
                </c:pt>
                <c:pt idx="1339">
                  <c:v>48.42</c:v>
                </c:pt>
                <c:pt idx="1340">
                  <c:v>48.42</c:v>
                </c:pt>
                <c:pt idx="1341">
                  <c:v>46.209999996000001</c:v>
                </c:pt>
                <c:pt idx="1342">
                  <c:v>46.069999992</c:v>
                </c:pt>
                <c:pt idx="1343">
                  <c:v>46.149999983999997</c:v>
                </c:pt>
                <c:pt idx="1344">
                  <c:v>46.479999996000004</c:v>
                </c:pt>
                <c:pt idx="1345">
                  <c:v>46.479999996000004</c:v>
                </c:pt>
                <c:pt idx="1346">
                  <c:v>47.430000000000007</c:v>
                </c:pt>
                <c:pt idx="1347">
                  <c:v>47.949999984000002</c:v>
                </c:pt>
                <c:pt idx="1348">
                  <c:v>48.620000015999999</c:v>
                </c:pt>
                <c:pt idx="1349">
                  <c:v>49.100000004000002</c:v>
                </c:pt>
                <c:pt idx="1350">
                  <c:v>49.420000008000002</c:v>
                </c:pt>
                <c:pt idx="1351">
                  <c:v>49.420000008000002</c:v>
                </c:pt>
                <c:pt idx="1352">
                  <c:v>50.050000007999998</c:v>
                </c:pt>
                <c:pt idx="1353">
                  <c:v>52.250000004</c:v>
                </c:pt>
                <c:pt idx="1354">
                  <c:v>56.559999995999995</c:v>
                </c:pt>
                <c:pt idx="1355">
                  <c:v>60.019999991999995</c:v>
                </c:pt>
                <c:pt idx="1356">
                  <c:v>63.330000011999999</c:v>
                </c:pt>
                <c:pt idx="1357">
                  <c:v>63.330000011999999</c:v>
                </c:pt>
                <c:pt idx="1358">
                  <c:v>63.330000011999999</c:v>
                </c:pt>
                <c:pt idx="1359">
                  <c:v>63.330000011999999</c:v>
                </c:pt>
                <c:pt idx="1360">
                  <c:v>65.7</c:v>
                </c:pt>
                <c:pt idx="1361">
                  <c:v>65.7</c:v>
                </c:pt>
                <c:pt idx="1362">
                  <c:v>65.7</c:v>
                </c:pt>
                <c:pt idx="1363">
                  <c:v>66.300000012000012</c:v>
                </c:pt>
                <c:pt idx="1364">
                  <c:v>65.509999992000004</c:v>
                </c:pt>
                <c:pt idx="1365">
                  <c:v>64.590000012000004</c:v>
                </c:pt>
                <c:pt idx="1366">
                  <c:v>63.699999984000009</c:v>
                </c:pt>
                <c:pt idx="1367">
                  <c:v>63.699999984000009</c:v>
                </c:pt>
                <c:pt idx="1368">
                  <c:v>61.440000011999999</c:v>
                </c:pt>
                <c:pt idx="1369">
                  <c:v>60.770000016000004</c:v>
                </c:pt>
                <c:pt idx="1370">
                  <c:v>60.770000016000004</c:v>
                </c:pt>
                <c:pt idx="1371">
                  <c:v>60.770000016000004</c:v>
                </c:pt>
                <c:pt idx="1372">
                  <c:v>55.820000016000002</c:v>
                </c:pt>
                <c:pt idx="1373">
                  <c:v>52.970000003999999</c:v>
                </c:pt>
                <c:pt idx="1374">
                  <c:v>50.770000008000004</c:v>
                </c:pt>
                <c:pt idx="1375">
                  <c:v>48.51</c:v>
                </c:pt>
                <c:pt idx="1376">
                  <c:v>48.51</c:v>
                </c:pt>
                <c:pt idx="1377">
                  <c:v>46.720000008</c:v>
                </c:pt>
                <c:pt idx="1378">
                  <c:v>44.889999983999999</c:v>
                </c:pt>
                <c:pt idx="1379">
                  <c:v>43.29</c:v>
                </c:pt>
                <c:pt idx="1380">
                  <c:v>43.29</c:v>
                </c:pt>
                <c:pt idx="1381">
                  <c:v>40.870000008000005</c:v>
                </c:pt>
                <c:pt idx="1382">
                  <c:v>40.870000008000005</c:v>
                </c:pt>
                <c:pt idx="1383">
                  <c:v>39.759999983999997</c:v>
                </c:pt>
                <c:pt idx="1384">
                  <c:v>38.450000016000004</c:v>
                </c:pt>
                <c:pt idx="1385">
                  <c:v>38.450000016000004</c:v>
                </c:pt>
                <c:pt idx="1386">
                  <c:v>36.140000004000001</c:v>
                </c:pt>
                <c:pt idx="1387">
                  <c:v>34.260000001200005</c:v>
                </c:pt>
                <c:pt idx="1388">
                  <c:v>34.260000001200005</c:v>
                </c:pt>
                <c:pt idx="1389">
                  <c:v>32.169999999600002</c:v>
                </c:pt>
                <c:pt idx="1390">
                  <c:v>30.250000000800004</c:v>
                </c:pt>
                <c:pt idx="1391">
                  <c:v>27.640000000800001</c:v>
                </c:pt>
                <c:pt idx="1392">
                  <c:v>25.009999999199998</c:v>
                </c:pt>
                <c:pt idx="1393">
                  <c:v>25.009999999199998</c:v>
                </c:pt>
                <c:pt idx="1394">
                  <c:v>22.2699999996</c:v>
                </c:pt>
                <c:pt idx="1395">
                  <c:v>22.2699999996</c:v>
                </c:pt>
                <c:pt idx="1396">
                  <c:v>20.360000001600003</c:v>
                </c:pt>
                <c:pt idx="1397">
                  <c:v>19.050000001200001</c:v>
                </c:pt>
                <c:pt idx="1398">
                  <c:v>17.6600000016</c:v>
                </c:pt>
                <c:pt idx="1399">
                  <c:v>17.6600000016</c:v>
                </c:pt>
                <c:pt idx="1400">
                  <c:v>15.620000000399999</c:v>
                </c:pt>
                <c:pt idx="1401">
                  <c:v>12.7699999992</c:v>
                </c:pt>
                <c:pt idx="1402">
                  <c:v>12.7699999992</c:v>
                </c:pt>
                <c:pt idx="1403">
                  <c:v>9.0600000012000006</c:v>
                </c:pt>
                <c:pt idx="1404">
                  <c:v>5.8600000008000004</c:v>
                </c:pt>
                <c:pt idx="1405">
                  <c:v>2.8100000016000002</c:v>
                </c:pt>
                <c:pt idx="1406">
                  <c:v>2.8100000016000002</c:v>
                </c:pt>
                <c:pt idx="1407">
                  <c:v>0.60000000119999997</c:v>
                </c:pt>
                <c:pt idx="1408">
                  <c:v>0.60000000119999997</c:v>
                </c:pt>
                <c:pt idx="1409">
                  <c:v>0.21999999960000002</c:v>
                </c:pt>
                <c:pt idx="1410">
                  <c:v>0.21999999960000002</c:v>
                </c:pt>
                <c:pt idx="1411">
                  <c:v>2.2399999992000001</c:v>
                </c:pt>
                <c:pt idx="1412">
                  <c:v>2.2399999992000001</c:v>
                </c:pt>
                <c:pt idx="1413">
                  <c:v>6.9199999991999999</c:v>
                </c:pt>
                <c:pt idx="1414">
                  <c:v>6.9199999991999999</c:v>
                </c:pt>
                <c:pt idx="1415">
                  <c:v>11.220000001200001</c:v>
                </c:pt>
                <c:pt idx="1416">
                  <c:v>16.189999999200001</c:v>
                </c:pt>
                <c:pt idx="1417">
                  <c:v>20.25</c:v>
                </c:pt>
                <c:pt idx="1418">
                  <c:v>24.860000001600003</c:v>
                </c:pt>
                <c:pt idx="1419">
                  <c:v>24.860000001600003</c:v>
                </c:pt>
                <c:pt idx="1420">
                  <c:v>24.860000001600003</c:v>
                </c:pt>
                <c:pt idx="1421">
                  <c:v>34.229999998799997</c:v>
                </c:pt>
                <c:pt idx="1422">
                  <c:v>34.229999998799997</c:v>
                </c:pt>
                <c:pt idx="1423">
                  <c:v>38.059999992000002</c:v>
                </c:pt>
                <c:pt idx="1424">
                  <c:v>38.059999992000002</c:v>
                </c:pt>
                <c:pt idx="1425">
                  <c:v>41.060000016000004</c:v>
                </c:pt>
                <c:pt idx="1426">
                  <c:v>41.060000016000004</c:v>
                </c:pt>
                <c:pt idx="1427">
                  <c:v>43.700000004000003</c:v>
                </c:pt>
                <c:pt idx="1428">
                  <c:v>46.479999996000004</c:v>
                </c:pt>
                <c:pt idx="1429">
                  <c:v>48.110000004</c:v>
                </c:pt>
                <c:pt idx="1430">
                  <c:v>49.460000004000001</c:v>
                </c:pt>
                <c:pt idx="1431">
                  <c:v>50.389999992</c:v>
                </c:pt>
                <c:pt idx="1432">
                  <c:v>50.389999992</c:v>
                </c:pt>
                <c:pt idx="1433">
                  <c:v>51.059999988000001</c:v>
                </c:pt>
                <c:pt idx="1434">
                  <c:v>51.059999988000001</c:v>
                </c:pt>
                <c:pt idx="1435">
                  <c:v>51.869999987999996</c:v>
                </c:pt>
                <c:pt idx="1436">
                  <c:v>52.340000004000004</c:v>
                </c:pt>
                <c:pt idx="1437">
                  <c:v>52.660000008000004</c:v>
                </c:pt>
                <c:pt idx="1438">
                  <c:v>52.279999992</c:v>
                </c:pt>
                <c:pt idx="1439">
                  <c:v>51.710000004000001</c:v>
                </c:pt>
                <c:pt idx="1440">
                  <c:v>51.710000004000001</c:v>
                </c:pt>
                <c:pt idx="1441">
                  <c:v>51.710000004000001</c:v>
                </c:pt>
                <c:pt idx="1442">
                  <c:v>51.059999988000001</c:v>
                </c:pt>
                <c:pt idx="1443">
                  <c:v>49.489999992000001</c:v>
                </c:pt>
                <c:pt idx="1444">
                  <c:v>47.319999983999999</c:v>
                </c:pt>
                <c:pt idx="1445">
                  <c:v>47.319999983999999</c:v>
                </c:pt>
                <c:pt idx="1446">
                  <c:v>47.319999983999999</c:v>
                </c:pt>
                <c:pt idx="1447">
                  <c:v>45.140000004000001</c:v>
                </c:pt>
                <c:pt idx="1448">
                  <c:v>45.140000004000001</c:v>
                </c:pt>
                <c:pt idx="1449">
                  <c:v>43.419999996000001</c:v>
                </c:pt>
                <c:pt idx="1450">
                  <c:v>43.419999996000001</c:v>
                </c:pt>
                <c:pt idx="1451">
                  <c:v>38.509999992000004</c:v>
                </c:pt>
                <c:pt idx="1452">
                  <c:v>38.509999992000004</c:v>
                </c:pt>
                <c:pt idx="1453">
                  <c:v>35.970000001200006</c:v>
                </c:pt>
                <c:pt idx="1454">
                  <c:v>34.859999998799999</c:v>
                </c:pt>
                <c:pt idx="1455">
                  <c:v>33.760000000800005</c:v>
                </c:pt>
                <c:pt idx="1456">
                  <c:v>31.970000001599999</c:v>
                </c:pt>
                <c:pt idx="1457">
                  <c:v>29.869999999200001</c:v>
                </c:pt>
                <c:pt idx="1458">
                  <c:v>26.390000001600001</c:v>
                </c:pt>
                <c:pt idx="1459">
                  <c:v>26.390000001600001</c:v>
                </c:pt>
                <c:pt idx="1460">
                  <c:v>20.630000001599999</c:v>
                </c:pt>
                <c:pt idx="1461">
                  <c:v>20.2299999984</c:v>
                </c:pt>
                <c:pt idx="1462">
                  <c:v>20.2299999984</c:v>
                </c:pt>
                <c:pt idx="1463">
                  <c:v>20.170000000800002</c:v>
                </c:pt>
                <c:pt idx="1464">
                  <c:v>20.239999999200002</c:v>
                </c:pt>
                <c:pt idx="1465">
                  <c:v>20.329999999200002</c:v>
                </c:pt>
                <c:pt idx="1466">
                  <c:v>20.599999999200001</c:v>
                </c:pt>
                <c:pt idx="1467">
                  <c:v>20.599999999200001</c:v>
                </c:pt>
                <c:pt idx="1468">
                  <c:v>20.710000000799997</c:v>
                </c:pt>
                <c:pt idx="1469">
                  <c:v>20.779999999200001</c:v>
                </c:pt>
                <c:pt idx="1470">
                  <c:v>20.779999999200001</c:v>
                </c:pt>
                <c:pt idx="1471">
                  <c:v>20.810000001600002</c:v>
                </c:pt>
                <c:pt idx="1472">
                  <c:v>20.720000001599999</c:v>
                </c:pt>
                <c:pt idx="1473">
                  <c:v>20.61</c:v>
                </c:pt>
                <c:pt idx="1474">
                  <c:v>20.450000001599999</c:v>
                </c:pt>
                <c:pt idx="1475">
                  <c:v>20.149999999200002</c:v>
                </c:pt>
                <c:pt idx="1476">
                  <c:v>19.89</c:v>
                </c:pt>
                <c:pt idx="1477">
                  <c:v>19.609999999199999</c:v>
                </c:pt>
                <c:pt idx="1478">
                  <c:v>19.2700000008</c:v>
                </c:pt>
                <c:pt idx="1479">
                  <c:v>19.2700000008</c:v>
                </c:pt>
                <c:pt idx="1480">
                  <c:v>18.8399999988</c:v>
                </c:pt>
                <c:pt idx="1481">
                  <c:v>18.5900000004</c:v>
                </c:pt>
                <c:pt idx="1482">
                  <c:v>18.500000000400004</c:v>
                </c:pt>
                <c:pt idx="1483">
                  <c:v>18.5699999988</c:v>
                </c:pt>
                <c:pt idx="1484">
                  <c:v>18.510000001200002</c:v>
                </c:pt>
                <c:pt idx="1485">
                  <c:v>18.299999998800001</c:v>
                </c:pt>
                <c:pt idx="1486">
                  <c:v>18.060000001199999</c:v>
                </c:pt>
                <c:pt idx="1487">
                  <c:v>18.060000001199999</c:v>
                </c:pt>
                <c:pt idx="1488">
                  <c:v>17.859999999599999</c:v>
                </c:pt>
                <c:pt idx="1489">
                  <c:v>17.619999998400001</c:v>
                </c:pt>
                <c:pt idx="1490">
                  <c:v>16.800000001200001</c:v>
                </c:pt>
                <c:pt idx="1491">
                  <c:v>16.800000001200001</c:v>
                </c:pt>
                <c:pt idx="1492">
                  <c:v>15.6700000008</c:v>
                </c:pt>
                <c:pt idx="1493">
                  <c:v>15.6700000008</c:v>
                </c:pt>
                <c:pt idx="1494">
                  <c:v>16.350000001200002</c:v>
                </c:pt>
                <c:pt idx="1495">
                  <c:v>16.989999998399998</c:v>
                </c:pt>
                <c:pt idx="1496">
                  <c:v>16.989999998399998</c:v>
                </c:pt>
                <c:pt idx="1497">
                  <c:v>17.73</c:v>
                </c:pt>
                <c:pt idx="1498">
                  <c:v>18.2499999984</c:v>
                </c:pt>
                <c:pt idx="1499">
                  <c:v>18.2499999984</c:v>
                </c:pt>
                <c:pt idx="1500">
                  <c:v>19.3200000012</c:v>
                </c:pt>
                <c:pt idx="1501">
                  <c:v>19.829999998800002</c:v>
                </c:pt>
                <c:pt idx="1502">
                  <c:v>19.829999998800002</c:v>
                </c:pt>
                <c:pt idx="1503">
                  <c:v>20.25</c:v>
                </c:pt>
                <c:pt idx="1504">
                  <c:v>20.25</c:v>
                </c:pt>
                <c:pt idx="1505">
                  <c:v>20.6399999988</c:v>
                </c:pt>
                <c:pt idx="1506">
                  <c:v>20.6399999988</c:v>
                </c:pt>
                <c:pt idx="1507">
                  <c:v>20.9300000004</c:v>
                </c:pt>
                <c:pt idx="1508">
                  <c:v>20.9300000004</c:v>
                </c:pt>
                <c:pt idx="1509">
                  <c:v>21.110000000399999</c:v>
                </c:pt>
                <c:pt idx="1510">
                  <c:v>21.110000000399999</c:v>
                </c:pt>
                <c:pt idx="1511">
                  <c:v>21.139999999200001</c:v>
                </c:pt>
                <c:pt idx="1512">
                  <c:v>20.7</c:v>
                </c:pt>
                <c:pt idx="1513">
                  <c:v>19.929999999600003</c:v>
                </c:pt>
                <c:pt idx="1514">
                  <c:v>18.8399999988</c:v>
                </c:pt>
                <c:pt idx="1515">
                  <c:v>18.0200000016</c:v>
                </c:pt>
                <c:pt idx="1516">
                  <c:v>17.5700000016</c:v>
                </c:pt>
                <c:pt idx="1517">
                  <c:v>17.5700000016</c:v>
                </c:pt>
                <c:pt idx="1518">
                  <c:v>17.5700000016</c:v>
                </c:pt>
                <c:pt idx="1519">
                  <c:v>16.980000001200001</c:v>
                </c:pt>
                <c:pt idx="1520">
                  <c:v>16.239999999600002</c:v>
                </c:pt>
                <c:pt idx="1521">
                  <c:v>14.950000000799999</c:v>
                </c:pt>
                <c:pt idx="1522">
                  <c:v>14.950000000799999</c:v>
                </c:pt>
                <c:pt idx="1523">
                  <c:v>14.609999998800001</c:v>
                </c:pt>
                <c:pt idx="1524">
                  <c:v>14.490000000000002</c:v>
                </c:pt>
                <c:pt idx="1525">
                  <c:v>14.370000001200001</c:v>
                </c:pt>
                <c:pt idx="1526">
                  <c:v>14.529999999600001</c:v>
                </c:pt>
                <c:pt idx="1527">
                  <c:v>14.960000001600001</c:v>
                </c:pt>
                <c:pt idx="1528">
                  <c:v>15.2700000012</c:v>
                </c:pt>
                <c:pt idx="1529">
                  <c:v>15.689999998800001</c:v>
                </c:pt>
                <c:pt idx="1530">
                  <c:v>15.6499999992</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7.7600000015999999</c:v>
                </c:pt>
                <c:pt idx="1750">
                  <c:v>11.289999999600001</c:v>
                </c:pt>
                <c:pt idx="1751">
                  <c:v>11.289999999600001</c:v>
                </c:pt>
                <c:pt idx="1752">
                  <c:v>14.299999999200001</c:v>
                </c:pt>
                <c:pt idx="1753">
                  <c:v>17.420000000399998</c:v>
                </c:pt>
                <c:pt idx="1754">
                  <c:v>17.420000000399998</c:v>
                </c:pt>
                <c:pt idx="1755">
                  <c:v>19.4100000012</c:v>
                </c:pt>
                <c:pt idx="1756">
                  <c:v>19.4100000012</c:v>
                </c:pt>
                <c:pt idx="1757">
                  <c:v>19.850000000400001</c:v>
                </c:pt>
                <c:pt idx="1758">
                  <c:v>19.850000000400001</c:v>
                </c:pt>
                <c:pt idx="1759">
                  <c:v>20.199999999599999</c:v>
                </c:pt>
                <c:pt idx="1760">
                  <c:v>20.199999999599999</c:v>
                </c:pt>
                <c:pt idx="1761">
                  <c:v>20.739999999600002</c:v>
                </c:pt>
                <c:pt idx="1762">
                  <c:v>20.829999999600002</c:v>
                </c:pt>
                <c:pt idx="1763">
                  <c:v>20.829999999600002</c:v>
                </c:pt>
                <c:pt idx="1764">
                  <c:v>20.760000001200002</c:v>
                </c:pt>
                <c:pt idx="1765">
                  <c:v>20.760000001200002</c:v>
                </c:pt>
                <c:pt idx="1766">
                  <c:v>19.929999999600003</c:v>
                </c:pt>
                <c:pt idx="1767">
                  <c:v>19.929999999600003</c:v>
                </c:pt>
                <c:pt idx="1768">
                  <c:v>18.2300000004</c:v>
                </c:pt>
                <c:pt idx="1769">
                  <c:v>18.2300000004</c:v>
                </c:pt>
                <c:pt idx="1770">
                  <c:v>14.590000000800002</c:v>
                </c:pt>
                <c:pt idx="1771">
                  <c:v>14.590000000800002</c:v>
                </c:pt>
                <c:pt idx="1772">
                  <c:v>13.799999998800001</c:v>
                </c:pt>
                <c:pt idx="1773">
                  <c:v>13.799999998800001</c:v>
                </c:pt>
                <c:pt idx="1774">
                  <c:v>13.759999999200001</c:v>
                </c:pt>
                <c:pt idx="1775">
                  <c:v>13.719999999600001</c:v>
                </c:pt>
                <c:pt idx="1776">
                  <c:v>13.68</c:v>
                </c:pt>
                <c:pt idx="1777">
                  <c:v>13.550000000400001</c:v>
                </c:pt>
                <c:pt idx="1778">
                  <c:v>13.550000000400001</c:v>
                </c:pt>
                <c:pt idx="1779">
                  <c:v>13.550000000400001</c:v>
                </c:pt>
                <c:pt idx="1780">
                  <c:v>14.569999999200002</c:v>
                </c:pt>
                <c:pt idx="1781">
                  <c:v>14.889999999600001</c:v>
                </c:pt>
                <c:pt idx="1782">
                  <c:v>14.640000001199999</c:v>
                </c:pt>
                <c:pt idx="1783">
                  <c:v>14.640000001199999</c:v>
                </c:pt>
                <c:pt idx="1784">
                  <c:v>14.550000001200001</c:v>
                </c:pt>
                <c:pt idx="1785">
                  <c:v>14.699999998799999</c:v>
                </c:pt>
                <c:pt idx="1786">
                  <c:v>14.699999998799999</c:v>
                </c:pt>
                <c:pt idx="1787">
                  <c:v>15.099999998400001</c:v>
                </c:pt>
                <c:pt idx="1788">
                  <c:v>15.099999998400001</c:v>
                </c:pt>
                <c:pt idx="1789">
                  <c:v>15.099999998400001</c:v>
                </c:pt>
                <c:pt idx="1790">
                  <c:v>15.350000000400001</c:v>
                </c:pt>
                <c:pt idx="1791">
                  <c:v>15.310000000799999</c:v>
                </c:pt>
                <c:pt idx="1792">
                  <c:v>15.249999999599998</c:v>
                </c:pt>
                <c:pt idx="1793">
                  <c:v>15.249999999599998</c:v>
                </c:pt>
                <c:pt idx="1794">
                  <c:v>15.0599999988</c:v>
                </c:pt>
                <c:pt idx="1795">
                  <c:v>15.0599999988</c:v>
                </c:pt>
                <c:pt idx="1796">
                  <c:v>14.960000001600001</c:v>
                </c:pt>
                <c:pt idx="1797">
                  <c:v>15.000000001200002</c:v>
                </c:pt>
                <c:pt idx="1798">
                  <c:v>14.730000001200001</c:v>
                </c:pt>
                <c:pt idx="1799">
                  <c:v>14.730000001200001</c:v>
                </c:pt>
                <c:pt idx="1800">
                  <c:v>14.730000001200001</c:v>
                </c:pt>
                <c:pt idx="1801">
                  <c:v>13.849999999200001</c:v>
                </c:pt>
                <c:pt idx="1802">
                  <c:v>13.3899999984</c:v>
                </c:pt>
                <c:pt idx="1803">
                  <c:v>13.029999998400001</c:v>
                </c:pt>
                <c:pt idx="1804">
                  <c:v>12.3199999992</c:v>
                </c:pt>
                <c:pt idx="1805">
                  <c:v>11.220000001200001</c:v>
                </c:pt>
                <c:pt idx="1806">
                  <c:v>10.050000001199999</c:v>
                </c:pt>
                <c:pt idx="1807">
                  <c:v>10.050000001199999</c:v>
                </c:pt>
                <c:pt idx="1808">
                  <c:v>6.5499999983999997</c:v>
                </c:pt>
                <c:pt idx="1809">
                  <c:v>4.3999999992000003</c:v>
                </c:pt>
                <c:pt idx="1810">
                  <c:v>4.3999999992000003</c:v>
                </c:pt>
                <c:pt idx="1811">
                  <c:v>1.9299999995999999</c:v>
                </c:pt>
                <c:pt idx="1812">
                  <c:v>0.88999999919999995</c:v>
                </c:pt>
                <c:pt idx="1813">
                  <c:v>0.21999999960000002</c:v>
                </c:pt>
                <c:pt idx="1814">
                  <c:v>0.21999999960000002</c:v>
                </c:pt>
                <c:pt idx="1815">
                  <c:v>0.1299999996</c:v>
                </c:pt>
                <c:pt idx="1816">
                  <c:v>0.1299999996</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numCache>
            </c:numRef>
          </c:yVal>
          <c:smooth val="0"/>
          <c:extLst xmlns:c15="http://schemas.microsoft.com/office/drawing/2012/chart">
            <c:ext xmlns:c16="http://schemas.microsoft.com/office/drawing/2014/chart" uri="{C3380CC4-5D6E-409C-BE32-E72D297353CC}">
              <c16:uniqueId val="{00000000-7D94-44AA-8534-CCDC26C118F5}"/>
            </c:ext>
          </c:extLst>
        </c:ser>
        <c:ser>
          <c:idx val="1"/>
          <c:order val="1"/>
          <c:tx>
            <c:v>Line Speed</c:v>
          </c:tx>
          <c:spPr>
            <a:ln w="22225" cap="rnd">
              <a:solidFill>
                <a:srgbClr val="00B0F0"/>
              </a:solidFill>
              <a:prstDash val="dash"/>
              <a:round/>
            </a:ln>
            <a:effectLst>
              <a:outerShdw blurRad="57150" dist="19050" dir="5400000" algn="ctr" rotWithShape="0">
                <a:srgbClr val="000000">
                  <a:alpha val="63000"/>
                </a:srgbClr>
              </a:outerShdw>
            </a:effectLst>
          </c:spPr>
          <c:marker>
            <c:symbol val="none"/>
          </c:marker>
          <c:dPt>
            <c:idx val="54"/>
            <c:marker>
              <c:symbol val="none"/>
            </c:marker>
            <c:bubble3D val="0"/>
            <c:extLst>
              <c:ext xmlns:c16="http://schemas.microsoft.com/office/drawing/2014/chart" uri="{C3380CC4-5D6E-409C-BE32-E72D297353CC}">
                <c16:uniqueId val="{00000001-7D94-44AA-8534-CCDC26C118F5}"/>
              </c:ext>
            </c:extLst>
          </c:dPt>
          <c:dLbls>
            <c:dLbl>
              <c:idx val="0"/>
              <c:delete val="1"/>
              <c:extLst>
                <c:ext xmlns:c15="http://schemas.microsoft.com/office/drawing/2012/chart" uri="{CE6537A1-D6FC-4f65-9D91-7224C49458BB}"/>
                <c:ext xmlns:c16="http://schemas.microsoft.com/office/drawing/2014/chart" uri="{C3380CC4-5D6E-409C-BE32-E72D297353CC}">
                  <c16:uniqueId val="{00000002-7D94-44AA-8534-CCDC26C118F5}"/>
                </c:ext>
              </c:extLst>
            </c:dLbl>
            <c:dLbl>
              <c:idx val="1"/>
              <c:delete val="1"/>
              <c:extLst>
                <c:ext xmlns:c15="http://schemas.microsoft.com/office/drawing/2012/chart" uri="{CE6537A1-D6FC-4f65-9D91-7224C49458BB}"/>
                <c:ext xmlns:c16="http://schemas.microsoft.com/office/drawing/2014/chart" uri="{C3380CC4-5D6E-409C-BE32-E72D297353CC}">
                  <c16:uniqueId val="{00000003-7D94-44AA-8534-CCDC26C118F5}"/>
                </c:ext>
              </c:extLst>
            </c:dLbl>
            <c:dLbl>
              <c:idx val="2"/>
              <c:layout>
                <c:manualLayout>
                  <c:x val="-3.7487625197929458E-3"/>
                  <c:y val="-1.6320560549126405E-2"/>
                </c:manualLayout>
              </c:layout>
              <c:tx>
                <c:rich>
                  <a:bodyPr/>
                  <a:lstStyle/>
                  <a:p>
                    <a:r>
                      <a:rPr lang="en-US" sz="2000">
                        <a:solidFill>
                          <a:schemeClr val="accent2"/>
                        </a:solidFill>
                      </a:rPr>
                      <a:t>I27</a:t>
                    </a:r>
                    <a:endParaRPr lang="en-US" sz="6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D94-44AA-8534-CCDC26C118F5}"/>
                </c:ext>
              </c:extLst>
            </c:dLbl>
            <c:dLbl>
              <c:idx val="3"/>
              <c:delete val="1"/>
              <c:extLst>
                <c:ext xmlns:c15="http://schemas.microsoft.com/office/drawing/2012/chart" uri="{CE6537A1-D6FC-4f65-9D91-7224C49458BB}"/>
                <c:ext xmlns:c16="http://schemas.microsoft.com/office/drawing/2014/chart" uri="{C3380CC4-5D6E-409C-BE32-E72D297353CC}">
                  <c16:uniqueId val="{00000005-7D94-44AA-8534-CCDC26C118F5}"/>
                </c:ext>
              </c:extLst>
            </c:dLbl>
            <c:dLbl>
              <c:idx val="4"/>
              <c:delete val="1"/>
              <c:extLst>
                <c:ext xmlns:c15="http://schemas.microsoft.com/office/drawing/2012/chart" uri="{CE6537A1-D6FC-4f65-9D91-7224C49458BB}"/>
                <c:ext xmlns:c16="http://schemas.microsoft.com/office/drawing/2014/chart" uri="{C3380CC4-5D6E-409C-BE32-E72D297353CC}">
                  <c16:uniqueId val="{00000006-7D94-44AA-8534-CCDC26C118F5}"/>
                </c:ext>
              </c:extLst>
            </c:dLbl>
            <c:dLbl>
              <c:idx val="5"/>
              <c:delete val="1"/>
              <c:extLst>
                <c:ext xmlns:c15="http://schemas.microsoft.com/office/drawing/2012/chart" uri="{CE6537A1-D6FC-4f65-9D91-7224C49458BB}"/>
                <c:ext xmlns:c16="http://schemas.microsoft.com/office/drawing/2014/chart" uri="{C3380CC4-5D6E-409C-BE32-E72D297353CC}">
                  <c16:uniqueId val="{00000007-7D94-44AA-8534-CCDC26C118F5}"/>
                </c:ext>
              </c:extLst>
            </c:dLbl>
            <c:dLbl>
              <c:idx val="6"/>
              <c:layout>
                <c:manualLayout>
                  <c:x val="-7.1795162295360563E-3"/>
                  <c:y val="-1.2782303140899957E-2"/>
                </c:manualLayout>
              </c:layout>
              <c:tx>
                <c:rich>
                  <a:bodyPr/>
                  <a:lstStyle/>
                  <a:p>
                    <a:r>
                      <a:rPr lang="en-US" sz="2000">
                        <a:solidFill>
                          <a:schemeClr val="accent2"/>
                        </a:solidFill>
                      </a:rPr>
                      <a:t>I26</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7D94-44AA-8534-CCDC26C118F5}"/>
                </c:ext>
              </c:extLst>
            </c:dLbl>
            <c:dLbl>
              <c:idx val="7"/>
              <c:delete val="1"/>
              <c:extLst>
                <c:ext xmlns:c15="http://schemas.microsoft.com/office/drawing/2012/chart" uri="{CE6537A1-D6FC-4f65-9D91-7224C49458BB}"/>
                <c:ext xmlns:c16="http://schemas.microsoft.com/office/drawing/2014/chart" uri="{C3380CC4-5D6E-409C-BE32-E72D297353CC}">
                  <c16:uniqueId val="{00000009-7D94-44AA-8534-CCDC26C118F5}"/>
                </c:ext>
              </c:extLst>
            </c:dLbl>
            <c:dLbl>
              <c:idx val="8"/>
              <c:delete val="1"/>
              <c:extLst>
                <c:ext xmlns:c15="http://schemas.microsoft.com/office/drawing/2012/chart" uri="{CE6537A1-D6FC-4f65-9D91-7224C49458BB}"/>
                <c:ext xmlns:c16="http://schemas.microsoft.com/office/drawing/2014/chart" uri="{C3380CC4-5D6E-409C-BE32-E72D297353CC}">
                  <c16:uniqueId val="{0000000A-7D94-44AA-8534-CCDC26C118F5}"/>
                </c:ext>
              </c:extLst>
            </c:dLbl>
            <c:dLbl>
              <c:idx val="9"/>
              <c:delete val="1"/>
              <c:extLst>
                <c:ext xmlns:c15="http://schemas.microsoft.com/office/drawing/2012/chart" uri="{CE6537A1-D6FC-4f65-9D91-7224C49458BB}"/>
                <c:ext xmlns:c16="http://schemas.microsoft.com/office/drawing/2014/chart" uri="{C3380CC4-5D6E-409C-BE32-E72D297353CC}">
                  <c16:uniqueId val="{0000000B-7D94-44AA-8534-CCDC26C118F5}"/>
                </c:ext>
              </c:extLst>
            </c:dLbl>
            <c:dLbl>
              <c:idx val="10"/>
              <c:delete val="1"/>
              <c:extLst>
                <c:ext xmlns:c15="http://schemas.microsoft.com/office/drawing/2012/chart" uri="{CE6537A1-D6FC-4f65-9D91-7224C49458BB}"/>
                <c:ext xmlns:c16="http://schemas.microsoft.com/office/drawing/2014/chart" uri="{C3380CC4-5D6E-409C-BE32-E72D297353CC}">
                  <c16:uniqueId val="{0000000C-7D94-44AA-8534-CCDC26C118F5}"/>
                </c:ext>
              </c:extLst>
            </c:dLbl>
            <c:dLbl>
              <c:idx val="11"/>
              <c:layout>
                <c:manualLayout>
                  <c:x val="-8.7790285207154861E-5"/>
                  <c:y val="-1.6320560549126405E-2"/>
                </c:manualLayout>
              </c:layout>
              <c:tx>
                <c:rich>
                  <a:bodyPr/>
                  <a:lstStyle/>
                  <a:p>
                    <a:r>
                      <a:rPr lang="en-US" sz="2000">
                        <a:solidFill>
                          <a:schemeClr val="accent2"/>
                        </a:solidFill>
                      </a:rPr>
                      <a:t>I25</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7D94-44AA-8534-CCDC26C118F5}"/>
                </c:ext>
              </c:extLst>
            </c:dLbl>
            <c:dLbl>
              <c:idx val="12"/>
              <c:delete val="1"/>
              <c:extLst>
                <c:ext xmlns:c15="http://schemas.microsoft.com/office/drawing/2012/chart" uri="{CE6537A1-D6FC-4f65-9D91-7224C49458BB}"/>
                <c:ext xmlns:c16="http://schemas.microsoft.com/office/drawing/2014/chart" uri="{C3380CC4-5D6E-409C-BE32-E72D297353CC}">
                  <c16:uniqueId val="{0000000E-7D94-44AA-8534-CCDC26C118F5}"/>
                </c:ext>
              </c:extLst>
            </c:dLbl>
            <c:dLbl>
              <c:idx val="13"/>
              <c:delete val="1"/>
              <c:extLst>
                <c:ext xmlns:c15="http://schemas.microsoft.com/office/drawing/2012/chart" uri="{CE6537A1-D6FC-4f65-9D91-7224C49458BB}"/>
                <c:ext xmlns:c16="http://schemas.microsoft.com/office/drawing/2014/chart" uri="{C3380CC4-5D6E-409C-BE32-E72D297353CC}">
                  <c16:uniqueId val="{0000000F-7D94-44AA-8534-CCDC26C118F5}"/>
                </c:ext>
              </c:extLst>
            </c:dLbl>
            <c:dLbl>
              <c:idx val="14"/>
              <c:delete val="1"/>
              <c:extLst>
                <c:ext xmlns:c15="http://schemas.microsoft.com/office/drawing/2012/chart" uri="{CE6537A1-D6FC-4f65-9D91-7224C49458BB}"/>
                <c:ext xmlns:c16="http://schemas.microsoft.com/office/drawing/2014/chart" uri="{C3380CC4-5D6E-409C-BE32-E72D297353CC}">
                  <c16:uniqueId val="{00000010-7D94-44AA-8534-CCDC26C118F5}"/>
                </c:ext>
              </c:extLst>
            </c:dLbl>
            <c:dLbl>
              <c:idx val="15"/>
              <c:delete val="1"/>
              <c:extLst>
                <c:ext xmlns:c15="http://schemas.microsoft.com/office/drawing/2012/chart" uri="{CE6537A1-D6FC-4f65-9D91-7224C49458BB}"/>
                <c:ext xmlns:c16="http://schemas.microsoft.com/office/drawing/2014/chart" uri="{C3380CC4-5D6E-409C-BE32-E72D297353CC}">
                  <c16:uniqueId val="{00000011-7D94-44AA-8534-CCDC26C118F5}"/>
                </c:ext>
              </c:extLst>
            </c:dLbl>
            <c:dLbl>
              <c:idx val="16"/>
              <c:delete val="1"/>
              <c:extLst>
                <c:ext xmlns:c15="http://schemas.microsoft.com/office/drawing/2012/chart" uri="{CE6537A1-D6FC-4f65-9D91-7224C49458BB}"/>
                <c:ext xmlns:c16="http://schemas.microsoft.com/office/drawing/2014/chart" uri="{C3380CC4-5D6E-409C-BE32-E72D297353CC}">
                  <c16:uniqueId val="{00000012-7D94-44AA-8534-CCDC26C118F5}"/>
                </c:ext>
              </c:extLst>
            </c:dLbl>
            <c:dLbl>
              <c:idx val="17"/>
              <c:delete val="1"/>
              <c:extLst>
                <c:ext xmlns:c15="http://schemas.microsoft.com/office/drawing/2012/chart" uri="{CE6537A1-D6FC-4f65-9D91-7224C49458BB}"/>
                <c:ext xmlns:c16="http://schemas.microsoft.com/office/drawing/2014/chart" uri="{C3380CC4-5D6E-409C-BE32-E72D297353CC}">
                  <c16:uniqueId val="{00000013-7D94-44AA-8534-CCDC26C118F5}"/>
                </c:ext>
              </c:extLst>
            </c:dLbl>
            <c:dLbl>
              <c:idx val="18"/>
              <c:layout>
                <c:manualLayout>
                  <c:x val="-2.989954493098447E-3"/>
                  <c:y val="-1.4586396514677151E-2"/>
                </c:manualLayout>
              </c:layout>
              <c:tx>
                <c:rich>
                  <a:bodyPr/>
                  <a:lstStyle/>
                  <a:p>
                    <a:r>
                      <a:rPr lang="en-US" sz="2000">
                        <a:solidFill>
                          <a:schemeClr val="accent2"/>
                        </a:solidFill>
                      </a:rPr>
                      <a:t>I24</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7D94-44AA-8534-CCDC26C118F5}"/>
                </c:ext>
              </c:extLst>
            </c:dLbl>
            <c:dLbl>
              <c:idx val="19"/>
              <c:delete val="1"/>
              <c:extLst>
                <c:ext xmlns:c15="http://schemas.microsoft.com/office/drawing/2012/chart" uri="{CE6537A1-D6FC-4f65-9D91-7224C49458BB}"/>
                <c:ext xmlns:c16="http://schemas.microsoft.com/office/drawing/2014/chart" uri="{C3380CC4-5D6E-409C-BE32-E72D297353CC}">
                  <c16:uniqueId val="{00000015-7D94-44AA-8534-CCDC26C118F5}"/>
                </c:ext>
              </c:extLst>
            </c:dLbl>
            <c:dLbl>
              <c:idx val="20"/>
              <c:delete val="1"/>
              <c:extLst>
                <c:ext xmlns:c15="http://schemas.microsoft.com/office/drawing/2012/chart" uri="{CE6537A1-D6FC-4f65-9D91-7224C49458BB}"/>
                <c:ext xmlns:c16="http://schemas.microsoft.com/office/drawing/2014/chart" uri="{C3380CC4-5D6E-409C-BE32-E72D297353CC}">
                  <c16:uniqueId val="{00000016-7D94-44AA-8534-CCDC26C118F5}"/>
                </c:ext>
              </c:extLst>
            </c:dLbl>
            <c:dLbl>
              <c:idx val="21"/>
              <c:delete val="1"/>
              <c:extLst>
                <c:ext xmlns:c15="http://schemas.microsoft.com/office/drawing/2012/chart" uri="{CE6537A1-D6FC-4f65-9D91-7224C49458BB}"/>
                <c:ext xmlns:c16="http://schemas.microsoft.com/office/drawing/2014/chart" uri="{C3380CC4-5D6E-409C-BE32-E72D297353CC}">
                  <c16:uniqueId val="{00000017-7D94-44AA-8534-CCDC26C118F5}"/>
                </c:ext>
              </c:extLst>
            </c:dLbl>
            <c:dLbl>
              <c:idx val="22"/>
              <c:delete val="1"/>
              <c:extLst>
                <c:ext xmlns:c15="http://schemas.microsoft.com/office/drawing/2012/chart" uri="{CE6537A1-D6FC-4f65-9D91-7224C49458BB}"/>
                <c:ext xmlns:c16="http://schemas.microsoft.com/office/drawing/2014/chart" uri="{C3380CC4-5D6E-409C-BE32-E72D297353CC}">
                  <c16:uniqueId val="{00000018-7D94-44AA-8534-CCDC26C118F5}"/>
                </c:ext>
              </c:extLst>
            </c:dLbl>
            <c:dLbl>
              <c:idx val="23"/>
              <c:delete val="1"/>
              <c:extLst>
                <c:ext xmlns:c15="http://schemas.microsoft.com/office/drawing/2012/chart" uri="{CE6537A1-D6FC-4f65-9D91-7224C49458BB}"/>
                <c:ext xmlns:c16="http://schemas.microsoft.com/office/drawing/2014/chart" uri="{C3380CC4-5D6E-409C-BE32-E72D297353CC}">
                  <c16:uniqueId val="{00000019-7D94-44AA-8534-CCDC26C118F5}"/>
                </c:ext>
              </c:extLst>
            </c:dLbl>
            <c:dLbl>
              <c:idx val="24"/>
              <c:delete val="1"/>
              <c:extLst>
                <c:ext xmlns:c15="http://schemas.microsoft.com/office/drawing/2012/chart" uri="{CE6537A1-D6FC-4f65-9D91-7224C49458BB}"/>
                <c:ext xmlns:c16="http://schemas.microsoft.com/office/drawing/2014/chart" uri="{C3380CC4-5D6E-409C-BE32-E72D297353CC}">
                  <c16:uniqueId val="{0000001A-7D94-44AA-8534-CCDC26C118F5}"/>
                </c:ext>
              </c:extLst>
            </c:dLbl>
            <c:dLbl>
              <c:idx val="25"/>
              <c:delete val="1"/>
              <c:extLst>
                <c:ext xmlns:c15="http://schemas.microsoft.com/office/drawing/2012/chart" uri="{CE6537A1-D6FC-4f65-9D91-7224C49458BB}"/>
                <c:ext xmlns:c16="http://schemas.microsoft.com/office/drawing/2014/chart" uri="{C3380CC4-5D6E-409C-BE32-E72D297353CC}">
                  <c16:uniqueId val="{0000001B-7D94-44AA-8534-CCDC26C118F5}"/>
                </c:ext>
              </c:extLst>
            </c:dLbl>
            <c:dLbl>
              <c:idx val="26"/>
              <c:layout>
                <c:manualLayout>
                  <c:x val="-3.4205706301100852E-3"/>
                  <c:y val="-1.5435996197069793E-2"/>
                </c:manualLayout>
              </c:layout>
              <c:tx>
                <c:rich>
                  <a:bodyPr/>
                  <a:lstStyle/>
                  <a:p>
                    <a:r>
                      <a:rPr lang="en-US" sz="2000">
                        <a:solidFill>
                          <a:schemeClr val="accent2"/>
                        </a:solidFill>
                      </a:rPr>
                      <a:t>I23</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7D94-44AA-8534-CCDC26C118F5}"/>
                </c:ext>
              </c:extLst>
            </c:dLbl>
            <c:dLbl>
              <c:idx val="27"/>
              <c:delete val="1"/>
              <c:extLst>
                <c:ext xmlns:c15="http://schemas.microsoft.com/office/drawing/2012/chart" uri="{CE6537A1-D6FC-4f65-9D91-7224C49458BB}"/>
                <c:ext xmlns:c16="http://schemas.microsoft.com/office/drawing/2014/chart" uri="{C3380CC4-5D6E-409C-BE32-E72D297353CC}">
                  <c16:uniqueId val="{0000001D-7D94-44AA-8534-CCDC26C118F5}"/>
                </c:ext>
              </c:extLst>
            </c:dLbl>
            <c:dLbl>
              <c:idx val="28"/>
              <c:delete val="1"/>
              <c:extLst>
                <c:ext xmlns:c15="http://schemas.microsoft.com/office/drawing/2012/chart" uri="{CE6537A1-D6FC-4f65-9D91-7224C49458BB}"/>
                <c:ext xmlns:c16="http://schemas.microsoft.com/office/drawing/2014/chart" uri="{C3380CC4-5D6E-409C-BE32-E72D297353CC}">
                  <c16:uniqueId val="{0000001E-7D94-44AA-8534-CCDC26C118F5}"/>
                </c:ext>
              </c:extLst>
            </c:dLbl>
            <c:dLbl>
              <c:idx val="29"/>
              <c:delete val="1"/>
              <c:extLst>
                <c:ext xmlns:c15="http://schemas.microsoft.com/office/drawing/2012/chart" uri="{CE6537A1-D6FC-4f65-9D91-7224C49458BB}"/>
                <c:ext xmlns:c16="http://schemas.microsoft.com/office/drawing/2014/chart" uri="{C3380CC4-5D6E-409C-BE32-E72D297353CC}">
                  <c16:uniqueId val="{0000001F-7D94-44AA-8534-CCDC26C118F5}"/>
                </c:ext>
              </c:extLst>
            </c:dLbl>
            <c:dLbl>
              <c:idx val="30"/>
              <c:delete val="1"/>
              <c:extLst>
                <c:ext xmlns:c15="http://schemas.microsoft.com/office/drawing/2012/chart" uri="{CE6537A1-D6FC-4f65-9D91-7224C49458BB}"/>
                <c:ext xmlns:c16="http://schemas.microsoft.com/office/drawing/2014/chart" uri="{C3380CC4-5D6E-409C-BE32-E72D297353CC}">
                  <c16:uniqueId val="{00000020-7D94-44AA-8534-CCDC26C118F5}"/>
                </c:ext>
              </c:extLst>
            </c:dLbl>
            <c:dLbl>
              <c:idx val="31"/>
              <c:delete val="1"/>
              <c:extLst>
                <c:ext xmlns:c15="http://schemas.microsoft.com/office/drawing/2012/chart" uri="{CE6537A1-D6FC-4f65-9D91-7224C49458BB}"/>
                <c:ext xmlns:c16="http://schemas.microsoft.com/office/drawing/2014/chart" uri="{C3380CC4-5D6E-409C-BE32-E72D297353CC}">
                  <c16:uniqueId val="{00000021-7D94-44AA-8534-CCDC26C118F5}"/>
                </c:ext>
              </c:extLst>
            </c:dLbl>
            <c:dLbl>
              <c:idx val="32"/>
              <c:delete val="1"/>
              <c:extLst>
                <c:ext xmlns:c15="http://schemas.microsoft.com/office/drawing/2012/chart" uri="{CE6537A1-D6FC-4f65-9D91-7224C49458BB}"/>
                <c:ext xmlns:c16="http://schemas.microsoft.com/office/drawing/2014/chart" uri="{C3380CC4-5D6E-409C-BE32-E72D297353CC}">
                  <c16:uniqueId val="{00000022-7D94-44AA-8534-CCDC26C118F5}"/>
                </c:ext>
              </c:extLst>
            </c:dLbl>
            <c:dLbl>
              <c:idx val="33"/>
              <c:delete val="1"/>
              <c:extLst>
                <c:ext xmlns:c15="http://schemas.microsoft.com/office/drawing/2012/chart" uri="{CE6537A1-D6FC-4f65-9D91-7224C49458BB}"/>
                <c:ext xmlns:c16="http://schemas.microsoft.com/office/drawing/2014/chart" uri="{C3380CC4-5D6E-409C-BE32-E72D297353CC}">
                  <c16:uniqueId val="{00000023-7D94-44AA-8534-CCDC26C118F5}"/>
                </c:ext>
              </c:extLst>
            </c:dLbl>
            <c:dLbl>
              <c:idx val="34"/>
              <c:layout>
                <c:manualLayout>
                  <c:x val="-2.6407085804922119E-3"/>
                  <c:y val="-1.4586396514677151E-2"/>
                </c:manualLayout>
              </c:layout>
              <c:tx>
                <c:rich>
                  <a:bodyPr/>
                  <a:lstStyle/>
                  <a:p>
                    <a:r>
                      <a:rPr lang="en-US" sz="2000">
                        <a:solidFill>
                          <a:schemeClr val="accent2"/>
                        </a:solidFill>
                      </a:rPr>
                      <a:t>I22</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7D94-44AA-8534-CCDC26C118F5}"/>
                </c:ext>
              </c:extLst>
            </c:dLbl>
            <c:dLbl>
              <c:idx val="35"/>
              <c:delete val="1"/>
              <c:extLst>
                <c:ext xmlns:c15="http://schemas.microsoft.com/office/drawing/2012/chart" uri="{CE6537A1-D6FC-4f65-9D91-7224C49458BB}"/>
                <c:ext xmlns:c16="http://schemas.microsoft.com/office/drawing/2014/chart" uri="{C3380CC4-5D6E-409C-BE32-E72D297353CC}">
                  <c16:uniqueId val="{00000025-7D94-44AA-8534-CCDC26C118F5}"/>
                </c:ext>
              </c:extLst>
            </c:dLbl>
            <c:dLbl>
              <c:idx val="36"/>
              <c:delete val="1"/>
              <c:extLst>
                <c:ext xmlns:c15="http://schemas.microsoft.com/office/drawing/2012/chart" uri="{CE6537A1-D6FC-4f65-9D91-7224C49458BB}"/>
                <c:ext xmlns:c16="http://schemas.microsoft.com/office/drawing/2014/chart" uri="{C3380CC4-5D6E-409C-BE32-E72D297353CC}">
                  <c16:uniqueId val="{00000026-7D94-44AA-8534-CCDC26C118F5}"/>
                </c:ext>
              </c:extLst>
            </c:dLbl>
            <c:dLbl>
              <c:idx val="37"/>
              <c:delete val="1"/>
              <c:extLst>
                <c:ext xmlns:c15="http://schemas.microsoft.com/office/drawing/2012/chart" uri="{CE6537A1-D6FC-4f65-9D91-7224C49458BB}"/>
                <c:ext xmlns:c16="http://schemas.microsoft.com/office/drawing/2014/chart" uri="{C3380CC4-5D6E-409C-BE32-E72D297353CC}">
                  <c16:uniqueId val="{00000027-7D94-44AA-8534-CCDC26C118F5}"/>
                </c:ext>
              </c:extLst>
            </c:dLbl>
            <c:dLbl>
              <c:idx val="38"/>
              <c:delete val="1"/>
              <c:extLst>
                <c:ext xmlns:c15="http://schemas.microsoft.com/office/drawing/2012/chart" uri="{CE6537A1-D6FC-4f65-9D91-7224C49458BB}"/>
                <c:ext xmlns:c16="http://schemas.microsoft.com/office/drawing/2014/chart" uri="{C3380CC4-5D6E-409C-BE32-E72D297353CC}">
                  <c16:uniqueId val="{00000028-7D94-44AA-8534-CCDC26C118F5}"/>
                </c:ext>
              </c:extLst>
            </c:dLbl>
            <c:dLbl>
              <c:idx val="39"/>
              <c:delete val="1"/>
              <c:extLst>
                <c:ext xmlns:c15="http://schemas.microsoft.com/office/drawing/2012/chart" uri="{CE6537A1-D6FC-4f65-9D91-7224C49458BB}"/>
                <c:ext xmlns:c16="http://schemas.microsoft.com/office/drawing/2014/chart" uri="{C3380CC4-5D6E-409C-BE32-E72D297353CC}">
                  <c16:uniqueId val="{00000029-7D94-44AA-8534-CCDC26C118F5}"/>
                </c:ext>
              </c:extLst>
            </c:dLbl>
            <c:dLbl>
              <c:idx val="40"/>
              <c:delete val="1"/>
              <c:extLst>
                <c:ext xmlns:c15="http://schemas.microsoft.com/office/drawing/2012/chart" uri="{CE6537A1-D6FC-4f65-9D91-7224C49458BB}"/>
                <c:ext xmlns:c16="http://schemas.microsoft.com/office/drawing/2014/chart" uri="{C3380CC4-5D6E-409C-BE32-E72D297353CC}">
                  <c16:uniqueId val="{0000002A-7D94-44AA-8534-CCDC26C118F5}"/>
                </c:ext>
              </c:extLst>
            </c:dLbl>
            <c:dLbl>
              <c:idx val="41"/>
              <c:delete val="1"/>
              <c:extLst>
                <c:ext xmlns:c15="http://schemas.microsoft.com/office/drawing/2012/chart" uri="{CE6537A1-D6FC-4f65-9D91-7224C49458BB}"/>
                <c:ext xmlns:c16="http://schemas.microsoft.com/office/drawing/2014/chart" uri="{C3380CC4-5D6E-409C-BE32-E72D297353CC}">
                  <c16:uniqueId val="{0000002B-7D94-44AA-8534-CCDC26C118F5}"/>
                </c:ext>
              </c:extLst>
            </c:dLbl>
            <c:dLbl>
              <c:idx val="42"/>
              <c:delete val="1"/>
              <c:extLst>
                <c:ext xmlns:c15="http://schemas.microsoft.com/office/drawing/2012/chart" uri="{CE6537A1-D6FC-4f65-9D91-7224C49458BB}"/>
                <c:ext xmlns:c16="http://schemas.microsoft.com/office/drawing/2014/chart" uri="{C3380CC4-5D6E-409C-BE32-E72D297353CC}">
                  <c16:uniqueId val="{0000002C-7D94-44AA-8534-CCDC26C118F5}"/>
                </c:ext>
              </c:extLst>
            </c:dLbl>
            <c:dLbl>
              <c:idx val="43"/>
              <c:delete val="1"/>
              <c:extLst>
                <c:ext xmlns:c15="http://schemas.microsoft.com/office/drawing/2012/chart" uri="{CE6537A1-D6FC-4f65-9D91-7224C49458BB}"/>
                <c:ext xmlns:c16="http://schemas.microsoft.com/office/drawing/2014/chart" uri="{C3380CC4-5D6E-409C-BE32-E72D297353CC}">
                  <c16:uniqueId val="{0000002D-7D94-44AA-8534-CCDC26C118F5}"/>
                </c:ext>
              </c:extLst>
            </c:dLbl>
            <c:dLbl>
              <c:idx val="44"/>
              <c:layout>
                <c:manualLayout>
                  <c:x val="-2.5325386484962762E-3"/>
                  <c:y val="-1.7240089570846988E-2"/>
                </c:manualLayout>
              </c:layout>
              <c:tx>
                <c:rich>
                  <a:bodyPr/>
                  <a:lstStyle/>
                  <a:p>
                    <a:r>
                      <a:rPr lang="en-US" sz="2000">
                        <a:solidFill>
                          <a:schemeClr val="accent2"/>
                        </a:solidFill>
                      </a:rPr>
                      <a:t>I21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E-7D94-44AA-8534-CCDC26C118F5}"/>
                </c:ext>
              </c:extLst>
            </c:dLbl>
            <c:dLbl>
              <c:idx val="45"/>
              <c:delete val="1"/>
              <c:extLst>
                <c:ext xmlns:c15="http://schemas.microsoft.com/office/drawing/2012/chart" uri="{CE6537A1-D6FC-4f65-9D91-7224C49458BB}"/>
                <c:ext xmlns:c16="http://schemas.microsoft.com/office/drawing/2014/chart" uri="{C3380CC4-5D6E-409C-BE32-E72D297353CC}">
                  <c16:uniqueId val="{0000002F-7D94-44AA-8534-CCDC26C118F5}"/>
                </c:ext>
              </c:extLst>
            </c:dLbl>
            <c:dLbl>
              <c:idx val="46"/>
              <c:delete val="1"/>
              <c:extLst>
                <c:ext xmlns:c15="http://schemas.microsoft.com/office/drawing/2012/chart" uri="{CE6537A1-D6FC-4f65-9D91-7224C49458BB}"/>
                <c:ext xmlns:c16="http://schemas.microsoft.com/office/drawing/2014/chart" uri="{C3380CC4-5D6E-409C-BE32-E72D297353CC}">
                  <c16:uniqueId val="{00000030-7D94-44AA-8534-CCDC26C118F5}"/>
                </c:ext>
              </c:extLst>
            </c:dLbl>
            <c:dLbl>
              <c:idx val="47"/>
              <c:delete val="1"/>
              <c:extLst>
                <c:ext xmlns:c15="http://schemas.microsoft.com/office/drawing/2012/chart" uri="{CE6537A1-D6FC-4f65-9D91-7224C49458BB}"/>
                <c:ext xmlns:c16="http://schemas.microsoft.com/office/drawing/2014/chart" uri="{C3380CC4-5D6E-409C-BE32-E72D297353CC}">
                  <c16:uniqueId val="{00000031-7D94-44AA-8534-CCDC26C118F5}"/>
                </c:ext>
              </c:extLst>
            </c:dLbl>
            <c:dLbl>
              <c:idx val="48"/>
              <c:layout>
                <c:manualLayout>
                  <c:x val="-2.9780315230380876E-3"/>
                  <c:y val="-1.5999818908085404E-2"/>
                </c:manualLayout>
              </c:layout>
              <c:tx>
                <c:rich>
                  <a:bodyPr/>
                  <a:lstStyle/>
                  <a:p>
                    <a:r>
                      <a:rPr lang="en-US" sz="2000">
                        <a:solidFill>
                          <a:schemeClr val="accent2"/>
                        </a:solidFill>
                      </a:rPr>
                      <a:t>I19</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7D94-44AA-8534-CCDC26C118F5}"/>
                </c:ext>
              </c:extLst>
            </c:dLbl>
            <c:dLbl>
              <c:idx val="49"/>
              <c:delete val="1"/>
              <c:extLst>
                <c:ext xmlns:c15="http://schemas.microsoft.com/office/drawing/2012/chart" uri="{CE6537A1-D6FC-4f65-9D91-7224C49458BB}"/>
                <c:ext xmlns:c16="http://schemas.microsoft.com/office/drawing/2014/chart" uri="{C3380CC4-5D6E-409C-BE32-E72D297353CC}">
                  <c16:uniqueId val="{00000033-7D94-44AA-8534-CCDC26C118F5}"/>
                </c:ext>
              </c:extLst>
            </c:dLbl>
            <c:dLbl>
              <c:idx val="50"/>
              <c:delete val="1"/>
              <c:extLst>
                <c:ext xmlns:c15="http://schemas.microsoft.com/office/drawing/2012/chart" uri="{CE6537A1-D6FC-4f65-9D91-7224C49458BB}"/>
                <c:ext xmlns:c16="http://schemas.microsoft.com/office/drawing/2014/chart" uri="{C3380CC4-5D6E-409C-BE32-E72D297353CC}">
                  <c16:uniqueId val="{00000034-7D94-44AA-8534-CCDC26C118F5}"/>
                </c:ext>
              </c:extLst>
            </c:dLbl>
            <c:dLbl>
              <c:idx val="51"/>
              <c:delete val="1"/>
              <c:extLst>
                <c:ext xmlns:c15="http://schemas.microsoft.com/office/drawing/2012/chart" uri="{CE6537A1-D6FC-4f65-9D91-7224C49458BB}"/>
                <c:ext xmlns:c16="http://schemas.microsoft.com/office/drawing/2014/chart" uri="{C3380CC4-5D6E-409C-BE32-E72D297353CC}">
                  <c16:uniqueId val="{00000035-7D94-44AA-8534-CCDC26C118F5}"/>
                </c:ext>
              </c:extLst>
            </c:dLbl>
            <c:dLbl>
              <c:idx val="52"/>
              <c:delete val="1"/>
              <c:extLst>
                <c:ext xmlns:c15="http://schemas.microsoft.com/office/drawing/2012/chart" uri="{CE6537A1-D6FC-4f65-9D91-7224C49458BB}"/>
                <c:ext xmlns:c16="http://schemas.microsoft.com/office/drawing/2014/chart" uri="{C3380CC4-5D6E-409C-BE32-E72D297353CC}">
                  <c16:uniqueId val="{00000036-7D94-44AA-8534-CCDC26C118F5}"/>
                </c:ext>
              </c:extLst>
            </c:dLbl>
            <c:dLbl>
              <c:idx val="53"/>
              <c:delete val="1"/>
              <c:extLst>
                <c:ext xmlns:c15="http://schemas.microsoft.com/office/drawing/2012/chart" uri="{CE6537A1-D6FC-4f65-9D91-7224C49458BB}"/>
                <c:ext xmlns:c16="http://schemas.microsoft.com/office/drawing/2014/chart" uri="{C3380CC4-5D6E-409C-BE32-E72D297353CC}">
                  <c16:uniqueId val="{00000037-7D94-44AA-8534-CCDC26C118F5}"/>
                </c:ext>
              </c:extLst>
            </c:dLbl>
            <c:dLbl>
              <c:idx val="54"/>
              <c:layout>
                <c:manualLayout>
                  <c:x val="-3.6895050888423623E-3"/>
                  <c:y val="-1.6320560549126405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I18</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260808226309834E-3"/>
                      <c:h val="1.9028302576728991E-2"/>
                    </c:manualLayout>
                  </c15:layout>
                  <c15:showDataLabelsRange val="0"/>
                </c:ext>
                <c:ext xmlns:c16="http://schemas.microsoft.com/office/drawing/2014/chart" uri="{C3380CC4-5D6E-409C-BE32-E72D297353CC}">
                  <c16:uniqueId val="{00000001-7D94-44AA-8534-CCDC26C118F5}"/>
                </c:ext>
              </c:extLst>
            </c:dLbl>
            <c:dLbl>
              <c:idx val="55"/>
              <c:delete val="1"/>
              <c:extLst>
                <c:ext xmlns:c15="http://schemas.microsoft.com/office/drawing/2012/chart" uri="{CE6537A1-D6FC-4f65-9D91-7224C49458BB}"/>
                <c:ext xmlns:c16="http://schemas.microsoft.com/office/drawing/2014/chart" uri="{C3380CC4-5D6E-409C-BE32-E72D297353CC}">
                  <c16:uniqueId val="{00000038-7D94-44AA-8534-CCDC26C118F5}"/>
                </c:ext>
              </c:extLst>
            </c:dLbl>
            <c:dLbl>
              <c:idx val="56"/>
              <c:delete val="1"/>
              <c:extLst>
                <c:ext xmlns:c15="http://schemas.microsoft.com/office/drawing/2012/chart" uri="{CE6537A1-D6FC-4f65-9D91-7224C49458BB}"/>
                <c:ext xmlns:c16="http://schemas.microsoft.com/office/drawing/2014/chart" uri="{C3380CC4-5D6E-409C-BE32-E72D297353CC}">
                  <c16:uniqueId val="{00000039-7D94-44AA-8534-CCDC26C118F5}"/>
                </c:ext>
              </c:extLst>
            </c:dLbl>
            <c:dLbl>
              <c:idx val="57"/>
              <c:delete val="1"/>
              <c:extLst>
                <c:ext xmlns:c15="http://schemas.microsoft.com/office/drawing/2012/chart" uri="{CE6537A1-D6FC-4f65-9D91-7224C49458BB}"/>
                <c:ext xmlns:c16="http://schemas.microsoft.com/office/drawing/2014/chart" uri="{C3380CC4-5D6E-409C-BE32-E72D297353CC}">
                  <c16:uniqueId val="{0000003A-7D94-44AA-8534-CCDC26C118F5}"/>
                </c:ext>
              </c:extLst>
            </c:dLbl>
            <c:dLbl>
              <c:idx val="58"/>
              <c:delete val="1"/>
              <c:extLst>
                <c:ext xmlns:c15="http://schemas.microsoft.com/office/drawing/2012/chart" uri="{CE6537A1-D6FC-4f65-9D91-7224C49458BB}"/>
                <c:ext xmlns:c16="http://schemas.microsoft.com/office/drawing/2014/chart" uri="{C3380CC4-5D6E-409C-BE32-E72D297353CC}">
                  <c16:uniqueId val="{0000003B-7D94-44AA-8534-CCDC26C118F5}"/>
                </c:ext>
              </c:extLst>
            </c:dLbl>
            <c:dLbl>
              <c:idx val="59"/>
              <c:delete val="1"/>
              <c:extLst>
                <c:ext xmlns:c15="http://schemas.microsoft.com/office/drawing/2012/chart" uri="{CE6537A1-D6FC-4f65-9D91-7224C49458BB}"/>
                <c:ext xmlns:c16="http://schemas.microsoft.com/office/drawing/2014/chart" uri="{C3380CC4-5D6E-409C-BE32-E72D297353CC}">
                  <c16:uniqueId val="{0000003C-7D94-44AA-8534-CCDC26C118F5}"/>
                </c:ext>
              </c:extLst>
            </c:dLbl>
            <c:dLbl>
              <c:idx val="60"/>
              <c:delete val="1"/>
              <c:extLst>
                <c:ext xmlns:c15="http://schemas.microsoft.com/office/drawing/2012/chart" uri="{CE6537A1-D6FC-4f65-9D91-7224C49458BB}"/>
                <c:ext xmlns:c16="http://schemas.microsoft.com/office/drawing/2014/chart" uri="{C3380CC4-5D6E-409C-BE32-E72D297353CC}">
                  <c16:uniqueId val="{0000003D-7D94-44AA-8534-CCDC26C118F5}"/>
                </c:ext>
              </c:extLst>
            </c:dLbl>
            <c:dLbl>
              <c:idx val="61"/>
              <c:delete val="1"/>
              <c:extLst>
                <c:ext xmlns:c15="http://schemas.microsoft.com/office/drawing/2012/chart" uri="{CE6537A1-D6FC-4f65-9D91-7224C49458BB}"/>
                <c:ext xmlns:c16="http://schemas.microsoft.com/office/drawing/2014/chart" uri="{C3380CC4-5D6E-409C-BE32-E72D297353CC}">
                  <c16:uniqueId val="{0000003E-7D94-44AA-8534-CCDC26C118F5}"/>
                </c:ext>
              </c:extLst>
            </c:dLbl>
            <c:dLbl>
              <c:idx val="62"/>
              <c:delete val="1"/>
              <c:extLst>
                <c:ext xmlns:c15="http://schemas.microsoft.com/office/drawing/2012/chart" uri="{CE6537A1-D6FC-4f65-9D91-7224C49458BB}"/>
                <c:ext xmlns:c16="http://schemas.microsoft.com/office/drawing/2014/chart" uri="{C3380CC4-5D6E-409C-BE32-E72D297353CC}">
                  <c16:uniqueId val="{0000003F-7D94-44AA-8534-CCDC26C118F5}"/>
                </c:ext>
              </c:extLst>
            </c:dLbl>
            <c:dLbl>
              <c:idx val="63"/>
              <c:layout>
                <c:manualLayout>
                  <c:x val="-1.1411658075114711E-3"/>
                  <c:y val="-1.458632686394077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I17</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8686638990270105E-3"/>
                      <c:h val="1.9028302576728991E-2"/>
                    </c:manualLayout>
                  </c15:layout>
                  <c15:showDataLabelsRange val="0"/>
                </c:ext>
                <c:ext xmlns:c16="http://schemas.microsoft.com/office/drawing/2014/chart" uri="{C3380CC4-5D6E-409C-BE32-E72D297353CC}">
                  <c16:uniqueId val="{00000040-7D94-44AA-8534-CCDC26C118F5}"/>
                </c:ext>
              </c:extLst>
            </c:dLbl>
            <c:dLbl>
              <c:idx val="64"/>
              <c:delete val="1"/>
              <c:extLst>
                <c:ext xmlns:c15="http://schemas.microsoft.com/office/drawing/2012/chart" uri="{CE6537A1-D6FC-4f65-9D91-7224C49458BB}"/>
                <c:ext xmlns:c16="http://schemas.microsoft.com/office/drawing/2014/chart" uri="{C3380CC4-5D6E-409C-BE32-E72D297353CC}">
                  <c16:uniqueId val="{00000041-7D94-44AA-8534-CCDC26C118F5}"/>
                </c:ext>
              </c:extLst>
            </c:dLbl>
            <c:dLbl>
              <c:idx val="65"/>
              <c:delete val="1"/>
              <c:extLst>
                <c:ext xmlns:c15="http://schemas.microsoft.com/office/drawing/2012/chart" uri="{CE6537A1-D6FC-4f65-9D91-7224C49458BB}"/>
                <c:ext xmlns:c16="http://schemas.microsoft.com/office/drawing/2014/chart" uri="{C3380CC4-5D6E-409C-BE32-E72D297353CC}">
                  <c16:uniqueId val="{00000042-7D94-44AA-8534-CCDC26C118F5}"/>
                </c:ext>
              </c:extLst>
            </c:dLbl>
            <c:dLbl>
              <c:idx val="66"/>
              <c:delete val="1"/>
              <c:extLst>
                <c:ext xmlns:c15="http://schemas.microsoft.com/office/drawing/2012/chart" uri="{CE6537A1-D6FC-4f65-9D91-7224C49458BB}"/>
                <c:ext xmlns:c16="http://schemas.microsoft.com/office/drawing/2014/chart" uri="{C3380CC4-5D6E-409C-BE32-E72D297353CC}">
                  <c16:uniqueId val="{00000043-7D94-44AA-8534-CCDC26C118F5}"/>
                </c:ext>
              </c:extLst>
            </c:dLbl>
            <c:dLbl>
              <c:idx val="67"/>
              <c:delete val="1"/>
              <c:extLst>
                <c:ext xmlns:c15="http://schemas.microsoft.com/office/drawing/2012/chart" uri="{CE6537A1-D6FC-4f65-9D91-7224C49458BB}"/>
                <c:ext xmlns:c16="http://schemas.microsoft.com/office/drawing/2014/chart" uri="{C3380CC4-5D6E-409C-BE32-E72D297353CC}">
                  <c16:uniqueId val="{00000044-7D94-44AA-8534-CCDC26C118F5}"/>
                </c:ext>
              </c:extLst>
            </c:dLbl>
            <c:dLbl>
              <c:idx val="68"/>
              <c:delete val="1"/>
              <c:extLst>
                <c:ext xmlns:c15="http://schemas.microsoft.com/office/drawing/2012/chart" uri="{CE6537A1-D6FC-4f65-9D91-7224C49458BB}"/>
                <c:ext xmlns:c16="http://schemas.microsoft.com/office/drawing/2014/chart" uri="{C3380CC4-5D6E-409C-BE32-E72D297353CC}">
                  <c16:uniqueId val="{00000045-7D94-44AA-8534-CCDC26C118F5}"/>
                </c:ext>
              </c:extLst>
            </c:dLbl>
            <c:dLbl>
              <c:idx val="69"/>
              <c:layout>
                <c:manualLayout>
                  <c:x val="-4.1770722904241791E-3"/>
                  <c:y val="-1.5435996197069793E-2"/>
                </c:manualLayout>
              </c:layout>
              <c:tx>
                <c:rich>
                  <a:bodyPr/>
                  <a:lstStyle/>
                  <a:p>
                    <a:r>
                      <a:rPr lang="en-US" sz="2000">
                        <a:solidFill>
                          <a:schemeClr val="accent2"/>
                        </a:solidFill>
                      </a:rPr>
                      <a:t>I16</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7D94-44AA-8534-CCDC26C118F5}"/>
                </c:ext>
              </c:extLst>
            </c:dLbl>
            <c:dLbl>
              <c:idx val="70"/>
              <c:delete val="1"/>
              <c:extLst>
                <c:ext xmlns:c15="http://schemas.microsoft.com/office/drawing/2012/chart" uri="{CE6537A1-D6FC-4f65-9D91-7224C49458BB}"/>
                <c:ext xmlns:c16="http://schemas.microsoft.com/office/drawing/2014/chart" uri="{C3380CC4-5D6E-409C-BE32-E72D297353CC}">
                  <c16:uniqueId val="{00000047-7D94-44AA-8534-CCDC26C118F5}"/>
                </c:ext>
              </c:extLst>
            </c:dLbl>
            <c:dLbl>
              <c:idx val="71"/>
              <c:delete val="1"/>
              <c:extLst>
                <c:ext xmlns:c15="http://schemas.microsoft.com/office/drawing/2012/chart" uri="{CE6537A1-D6FC-4f65-9D91-7224C49458BB}"/>
                <c:ext xmlns:c16="http://schemas.microsoft.com/office/drawing/2014/chart" uri="{C3380CC4-5D6E-409C-BE32-E72D297353CC}">
                  <c16:uniqueId val="{00000048-7D94-44AA-8534-CCDC26C118F5}"/>
                </c:ext>
              </c:extLst>
            </c:dLbl>
            <c:dLbl>
              <c:idx val="72"/>
              <c:delete val="1"/>
              <c:extLst>
                <c:ext xmlns:c15="http://schemas.microsoft.com/office/drawing/2012/chart" uri="{CE6537A1-D6FC-4f65-9D91-7224C49458BB}"/>
                <c:ext xmlns:c16="http://schemas.microsoft.com/office/drawing/2014/chart" uri="{C3380CC4-5D6E-409C-BE32-E72D297353CC}">
                  <c16:uniqueId val="{00000049-7D94-44AA-8534-CCDC26C118F5}"/>
                </c:ext>
              </c:extLst>
            </c:dLbl>
            <c:dLbl>
              <c:idx val="73"/>
              <c:delete val="1"/>
              <c:extLst>
                <c:ext xmlns:c15="http://schemas.microsoft.com/office/drawing/2012/chart" uri="{CE6537A1-D6FC-4f65-9D91-7224C49458BB}"/>
                <c:ext xmlns:c16="http://schemas.microsoft.com/office/drawing/2014/chart" uri="{C3380CC4-5D6E-409C-BE32-E72D297353CC}">
                  <c16:uniqueId val="{0000004A-7D94-44AA-8534-CCDC26C118F5}"/>
                </c:ext>
              </c:extLst>
            </c:dLbl>
            <c:dLbl>
              <c:idx val="74"/>
              <c:layout>
                <c:manualLayout>
                  <c:x val="-1.3282377472600099E-3"/>
                  <c:y val="-1.5435996197069793E-2"/>
                </c:manualLayout>
              </c:layout>
              <c:tx>
                <c:rich>
                  <a:bodyPr/>
                  <a:lstStyle/>
                  <a:p>
                    <a:r>
                      <a:rPr lang="en-US" sz="2000">
                        <a:solidFill>
                          <a:schemeClr val="accent2"/>
                        </a:solidFill>
                      </a:rPr>
                      <a:t>I15</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7D94-44AA-8534-CCDC26C118F5}"/>
                </c:ext>
              </c:extLst>
            </c:dLbl>
            <c:dLbl>
              <c:idx val="75"/>
              <c:delete val="1"/>
              <c:extLst>
                <c:ext xmlns:c15="http://schemas.microsoft.com/office/drawing/2012/chart" uri="{CE6537A1-D6FC-4f65-9D91-7224C49458BB}"/>
                <c:ext xmlns:c16="http://schemas.microsoft.com/office/drawing/2014/chart" uri="{C3380CC4-5D6E-409C-BE32-E72D297353CC}">
                  <c16:uniqueId val="{0000004C-7D94-44AA-8534-CCDC26C118F5}"/>
                </c:ext>
              </c:extLst>
            </c:dLbl>
            <c:dLbl>
              <c:idx val="76"/>
              <c:delete val="1"/>
              <c:extLst>
                <c:ext xmlns:c15="http://schemas.microsoft.com/office/drawing/2012/chart" uri="{CE6537A1-D6FC-4f65-9D91-7224C49458BB}"/>
                <c:ext xmlns:c16="http://schemas.microsoft.com/office/drawing/2014/chart" uri="{C3380CC4-5D6E-409C-BE32-E72D297353CC}">
                  <c16:uniqueId val="{0000004D-7D94-44AA-8534-CCDC26C118F5}"/>
                </c:ext>
              </c:extLst>
            </c:dLbl>
            <c:dLbl>
              <c:idx val="77"/>
              <c:delete val="1"/>
              <c:extLst>
                <c:ext xmlns:c15="http://schemas.microsoft.com/office/drawing/2012/chart" uri="{CE6537A1-D6FC-4f65-9D91-7224C49458BB}"/>
                <c:ext xmlns:c16="http://schemas.microsoft.com/office/drawing/2014/chart" uri="{C3380CC4-5D6E-409C-BE32-E72D297353CC}">
                  <c16:uniqueId val="{0000004E-7D94-44AA-8534-CCDC26C118F5}"/>
                </c:ext>
              </c:extLst>
            </c:dLbl>
            <c:dLbl>
              <c:idx val="78"/>
              <c:delete val="1"/>
              <c:extLst>
                <c:ext xmlns:c15="http://schemas.microsoft.com/office/drawing/2012/chart" uri="{CE6537A1-D6FC-4f65-9D91-7224C49458BB}"/>
                <c:ext xmlns:c16="http://schemas.microsoft.com/office/drawing/2014/chart" uri="{C3380CC4-5D6E-409C-BE32-E72D297353CC}">
                  <c16:uniqueId val="{0000004F-7D94-44AA-8534-CCDC26C118F5}"/>
                </c:ext>
              </c:extLst>
            </c:dLbl>
            <c:dLbl>
              <c:idx val="79"/>
              <c:delete val="1"/>
              <c:extLst>
                <c:ext xmlns:c15="http://schemas.microsoft.com/office/drawing/2012/chart" uri="{CE6537A1-D6FC-4f65-9D91-7224C49458BB}"/>
                <c:ext xmlns:c16="http://schemas.microsoft.com/office/drawing/2014/chart" uri="{C3380CC4-5D6E-409C-BE32-E72D297353CC}">
                  <c16:uniqueId val="{00000050-7D94-44AA-8534-CCDC26C118F5}"/>
                </c:ext>
              </c:extLst>
            </c:dLbl>
            <c:dLbl>
              <c:idx val="80"/>
              <c:delete val="1"/>
              <c:extLst>
                <c:ext xmlns:c15="http://schemas.microsoft.com/office/drawing/2012/chart" uri="{CE6537A1-D6FC-4f65-9D91-7224C49458BB}"/>
                <c:ext xmlns:c16="http://schemas.microsoft.com/office/drawing/2014/chart" uri="{C3380CC4-5D6E-409C-BE32-E72D297353CC}">
                  <c16:uniqueId val="{00000051-7D94-44AA-8534-CCDC26C118F5}"/>
                </c:ext>
              </c:extLst>
            </c:dLbl>
            <c:dLbl>
              <c:idx val="81"/>
              <c:delete val="1"/>
              <c:extLst>
                <c:ext xmlns:c15="http://schemas.microsoft.com/office/drawing/2012/chart" uri="{CE6537A1-D6FC-4f65-9D91-7224C49458BB}"/>
                <c:ext xmlns:c16="http://schemas.microsoft.com/office/drawing/2014/chart" uri="{C3380CC4-5D6E-409C-BE32-E72D297353CC}">
                  <c16:uniqueId val="{00000052-7D94-44AA-8534-CCDC26C118F5}"/>
                </c:ext>
              </c:extLst>
            </c:dLbl>
            <c:dLbl>
              <c:idx val="82"/>
              <c:delete val="1"/>
              <c:extLst>
                <c:ext xmlns:c15="http://schemas.microsoft.com/office/drawing/2012/chart" uri="{CE6537A1-D6FC-4f65-9D91-7224C49458BB}"/>
                <c:ext xmlns:c16="http://schemas.microsoft.com/office/drawing/2014/chart" uri="{C3380CC4-5D6E-409C-BE32-E72D297353CC}">
                  <c16:uniqueId val="{00000053-7D94-44AA-8534-CCDC26C118F5}"/>
                </c:ext>
              </c:extLst>
            </c:dLbl>
            <c:dLbl>
              <c:idx val="83"/>
              <c:layout>
                <c:manualLayout>
                  <c:x val="2.6072730117368423E-4"/>
                  <c:y val="-1.6320560549126405E-2"/>
                </c:manualLayout>
              </c:layout>
              <c:tx>
                <c:rich>
                  <a:bodyPr/>
                  <a:lstStyle/>
                  <a:p>
                    <a:r>
                      <a:rPr lang="en-US" sz="2000">
                        <a:solidFill>
                          <a:schemeClr val="accent2"/>
                        </a:solidFill>
                      </a:rPr>
                      <a:t>I14</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7D94-44AA-8534-CCDC26C118F5}"/>
                </c:ext>
              </c:extLst>
            </c:dLbl>
            <c:dLbl>
              <c:idx val="84"/>
              <c:delete val="1"/>
              <c:extLst>
                <c:ext xmlns:c15="http://schemas.microsoft.com/office/drawing/2012/chart" uri="{CE6537A1-D6FC-4f65-9D91-7224C49458BB}"/>
                <c:ext xmlns:c16="http://schemas.microsoft.com/office/drawing/2014/chart" uri="{C3380CC4-5D6E-409C-BE32-E72D297353CC}">
                  <c16:uniqueId val="{00000055-7D94-44AA-8534-CCDC26C118F5}"/>
                </c:ext>
              </c:extLst>
            </c:dLbl>
            <c:dLbl>
              <c:idx val="85"/>
              <c:delete val="1"/>
              <c:extLst>
                <c:ext xmlns:c15="http://schemas.microsoft.com/office/drawing/2012/chart" uri="{CE6537A1-D6FC-4f65-9D91-7224C49458BB}"/>
                <c:ext xmlns:c16="http://schemas.microsoft.com/office/drawing/2014/chart" uri="{C3380CC4-5D6E-409C-BE32-E72D297353CC}">
                  <c16:uniqueId val="{00000056-7D94-44AA-8534-CCDC26C118F5}"/>
                </c:ext>
              </c:extLst>
            </c:dLbl>
            <c:dLbl>
              <c:idx val="86"/>
              <c:delete val="1"/>
              <c:extLst>
                <c:ext xmlns:c15="http://schemas.microsoft.com/office/drawing/2012/chart" uri="{CE6537A1-D6FC-4f65-9D91-7224C49458BB}"/>
                <c:ext xmlns:c16="http://schemas.microsoft.com/office/drawing/2014/chart" uri="{C3380CC4-5D6E-409C-BE32-E72D297353CC}">
                  <c16:uniqueId val="{00000057-7D94-44AA-8534-CCDC26C118F5}"/>
                </c:ext>
              </c:extLst>
            </c:dLbl>
            <c:dLbl>
              <c:idx val="87"/>
              <c:delete val="1"/>
              <c:extLst>
                <c:ext xmlns:c15="http://schemas.microsoft.com/office/drawing/2012/chart" uri="{CE6537A1-D6FC-4f65-9D91-7224C49458BB}"/>
                <c:ext xmlns:c16="http://schemas.microsoft.com/office/drawing/2014/chart" uri="{C3380CC4-5D6E-409C-BE32-E72D297353CC}">
                  <c16:uniqueId val="{00000058-7D94-44AA-8534-CCDC26C118F5}"/>
                </c:ext>
              </c:extLst>
            </c:dLbl>
            <c:dLbl>
              <c:idx val="88"/>
              <c:layout>
                <c:manualLayout>
                  <c:x val="-6.0770596121528476E-3"/>
                  <c:y val="-1.5435996197069793E-2"/>
                </c:manualLayout>
              </c:layout>
              <c:tx>
                <c:rich>
                  <a:bodyPr/>
                  <a:lstStyle/>
                  <a:p>
                    <a:r>
                      <a:rPr lang="en-US" sz="2000">
                        <a:solidFill>
                          <a:schemeClr val="accent2"/>
                        </a:solidFill>
                      </a:rPr>
                      <a:t>I13</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7D94-44AA-8534-CCDC26C118F5}"/>
                </c:ext>
              </c:extLst>
            </c:dLbl>
            <c:dLbl>
              <c:idx val="89"/>
              <c:delete val="1"/>
              <c:extLst>
                <c:ext xmlns:c15="http://schemas.microsoft.com/office/drawing/2012/chart" uri="{CE6537A1-D6FC-4f65-9D91-7224C49458BB}"/>
                <c:ext xmlns:c16="http://schemas.microsoft.com/office/drawing/2014/chart" uri="{C3380CC4-5D6E-409C-BE32-E72D297353CC}">
                  <c16:uniqueId val="{0000005A-7D94-44AA-8534-CCDC26C118F5}"/>
                </c:ext>
              </c:extLst>
            </c:dLbl>
            <c:dLbl>
              <c:idx val="90"/>
              <c:delete val="1"/>
              <c:extLst>
                <c:ext xmlns:c15="http://schemas.microsoft.com/office/drawing/2012/chart" uri="{CE6537A1-D6FC-4f65-9D91-7224C49458BB}"/>
                <c:ext xmlns:c16="http://schemas.microsoft.com/office/drawing/2014/chart" uri="{C3380CC4-5D6E-409C-BE32-E72D297353CC}">
                  <c16:uniqueId val="{0000005B-7D94-44AA-8534-CCDC26C118F5}"/>
                </c:ext>
              </c:extLst>
            </c:dLbl>
            <c:dLbl>
              <c:idx val="91"/>
              <c:delete val="1"/>
              <c:extLst>
                <c:ext xmlns:c15="http://schemas.microsoft.com/office/drawing/2012/chart" uri="{CE6537A1-D6FC-4f65-9D91-7224C49458BB}"/>
                <c:ext xmlns:c16="http://schemas.microsoft.com/office/drawing/2014/chart" uri="{C3380CC4-5D6E-409C-BE32-E72D297353CC}">
                  <c16:uniqueId val="{0000005C-7D94-44AA-8534-CCDC26C118F5}"/>
                </c:ext>
              </c:extLst>
            </c:dLbl>
            <c:dLbl>
              <c:idx val="92"/>
              <c:delete val="1"/>
              <c:extLst>
                <c:ext xmlns:c15="http://schemas.microsoft.com/office/drawing/2012/chart" uri="{CE6537A1-D6FC-4f65-9D91-7224C49458BB}"/>
                <c:ext xmlns:c16="http://schemas.microsoft.com/office/drawing/2014/chart" uri="{C3380CC4-5D6E-409C-BE32-E72D297353CC}">
                  <c16:uniqueId val="{0000005D-7D94-44AA-8534-CCDC26C118F5}"/>
                </c:ext>
              </c:extLst>
            </c:dLbl>
            <c:dLbl>
              <c:idx val="93"/>
              <c:delete val="1"/>
              <c:extLst>
                <c:ext xmlns:c15="http://schemas.microsoft.com/office/drawing/2012/chart" uri="{CE6537A1-D6FC-4f65-9D91-7224C49458BB}"/>
                <c:ext xmlns:c16="http://schemas.microsoft.com/office/drawing/2014/chart" uri="{C3380CC4-5D6E-409C-BE32-E72D297353CC}">
                  <c16:uniqueId val="{0000005E-7D94-44AA-8534-CCDC26C118F5}"/>
                </c:ext>
              </c:extLst>
            </c:dLbl>
            <c:dLbl>
              <c:idx val="94"/>
              <c:layout>
                <c:manualLayout>
                  <c:x val="-3.4100503624097346E-3"/>
                  <c:y val="-1.4551431845013247E-2"/>
                </c:manualLayout>
              </c:layout>
              <c:tx>
                <c:rich>
                  <a:bodyPr/>
                  <a:lstStyle/>
                  <a:p>
                    <a:r>
                      <a:rPr lang="en-US" sz="2000">
                        <a:solidFill>
                          <a:schemeClr val="accent2"/>
                        </a:solidFill>
                      </a:rPr>
                      <a:t>I12</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7D94-44AA-8534-CCDC26C118F5}"/>
                </c:ext>
              </c:extLst>
            </c:dLbl>
            <c:dLbl>
              <c:idx val="95"/>
              <c:delete val="1"/>
              <c:extLst>
                <c:ext xmlns:c15="http://schemas.microsoft.com/office/drawing/2012/chart" uri="{CE6537A1-D6FC-4f65-9D91-7224C49458BB}"/>
                <c:ext xmlns:c16="http://schemas.microsoft.com/office/drawing/2014/chart" uri="{C3380CC4-5D6E-409C-BE32-E72D297353CC}">
                  <c16:uniqueId val="{00000060-7D94-44AA-8534-CCDC26C118F5}"/>
                </c:ext>
              </c:extLst>
            </c:dLbl>
            <c:dLbl>
              <c:idx val="96"/>
              <c:delete val="1"/>
              <c:extLst>
                <c:ext xmlns:c15="http://schemas.microsoft.com/office/drawing/2012/chart" uri="{CE6537A1-D6FC-4f65-9D91-7224C49458BB}"/>
                <c:ext xmlns:c16="http://schemas.microsoft.com/office/drawing/2014/chart" uri="{C3380CC4-5D6E-409C-BE32-E72D297353CC}">
                  <c16:uniqueId val="{00000061-7D94-44AA-8534-CCDC26C118F5}"/>
                </c:ext>
              </c:extLst>
            </c:dLbl>
            <c:dLbl>
              <c:idx val="97"/>
              <c:delete val="1"/>
              <c:extLst>
                <c:ext xmlns:c15="http://schemas.microsoft.com/office/drawing/2012/chart" uri="{CE6537A1-D6FC-4f65-9D91-7224C49458BB}"/>
                <c:ext xmlns:c16="http://schemas.microsoft.com/office/drawing/2014/chart" uri="{C3380CC4-5D6E-409C-BE32-E72D297353CC}">
                  <c16:uniqueId val="{00000062-7D94-44AA-8534-CCDC26C118F5}"/>
                </c:ext>
              </c:extLst>
            </c:dLbl>
            <c:dLbl>
              <c:idx val="98"/>
              <c:delete val="1"/>
              <c:extLst>
                <c:ext xmlns:c15="http://schemas.microsoft.com/office/drawing/2012/chart" uri="{CE6537A1-D6FC-4f65-9D91-7224C49458BB}"/>
                <c:ext xmlns:c16="http://schemas.microsoft.com/office/drawing/2014/chart" uri="{C3380CC4-5D6E-409C-BE32-E72D297353CC}">
                  <c16:uniqueId val="{00000063-7D94-44AA-8534-CCDC26C118F5}"/>
                </c:ext>
              </c:extLst>
            </c:dLbl>
            <c:dLbl>
              <c:idx val="99"/>
              <c:delete val="1"/>
              <c:extLst>
                <c:ext xmlns:c15="http://schemas.microsoft.com/office/drawing/2012/chart" uri="{CE6537A1-D6FC-4f65-9D91-7224C49458BB}"/>
                <c:ext xmlns:c16="http://schemas.microsoft.com/office/drawing/2014/chart" uri="{C3380CC4-5D6E-409C-BE32-E72D297353CC}">
                  <c16:uniqueId val="{00000064-7D94-44AA-8534-CCDC26C118F5}"/>
                </c:ext>
              </c:extLst>
            </c:dLbl>
            <c:dLbl>
              <c:idx val="100"/>
              <c:delete val="1"/>
              <c:extLst>
                <c:ext xmlns:c15="http://schemas.microsoft.com/office/drawing/2012/chart" uri="{CE6537A1-D6FC-4f65-9D91-7224C49458BB}"/>
                <c:ext xmlns:c16="http://schemas.microsoft.com/office/drawing/2014/chart" uri="{C3380CC4-5D6E-409C-BE32-E72D297353CC}">
                  <c16:uniqueId val="{00000065-7D94-44AA-8534-CCDC26C118F5}"/>
                </c:ext>
              </c:extLst>
            </c:dLbl>
            <c:dLbl>
              <c:idx val="101"/>
              <c:delete val="1"/>
              <c:extLst>
                <c:ext xmlns:c15="http://schemas.microsoft.com/office/drawing/2012/chart" uri="{CE6537A1-D6FC-4f65-9D91-7224C49458BB}"/>
                <c:ext xmlns:c16="http://schemas.microsoft.com/office/drawing/2014/chart" uri="{C3380CC4-5D6E-409C-BE32-E72D297353CC}">
                  <c16:uniqueId val="{00000066-7D94-44AA-8534-CCDC26C118F5}"/>
                </c:ext>
              </c:extLst>
            </c:dLbl>
            <c:dLbl>
              <c:idx val="102"/>
              <c:layout>
                <c:manualLayout>
                  <c:x val="-1.8368522280039741E-3"/>
                  <c:y val="-1.4872173486054182E-2"/>
                </c:manualLayout>
              </c:layout>
              <c:tx>
                <c:rich>
                  <a:bodyPr/>
                  <a:lstStyle/>
                  <a:p>
                    <a:r>
                      <a:rPr lang="en-US" sz="2000">
                        <a:solidFill>
                          <a:schemeClr val="accent2"/>
                        </a:solidFill>
                      </a:rPr>
                      <a:t>I11</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7D94-44AA-8534-CCDC26C118F5}"/>
                </c:ext>
              </c:extLst>
            </c:dLbl>
            <c:dLbl>
              <c:idx val="103"/>
              <c:delete val="1"/>
              <c:extLst>
                <c:ext xmlns:c15="http://schemas.microsoft.com/office/drawing/2012/chart" uri="{CE6537A1-D6FC-4f65-9D91-7224C49458BB}"/>
                <c:ext xmlns:c16="http://schemas.microsoft.com/office/drawing/2014/chart" uri="{C3380CC4-5D6E-409C-BE32-E72D297353CC}">
                  <c16:uniqueId val="{00000068-7D94-44AA-8534-CCDC26C118F5}"/>
                </c:ext>
              </c:extLst>
            </c:dLbl>
            <c:dLbl>
              <c:idx val="104"/>
              <c:delete val="1"/>
              <c:extLst>
                <c:ext xmlns:c15="http://schemas.microsoft.com/office/drawing/2012/chart" uri="{CE6537A1-D6FC-4f65-9D91-7224C49458BB}"/>
                <c:ext xmlns:c16="http://schemas.microsoft.com/office/drawing/2014/chart" uri="{C3380CC4-5D6E-409C-BE32-E72D297353CC}">
                  <c16:uniqueId val="{00000069-7D94-44AA-8534-CCDC26C118F5}"/>
                </c:ext>
              </c:extLst>
            </c:dLbl>
            <c:dLbl>
              <c:idx val="105"/>
              <c:delete val="1"/>
              <c:extLst>
                <c:ext xmlns:c15="http://schemas.microsoft.com/office/drawing/2012/chart" uri="{CE6537A1-D6FC-4f65-9D91-7224C49458BB}"/>
                <c:ext xmlns:c16="http://schemas.microsoft.com/office/drawing/2014/chart" uri="{C3380CC4-5D6E-409C-BE32-E72D297353CC}">
                  <c16:uniqueId val="{0000006A-7D94-44AA-8534-CCDC26C118F5}"/>
                </c:ext>
              </c:extLst>
            </c:dLbl>
            <c:dLbl>
              <c:idx val="106"/>
              <c:layout>
                <c:manualLayout>
                  <c:x val="-6.0981001475534985E-3"/>
                  <c:y val="-1.3103044781940958E-2"/>
                </c:manualLayout>
              </c:layout>
              <c:tx>
                <c:rich>
                  <a:bodyPr/>
                  <a:lstStyle/>
                  <a:p>
                    <a:r>
                      <a:rPr lang="en-US" sz="2000">
                        <a:solidFill>
                          <a:schemeClr val="accent2"/>
                        </a:solidFill>
                      </a:rPr>
                      <a:t>I10</a:t>
                    </a:r>
                    <a:endParaRPr lang="en-US" sz="500">
                      <a:solidFill>
                        <a:schemeClr val="accent2"/>
                      </a:solidFill>
                    </a:endParaRP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7D94-44AA-8534-CCDC26C118F5}"/>
                </c:ext>
              </c:extLst>
            </c:dLbl>
            <c:dLbl>
              <c:idx val="107"/>
              <c:delete val="1"/>
              <c:extLst>
                <c:ext xmlns:c15="http://schemas.microsoft.com/office/drawing/2012/chart" uri="{CE6537A1-D6FC-4f65-9D91-7224C49458BB}"/>
                <c:ext xmlns:c16="http://schemas.microsoft.com/office/drawing/2014/chart" uri="{C3380CC4-5D6E-409C-BE32-E72D297353CC}">
                  <c16:uniqueId val="{0000006C-7D94-44AA-8534-CCDC26C118F5}"/>
                </c:ext>
              </c:extLst>
            </c:dLbl>
            <c:dLbl>
              <c:idx val="108"/>
              <c:delete val="1"/>
              <c:extLst>
                <c:ext xmlns:c15="http://schemas.microsoft.com/office/drawing/2012/chart" uri="{CE6537A1-D6FC-4f65-9D91-7224C49458BB}"/>
                <c:ext xmlns:c16="http://schemas.microsoft.com/office/drawing/2014/chart" uri="{C3380CC4-5D6E-409C-BE32-E72D297353CC}">
                  <c16:uniqueId val="{0000006D-7D94-44AA-8534-CCDC26C118F5}"/>
                </c:ext>
              </c:extLst>
            </c:dLbl>
            <c:dLbl>
              <c:idx val="109"/>
              <c:delete val="1"/>
              <c:extLst>
                <c:ext xmlns:c15="http://schemas.microsoft.com/office/drawing/2012/chart" uri="{CE6537A1-D6FC-4f65-9D91-7224C49458BB}"/>
                <c:ext xmlns:c16="http://schemas.microsoft.com/office/drawing/2014/chart" uri="{C3380CC4-5D6E-409C-BE32-E72D297353CC}">
                  <c16:uniqueId val="{0000006E-7D94-44AA-8534-CCDC26C118F5}"/>
                </c:ext>
              </c:extLst>
            </c:dLbl>
            <c:dLbl>
              <c:idx val="110"/>
              <c:delete val="1"/>
              <c:extLst>
                <c:ext xmlns:c15="http://schemas.microsoft.com/office/drawing/2012/chart" uri="{CE6537A1-D6FC-4f65-9D91-7224C49458BB}"/>
                <c:ext xmlns:c16="http://schemas.microsoft.com/office/drawing/2014/chart" uri="{C3380CC4-5D6E-409C-BE32-E72D297353CC}">
                  <c16:uniqueId val="{0000006F-7D94-44AA-8534-CCDC26C118F5}"/>
                </c:ext>
              </c:extLst>
            </c:dLbl>
            <c:dLbl>
              <c:idx val="111"/>
              <c:delete val="1"/>
              <c:extLst>
                <c:ext xmlns:c15="http://schemas.microsoft.com/office/drawing/2012/chart" uri="{CE6537A1-D6FC-4f65-9D91-7224C49458BB}"/>
                <c:ext xmlns:c16="http://schemas.microsoft.com/office/drawing/2014/chart" uri="{C3380CC4-5D6E-409C-BE32-E72D297353CC}">
                  <c16:uniqueId val="{00000070-7D94-44AA-8534-CCDC26C118F5}"/>
                </c:ext>
              </c:extLst>
            </c:dLbl>
            <c:dLbl>
              <c:idx val="112"/>
              <c:layout>
                <c:manualLayout>
                  <c:x val="-3.0741975598373946E-3"/>
                  <c:y val="-1.4872173486054182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I9</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2749296625691569E-3"/>
                      <c:h val="1.6899636771409765E-2"/>
                    </c:manualLayout>
                  </c15:layout>
                  <c15:showDataLabelsRange val="0"/>
                </c:ext>
                <c:ext xmlns:c16="http://schemas.microsoft.com/office/drawing/2014/chart" uri="{C3380CC4-5D6E-409C-BE32-E72D297353CC}">
                  <c16:uniqueId val="{00000071-7D94-44AA-8534-CCDC26C118F5}"/>
                </c:ext>
              </c:extLst>
            </c:dLbl>
            <c:dLbl>
              <c:idx val="113"/>
              <c:delete val="1"/>
              <c:extLst>
                <c:ext xmlns:c15="http://schemas.microsoft.com/office/drawing/2012/chart" uri="{CE6537A1-D6FC-4f65-9D91-7224C49458BB}"/>
                <c:ext xmlns:c16="http://schemas.microsoft.com/office/drawing/2014/chart" uri="{C3380CC4-5D6E-409C-BE32-E72D297353CC}">
                  <c16:uniqueId val="{00000072-7D94-44AA-8534-CCDC26C118F5}"/>
                </c:ext>
              </c:extLst>
            </c:dLbl>
            <c:dLbl>
              <c:idx val="114"/>
              <c:delete val="1"/>
              <c:extLst>
                <c:ext xmlns:c15="http://schemas.microsoft.com/office/drawing/2012/chart" uri="{CE6537A1-D6FC-4f65-9D91-7224C49458BB}"/>
                <c:ext xmlns:c16="http://schemas.microsoft.com/office/drawing/2014/chart" uri="{C3380CC4-5D6E-409C-BE32-E72D297353CC}">
                  <c16:uniqueId val="{00000073-7D94-44AA-8534-CCDC26C118F5}"/>
                </c:ext>
              </c:extLst>
            </c:dLbl>
            <c:dLbl>
              <c:idx val="115"/>
              <c:delete val="1"/>
              <c:extLst>
                <c:ext xmlns:c15="http://schemas.microsoft.com/office/drawing/2012/chart" uri="{CE6537A1-D6FC-4f65-9D91-7224C49458BB}"/>
                <c:ext xmlns:c16="http://schemas.microsoft.com/office/drawing/2014/chart" uri="{C3380CC4-5D6E-409C-BE32-E72D297353CC}">
                  <c16:uniqueId val="{00000074-7D94-44AA-8534-CCDC26C118F5}"/>
                </c:ext>
              </c:extLst>
            </c:dLbl>
            <c:dLbl>
              <c:idx val="116"/>
              <c:delete val="1"/>
              <c:extLst>
                <c:ext xmlns:c15="http://schemas.microsoft.com/office/drawing/2012/chart" uri="{CE6537A1-D6FC-4f65-9D91-7224C49458BB}"/>
                <c:ext xmlns:c16="http://schemas.microsoft.com/office/drawing/2014/chart" uri="{C3380CC4-5D6E-409C-BE32-E72D297353CC}">
                  <c16:uniqueId val="{00000075-7D94-44AA-8534-CCDC26C118F5}"/>
                </c:ext>
              </c:extLst>
            </c:dLbl>
            <c:dLbl>
              <c:idx val="117"/>
              <c:layout>
                <c:manualLayout>
                  <c:x val="-6.9440375708432131E-3"/>
                  <c:y val="-1.2942639136052266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I8</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1488213253918797E-3"/>
                      <c:h val="1.693843223157477E-2"/>
                    </c:manualLayout>
                  </c15:layout>
                  <c15:showDataLabelsRange val="0"/>
                </c:ext>
                <c:ext xmlns:c16="http://schemas.microsoft.com/office/drawing/2014/chart" uri="{C3380CC4-5D6E-409C-BE32-E72D297353CC}">
                  <c16:uniqueId val="{00000076-7D94-44AA-8534-CCDC26C118F5}"/>
                </c:ext>
              </c:extLst>
            </c:dLbl>
            <c:dLbl>
              <c:idx val="118"/>
              <c:delete val="1"/>
              <c:extLst>
                <c:ext xmlns:c15="http://schemas.microsoft.com/office/drawing/2012/chart" uri="{CE6537A1-D6FC-4f65-9D91-7224C49458BB}"/>
                <c:ext xmlns:c16="http://schemas.microsoft.com/office/drawing/2014/chart" uri="{C3380CC4-5D6E-409C-BE32-E72D297353CC}">
                  <c16:uniqueId val="{00000077-7D94-44AA-8534-CCDC26C118F5}"/>
                </c:ext>
              </c:extLst>
            </c:dLbl>
            <c:dLbl>
              <c:idx val="119"/>
              <c:delete val="1"/>
              <c:extLst>
                <c:ext xmlns:c15="http://schemas.microsoft.com/office/drawing/2012/chart" uri="{CE6537A1-D6FC-4f65-9D91-7224C49458BB}"/>
                <c:ext xmlns:c16="http://schemas.microsoft.com/office/drawing/2014/chart" uri="{C3380CC4-5D6E-409C-BE32-E72D297353CC}">
                  <c16:uniqueId val="{00000078-7D94-44AA-8534-CCDC26C118F5}"/>
                </c:ext>
              </c:extLst>
            </c:dLbl>
            <c:dLbl>
              <c:idx val="120"/>
              <c:delete val="1"/>
              <c:extLst>
                <c:ext xmlns:c15="http://schemas.microsoft.com/office/drawing/2012/chart" uri="{CE6537A1-D6FC-4f65-9D91-7224C49458BB}"/>
                <c:ext xmlns:c16="http://schemas.microsoft.com/office/drawing/2014/chart" uri="{C3380CC4-5D6E-409C-BE32-E72D297353CC}">
                  <c16:uniqueId val="{00000079-7D94-44AA-8534-CCDC26C118F5}"/>
                </c:ext>
              </c:extLst>
            </c:dLbl>
            <c:dLbl>
              <c:idx val="121"/>
              <c:delete val="1"/>
              <c:extLst>
                <c:ext xmlns:c15="http://schemas.microsoft.com/office/drawing/2012/chart" uri="{CE6537A1-D6FC-4f65-9D91-7224C49458BB}"/>
                <c:ext xmlns:c16="http://schemas.microsoft.com/office/drawing/2014/chart" uri="{C3380CC4-5D6E-409C-BE32-E72D297353CC}">
                  <c16:uniqueId val="{0000007A-7D94-44AA-8534-CCDC26C118F5}"/>
                </c:ext>
              </c:extLst>
            </c:dLbl>
            <c:dLbl>
              <c:idx val="122"/>
              <c:delete val="1"/>
              <c:extLst>
                <c:ext xmlns:c15="http://schemas.microsoft.com/office/drawing/2012/chart" uri="{CE6537A1-D6FC-4f65-9D91-7224C49458BB}"/>
                <c:ext xmlns:c16="http://schemas.microsoft.com/office/drawing/2014/chart" uri="{C3380CC4-5D6E-409C-BE32-E72D297353CC}">
                  <c16:uniqueId val="{0000007B-7D94-44AA-8534-CCDC26C118F5}"/>
                </c:ext>
              </c:extLst>
            </c:dLbl>
            <c:dLbl>
              <c:idx val="123"/>
              <c:delete val="1"/>
              <c:extLst>
                <c:ext xmlns:c15="http://schemas.microsoft.com/office/drawing/2012/chart" uri="{CE6537A1-D6FC-4f65-9D91-7224C49458BB}"/>
                <c:ext xmlns:c16="http://schemas.microsoft.com/office/drawing/2014/chart" uri="{C3380CC4-5D6E-409C-BE32-E72D297353CC}">
                  <c16:uniqueId val="{0000007C-7D94-44AA-8534-CCDC26C118F5}"/>
                </c:ext>
              </c:extLst>
            </c:dLbl>
            <c:dLbl>
              <c:idx val="124"/>
              <c:delete val="1"/>
              <c:extLst>
                <c:ext xmlns:c15="http://schemas.microsoft.com/office/drawing/2012/chart" uri="{CE6537A1-D6FC-4f65-9D91-7224C49458BB}"/>
                <c:ext xmlns:c16="http://schemas.microsoft.com/office/drawing/2014/chart" uri="{C3380CC4-5D6E-409C-BE32-E72D297353CC}">
                  <c16:uniqueId val="{0000007D-7D94-44AA-8534-CCDC26C118F5}"/>
                </c:ext>
              </c:extLst>
            </c:dLbl>
            <c:dLbl>
              <c:idx val="125"/>
              <c:layout>
                <c:manualLayout>
                  <c:x val="-1.5363637099320424E-3"/>
                  <c:y val="-1.5596332192222102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I7</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8062382489958543E-3"/>
                      <c:h val="2.4014947048027667E-2"/>
                    </c:manualLayout>
                  </c15:layout>
                  <c15:showDataLabelsRange val="0"/>
                </c:ext>
                <c:ext xmlns:c16="http://schemas.microsoft.com/office/drawing/2014/chart" uri="{C3380CC4-5D6E-409C-BE32-E72D297353CC}">
                  <c16:uniqueId val="{0000007E-7D94-44AA-8534-CCDC26C118F5}"/>
                </c:ext>
              </c:extLst>
            </c:dLbl>
            <c:dLbl>
              <c:idx val="126"/>
              <c:delete val="1"/>
              <c:extLst>
                <c:ext xmlns:c15="http://schemas.microsoft.com/office/drawing/2012/chart" uri="{CE6537A1-D6FC-4f65-9D91-7224C49458BB}"/>
                <c:ext xmlns:c16="http://schemas.microsoft.com/office/drawing/2014/chart" uri="{C3380CC4-5D6E-409C-BE32-E72D297353CC}">
                  <c16:uniqueId val="{0000007F-7D94-44AA-8534-CCDC26C118F5}"/>
                </c:ext>
              </c:extLst>
            </c:dLbl>
            <c:dLbl>
              <c:idx val="127"/>
              <c:delete val="1"/>
              <c:extLst>
                <c:ext xmlns:c15="http://schemas.microsoft.com/office/drawing/2012/chart" uri="{CE6537A1-D6FC-4f65-9D91-7224C49458BB}"/>
                <c:ext xmlns:c16="http://schemas.microsoft.com/office/drawing/2014/chart" uri="{C3380CC4-5D6E-409C-BE32-E72D297353CC}">
                  <c16:uniqueId val="{00000080-7D94-44AA-8534-CCDC26C118F5}"/>
                </c:ext>
              </c:extLst>
            </c:dLbl>
            <c:dLbl>
              <c:idx val="128"/>
              <c:delete val="1"/>
              <c:extLst>
                <c:ext xmlns:c15="http://schemas.microsoft.com/office/drawing/2012/chart" uri="{CE6537A1-D6FC-4f65-9D91-7224C49458BB}"/>
                <c:ext xmlns:c16="http://schemas.microsoft.com/office/drawing/2014/chart" uri="{C3380CC4-5D6E-409C-BE32-E72D297353CC}">
                  <c16:uniqueId val="{00000081-7D94-44AA-8534-CCDC26C118F5}"/>
                </c:ext>
              </c:extLst>
            </c:dLbl>
            <c:dLbl>
              <c:idx val="129"/>
              <c:delete val="1"/>
              <c:extLst>
                <c:ext xmlns:c15="http://schemas.microsoft.com/office/drawing/2012/chart" uri="{CE6537A1-D6FC-4f65-9D91-7224C49458BB}"/>
                <c:ext xmlns:c16="http://schemas.microsoft.com/office/drawing/2014/chart" uri="{C3380CC4-5D6E-409C-BE32-E72D297353CC}">
                  <c16:uniqueId val="{00000082-7D94-44AA-8534-CCDC26C118F5}"/>
                </c:ext>
              </c:extLst>
            </c:dLbl>
            <c:dLbl>
              <c:idx val="130"/>
              <c:delete val="1"/>
              <c:extLst>
                <c:ext xmlns:c15="http://schemas.microsoft.com/office/drawing/2012/chart" uri="{CE6537A1-D6FC-4f65-9D91-7224C49458BB}">
                  <c15:layout>
                    <c:manualLayout>
                      <c:w val="1.3370818690167961E-2"/>
                      <c:h val="1.9028295444260688E-2"/>
                    </c:manualLayout>
                  </c15:layout>
                </c:ext>
                <c:ext xmlns:c16="http://schemas.microsoft.com/office/drawing/2014/chart" uri="{C3380CC4-5D6E-409C-BE32-E72D297353CC}">
                  <c16:uniqueId val="{00000083-7D94-44AA-8534-CCDC26C118F5}"/>
                </c:ext>
              </c:extLst>
            </c:dLbl>
            <c:dLbl>
              <c:idx val="131"/>
              <c:delete val="1"/>
              <c:extLst>
                <c:ext xmlns:c15="http://schemas.microsoft.com/office/drawing/2012/chart" uri="{CE6537A1-D6FC-4f65-9D91-7224C49458BB}"/>
                <c:ext xmlns:c16="http://schemas.microsoft.com/office/drawing/2014/chart" uri="{C3380CC4-5D6E-409C-BE32-E72D297353CC}">
                  <c16:uniqueId val="{00000084-7D94-44AA-8534-CCDC26C118F5}"/>
                </c:ext>
              </c:extLst>
            </c:dLbl>
            <c:dLbl>
              <c:idx val="132"/>
              <c:delete val="1"/>
              <c:extLst>
                <c:ext xmlns:c15="http://schemas.microsoft.com/office/drawing/2012/chart" uri="{CE6537A1-D6FC-4f65-9D91-7224C49458BB}"/>
                <c:ext xmlns:c16="http://schemas.microsoft.com/office/drawing/2014/chart" uri="{C3380CC4-5D6E-409C-BE32-E72D297353CC}">
                  <c16:uniqueId val="{00000085-7D94-44AA-8534-CCDC26C118F5}"/>
                </c:ext>
              </c:extLst>
            </c:dLbl>
            <c:dLbl>
              <c:idx val="133"/>
              <c:layout>
                <c:manualLayout>
                  <c:x val="-2.5708432129437058E-3"/>
                  <c:y val="-1.410914966898494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I6</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600958153612094E-3"/>
                      <c:h val="1.9553329827579603E-2"/>
                    </c:manualLayout>
                  </c15:layout>
                  <c15:showDataLabelsRange val="0"/>
                </c:ext>
                <c:ext xmlns:c16="http://schemas.microsoft.com/office/drawing/2014/chart" uri="{C3380CC4-5D6E-409C-BE32-E72D297353CC}">
                  <c16:uniqueId val="{00000086-7D94-44AA-8534-CCDC26C118F5}"/>
                </c:ext>
              </c:extLst>
            </c:dLbl>
            <c:dLbl>
              <c:idx val="134"/>
              <c:delete val="1"/>
              <c:extLst>
                <c:ext xmlns:c15="http://schemas.microsoft.com/office/drawing/2012/chart" uri="{CE6537A1-D6FC-4f65-9D91-7224C49458BB}"/>
                <c:ext xmlns:c16="http://schemas.microsoft.com/office/drawing/2014/chart" uri="{C3380CC4-5D6E-409C-BE32-E72D297353CC}">
                  <c16:uniqueId val="{00000087-7D94-44AA-8534-CCDC26C118F5}"/>
                </c:ext>
              </c:extLst>
            </c:dLbl>
            <c:dLbl>
              <c:idx val="135"/>
              <c:delete val="1"/>
              <c:extLst>
                <c:ext xmlns:c15="http://schemas.microsoft.com/office/drawing/2012/chart" uri="{CE6537A1-D6FC-4f65-9D91-7224C49458BB}"/>
                <c:ext xmlns:c16="http://schemas.microsoft.com/office/drawing/2014/chart" uri="{C3380CC4-5D6E-409C-BE32-E72D297353CC}">
                  <c16:uniqueId val="{00000088-7D94-44AA-8534-CCDC26C118F5}"/>
                </c:ext>
              </c:extLst>
            </c:dLbl>
            <c:dLbl>
              <c:idx val="136"/>
              <c:delete val="1"/>
              <c:extLst>
                <c:ext xmlns:c15="http://schemas.microsoft.com/office/drawing/2012/chart" uri="{CE6537A1-D6FC-4f65-9D91-7224C49458BB}"/>
                <c:ext xmlns:c16="http://schemas.microsoft.com/office/drawing/2014/chart" uri="{C3380CC4-5D6E-409C-BE32-E72D297353CC}">
                  <c16:uniqueId val="{00000089-7D94-44AA-8534-CCDC26C118F5}"/>
                </c:ext>
              </c:extLst>
            </c:dLbl>
            <c:dLbl>
              <c:idx val="137"/>
              <c:delete val="1"/>
              <c:extLst>
                <c:ext xmlns:c15="http://schemas.microsoft.com/office/drawing/2012/chart" uri="{CE6537A1-D6FC-4f65-9D91-7224C49458BB}"/>
                <c:ext xmlns:c16="http://schemas.microsoft.com/office/drawing/2014/chart" uri="{C3380CC4-5D6E-409C-BE32-E72D297353CC}">
                  <c16:uniqueId val="{0000008A-7D94-44AA-8534-CCDC26C118F5}"/>
                </c:ext>
              </c:extLst>
            </c:dLbl>
            <c:dLbl>
              <c:idx val="138"/>
              <c:delete val="1"/>
              <c:extLst>
                <c:ext xmlns:c15="http://schemas.microsoft.com/office/drawing/2012/chart" uri="{CE6537A1-D6FC-4f65-9D91-7224C49458BB}"/>
                <c:ext xmlns:c16="http://schemas.microsoft.com/office/drawing/2014/chart" uri="{C3380CC4-5D6E-409C-BE32-E72D297353CC}">
                  <c16:uniqueId val="{0000008B-7D94-44AA-8534-CCDC26C118F5}"/>
                </c:ext>
              </c:extLst>
            </c:dLbl>
            <c:dLbl>
              <c:idx val="139"/>
              <c:delete val="1"/>
              <c:extLst>
                <c:ext xmlns:c15="http://schemas.microsoft.com/office/drawing/2012/chart" uri="{CE6537A1-D6FC-4f65-9D91-7224C49458BB}"/>
                <c:ext xmlns:c16="http://schemas.microsoft.com/office/drawing/2014/chart" uri="{C3380CC4-5D6E-409C-BE32-E72D297353CC}">
                  <c16:uniqueId val="{0000008C-7D94-44AA-8534-CCDC26C118F5}"/>
                </c:ext>
              </c:extLst>
            </c:dLbl>
            <c:dLbl>
              <c:idx val="140"/>
              <c:delete val="1"/>
              <c:extLst>
                <c:ext xmlns:c15="http://schemas.microsoft.com/office/drawing/2012/chart" uri="{CE6537A1-D6FC-4f65-9D91-7224C49458BB}"/>
                <c:ext xmlns:c16="http://schemas.microsoft.com/office/drawing/2014/chart" uri="{C3380CC4-5D6E-409C-BE32-E72D297353CC}">
                  <c16:uniqueId val="{0000008D-7D94-44AA-8534-CCDC26C118F5}"/>
                </c:ext>
              </c:extLst>
            </c:dLbl>
            <c:dLbl>
              <c:idx val="141"/>
              <c:delete val="1"/>
              <c:extLst>
                <c:ext xmlns:c15="http://schemas.microsoft.com/office/drawing/2012/chart" uri="{CE6537A1-D6FC-4f65-9D91-7224C49458BB}"/>
                <c:ext xmlns:c16="http://schemas.microsoft.com/office/drawing/2014/chart" uri="{C3380CC4-5D6E-409C-BE32-E72D297353CC}">
                  <c16:uniqueId val="{0000008E-7D94-44AA-8534-CCDC26C118F5}"/>
                </c:ext>
              </c:extLst>
            </c:dLbl>
            <c:dLbl>
              <c:idx val="142"/>
              <c:delete val="1"/>
              <c:extLst>
                <c:ext xmlns:c15="http://schemas.microsoft.com/office/drawing/2012/chart" uri="{CE6537A1-D6FC-4f65-9D91-7224C49458BB}"/>
                <c:ext xmlns:c16="http://schemas.microsoft.com/office/drawing/2014/chart" uri="{C3380CC4-5D6E-409C-BE32-E72D297353CC}">
                  <c16:uniqueId val="{0000008F-7D94-44AA-8534-CCDC26C118F5}"/>
                </c:ext>
              </c:extLst>
            </c:dLbl>
            <c:dLbl>
              <c:idx val="143"/>
              <c:delete val="1"/>
              <c:extLst>
                <c:ext xmlns:c15="http://schemas.microsoft.com/office/drawing/2012/chart" uri="{CE6537A1-D6FC-4f65-9D91-7224C49458BB}"/>
                <c:ext xmlns:c16="http://schemas.microsoft.com/office/drawing/2014/chart" uri="{C3380CC4-5D6E-409C-BE32-E72D297353CC}">
                  <c16:uniqueId val="{00000090-7D94-44AA-8534-CCDC26C118F5}"/>
                </c:ext>
              </c:extLst>
            </c:dLbl>
            <c:dLbl>
              <c:idx val="144"/>
              <c:layout>
                <c:manualLayout>
                  <c:x val="-1.5746547868567794E-3"/>
                  <c:y val="-1.5314420836714361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I5</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5897635097771053E-3"/>
                      <c:h val="1.7784201123466375E-2"/>
                    </c:manualLayout>
                  </c15:layout>
                  <c15:showDataLabelsRange val="0"/>
                </c:ext>
                <c:ext xmlns:c16="http://schemas.microsoft.com/office/drawing/2014/chart" uri="{C3380CC4-5D6E-409C-BE32-E72D297353CC}">
                  <c16:uniqueId val="{00000091-7D94-44AA-8534-CCDC26C118F5}"/>
                </c:ext>
              </c:extLst>
            </c:dLbl>
            <c:dLbl>
              <c:idx val="145"/>
              <c:delete val="1"/>
              <c:extLst>
                <c:ext xmlns:c15="http://schemas.microsoft.com/office/drawing/2012/chart" uri="{CE6537A1-D6FC-4f65-9D91-7224C49458BB}"/>
                <c:ext xmlns:c16="http://schemas.microsoft.com/office/drawing/2014/chart" uri="{C3380CC4-5D6E-409C-BE32-E72D297353CC}">
                  <c16:uniqueId val="{00000092-7D94-44AA-8534-CCDC26C118F5}"/>
                </c:ext>
              </c:extLst>
            </c:dLbl>
            <c:dLbl>
              <c:idx val="146"/>
              <c:delete val="1"/>
              <c:extLst>
                <c:ext xmlns:c15="http://schemas.microsoft.com/office/drawing/2012/chart" uri="{CE6537A1-D6FC-4f65-9D91-7224C49458BB}"/>
                <c:ext xmlns:c16="http://schemas.microsoft.com/office/drawing/2014/chart" uri="{C3380CC4-5D6E-409C-BE32-E72D297353CC}">
                  <c16:uniqueId val="{00000093-7D94-44AA-8534-CCDC26C118F5}"/>
                </c:ext>
              </c:extLst>
            </c:dLbl>
            <c:dLbl>
              <c:idx val="147"/>
              <c:delete val="1"/>
              <c:extLst>
                <c:ext xmlns:c15="http://schemas.microsoft.com/office/drawing/2012/chart" uri="{CE6537A1-D6FC-4f65-9D91-7224C49458BB}"/>
                <c:ext xmlns:c16="http://schemas.microsoft.com/office/drawing/2014/chart" uri="{C3380CC4-5D6E-409C-BE32-E72D297353CC}">
                  <c16:uniqueId val="{00000094-7D94-44AA-8534-CCDC26C118F5}"/>
                </c:ext>
              </c:extLst>
            </c:dLbl>
            <c:dLbl>
              <c:idx val="148"/>
              <c:delete val="1"/>
              <c:extLst>
                <c:ext xmlns:c15="http://schemas.microsoft.com/office/drawing/2012/chart" uri="{CE6537A1-D6FC-4f65-9D91-7224C49458BB}"/>
                <c:ext xmlns:c16="http://schemas.microsoft.com/office/drawing/2014/chart" uri="{C3380CC4-5D6E-409C-BE32-E72D297353CC}">
                  <c16:uniqueId val="{00000095-7D94-44AA-8534-CCDC26C118F5}"/>
                </c:ext>
              </c:extLst>
            </c:dLbl>
            <c:dLbl>
              <c:idx val="149"/>
              <c:delete val="1"/>
              <c:extLst>
                <c:ext xmlns:c15="http://schemas.microsoft.com/office/drawing/2012/chart" uri="{CE6537A1-D6FC-4f65-9D91-7224C49458BB}"/>
                <c:ext xmlns:c16="http://schemas.microsoft.com/office/drawing/2014/chart" uri="{C3380CC4-5D6E-409C-BE32-E72D297353CC}">
                  <c16:uniqueId val="{00000096-7D94-44AA-8534-CCDC26C118F5}"/>
                </c:ext>
              </c:extLst>
            </c:dLbl>
            <c:dLbl>
              <c:idx val="150"/>
              <c:delete val="1"/>
              <c:extLst>
                <c:ext xmlns:c15="http://schemas.microsoft.com/office/drawing/2012/chart" uri="{CE6537A1-D6FC-4f65-9D91-7224C49458BB}"/>
                <c:ext xmlns:c16="http://schemas.microsoft.com/office/drawing/2014/chart" uri="{C3380CC4-5D6E-409C-BE32-E72D297353CC}">
                  <c16:uniqueId val="{00000097-7D94-44AA-8534-CCDC26C118F5}"/>
                </c:ext>
              </c:extLst>
            </c:dLbl>
            <c:dLbl>
              <c:idx val="151"/>
              <c:delete val="1"/>
              <c:extLst>
                <c:ext xmlns:c15="http://schemas.microsoft.com/office/drawing/2012/chart" uri="{CE6537A1-D6FC-4f65-9D91-7224C49458BB}"/>
                <c:ext xmlns:c16="http://schemas.microsoft.com/office/drawing/2014/chart" uri="{C3380CC4-5D6E-409C-BE32-E72D297353CC}">
                  <c16:uniqueId val="{00000098-7D94-44AA-8534-CCDC26C118F5}"/>
                </c:ext>
              </c:extLst>
            </c:dLbl>
            <c:dLbl>
              <c:idx val="152"/>
              <c:delete val="1"/>
              <c:extLst>
                <c:ext xmlns:c15="http://schemas.microsoft.com/office/drawing/2012/chart" uri="{CE6537A1-D6FC-4f65-9D91-7224C49458BB}"/>
                <c:ext xmlns:c16="http://schemas.microsoft.com/office/drawing/2014/chart" uri="{C3380CC4-5D6E-409C-BE32-E72D297353CC}">
                  <c16:uniqueId val="{00000099-7D94-44AA-8534-CCDC26C118F5}"/>
                </c:ext>
              </c:extLst>
            </c:dLbl>
            <c:dLbl>
              <c:idx val="153"/>
              <c:layout>
                <c:manualLayout>
                  <c:x val="-3.4220407700835957E-3"/>
                  <c:y val="-1.6320560549126405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I4</a:t>
                    </a:r>
                    <a:endParaRPr lang="en-US" sz="500">
                      <a:solidFill>
                        <a:schemeClr val="accent2"/>
                      </a:solidFill>
                    </a:endParaRP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6175127389651832E-3"/>
                      <c:h val="1.8668765475522989E-2"/>
                    </c:manualLayout>
                  </c15:layout>
                  <c15:showDataLabelsRange val="0"/>
                </c:ext>
                <c:ext xmlns:c16="http://schemas.microsoft.com/office/drawing/2014/chart" uri="{C3380CC4-5D6E-409C-BE32-E72D297353CC}">
                  <c16:uniqueId val="{0000009A-7D94-44AA-8534-CCDC26C118F5}"/>
                </c:ext>
              </c:extLst>
            </c:dLbl>
            <c:dLbl>
              <c:idx val="154"/>
              <c:delete val="1"/>
              <c:extLst>
                <c:ext xmlns:c15="http://schemas.microsoft.com/office/drawing/2012/chart" uri="{CE6537A1-D6FC-4f65-9D91-7224C49458BB}"/>
                <c:ext xmlns:c16="http://schemas.microsoft.com/office/drawing/2014/chart" uri="{C3380CC4-5D6E-409C-BE32-E72D297353CC}">
                  <c16:uniqueId val="{0000009B-7D94-44AA-8534-CCDC26C118F5}"/>
                </c:ext>
              </c:extLst>
            </c:dLbl>
            <c:dLbl>
              <c:idx val="155"/>
              <c:delete val="1"/>
              <c:extLst>
                <c:ext xmlns:c15="http://schemas.microsoft.com/office/drawing/2012/chart" uri="{CE6537A1-D6FC-4f65-9D91-7224C49458BB}"/>
                <c:ext xmlns:c16="http://schemas.microsoft.com/office/drawing/2014/chart" uri="{C3380CC4-5D6E-409C-BE32-E72D297353CC}">
                  <c16:uniqueId val="{0000009C-7D94-44AA-8534-CCDC26C118F5}"/>
                </c:ext>
              </c:extLst>
            </c:dLbl>
            <c:dLbl>
              <c:idx val="156"/>
              <c:delete val="1"/>
              <c:extLst>
                <c:ext xmlns:c15="http://schemas.microsoft.com/office/drawing/2012/chart" uri="{CE6537A1-D6FC-4f65-9D91-7224C49458BB}"/>
                <c:ext xmlns:c16="http://schemas.microsoft.com/office/drawing/2014/chart" uri="{C3380CC4-5D6E-409C-BE32-E72D297353CC}">
                  <c16:uniqueId val="{0000009D-7D94-44AA-8534-CCDC26C118F5}"/>
                </c:ext>
              </c:extLst>
            </c:dLbl>
            <c:dLbl>
              <c:idx val="157"/>
              <c:delete val="1"/>
              <c:extLst>
                <c:ext xmlns:c15="http://schemas.microsoft.com/office/drawing/2012/chart" uri="{CE6537A1-D6FC-4f65-9D91-7224C49458BB}"/>
                <c:ext xmlns:c16="http://schemas.microsoft.com/office/drawing/2014/chart" uri="{C3380CC4-5D6E-409C-BE32-E72D297353CC}">
                  <c16:uniqueId val="{0000009E-7D94-44AA-8534-CCDC26C118F5}"/>
                </c:ext>
              </c:extLst>
            </c:dLbl>
            <c:dLbl>
              <c:idx val="158"/>
              <c:delete val="1"/>
              <c:extLst>
                <c:ext xmlns:c15="http://schemas.microsoft.com/office/drawing/2012/chart" uri="{CE6537A1-D6FC-4f65-9D91-7224C49458BB}"/>
                <c:ext xmlns:c16="http://schemas.microsoft.com/office/drawing/2014/chart" uri="{C3380CC4-5D6E-409C-BE32-E72D297353CC}">
                  <c16:uniqueId val="{0000009F-7D94-44AA-8534-CCDC26C118F5}"/>
                </c:ext>
              </c:extLst>
            </c:dLbl>
            <c:dLbl>
              <c:idx val="159"/>
              <c:layout>
                <c:manualLayout>
                  <c:x val="-2.5314731342045534E-4"/>
                  <c:y val="-1.5435996197069793E-2"/>
                </c:manualLayout>
              </c:layout>
              <c:tx>
                <c:rich>
                  <a:bodyPr/>
                  <a:lstStyle/>
                  <a:p>
                    <a:r>
                      <a:rPr lang="en-US" sz="2000">
                        <a:solidFill>
                          <a:schemeClr val="accent2"/>
                        </a:solidFill>
                      </a:rPr>
                      <a:t>I3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7D94-44AA-8534-CCDC26C118F5}"/>
                </c:ext>
              </c:extLst>
            </c:dLbl>
            <c:dLbl>
              <c:idx val="160"/>
              <c:delete val="1"/>
              <c:extLst>
                <c:ext xmlns:c15="http://schemas.microsoft.com/office/drawing/2012/chart" uri="{CE6537A1-D6FC-4f65-9D91-7224C49458BB}"/>
                <c:ext xmlns:c16="http://schemas.microsoft.com/office/drawing/2014/chart" uri="{C3380CC4-5D6E-409C-BE32-E72D297353CC}">
                  <c16:uniqueId val="{000000A1-7D94-44AA-8534-CCDC26C118F5}"/>
                </c:ext>
              </c:extLst>
            </c:dLbl>
            <c:dLbl>
              <c:idx val="161"/>
              <c:delete val="1"/>
              <c:extLst>
                <c:ext xmlns:c15="http://schemas.microsoft.com/office/drawing/2012/chart" uri="{CE6537A1-D6FC-4f65-9D91-7224C49458BB}"/>
                <c:ext xmlns:c16="http://schemas.microsoft.com/office/drawing/2014/chart" uri="{C3380CC4-5D6E-409C-BE32-E72D297353CC}">
                  <c16:uniqueId val="{000000A2-7D94-44AA-8534-CCDC26C118F5}"/>
                </c:ext>
              </c:extLst>
            </c:dLbl>
            <c:dLbl>
              <c:idx val="162"/>
              <c:delete val="1"/>
              <c:extLst>
                <c:ext xmlns:c15="http://schemas.microsoft.com/office/drawing/2012/chart" uri="{CE6537A1-D6FC-4f65-9D91-7224C49458BB}"/>
                <c:ext xmlns:c16="http://schemas.microsoft.com/office/drawing/2014/chart" uri="{C3380CC4-5D6E-409C-BE32-E72D297353CC}">
                  <c16:uniqueId val="{000000A3-7D94-44AA-8534-CCDC26C118F5}"/>
                </c:ext>
              </c:extLst>
            </c:dLbl>
            <c:dLbl>
              <c:idx val="163"/>
              <c:delete val="1"/>
              <c:extLst>
                <c:ext xmlns:c15="http://schemas.microsoft.com/office/drawing/2012/chart" uri="{CE6537A1-D6FC-4f65-9D91-7224C49458BB}"/>
                <c:ext xmlns:c16="http://schemas.microsoft.com/office/drawing/2014/chart" uri="{C3380CC4-5D6E-409C-BE32-E72D297353CC}">
                  <c16:uniqueId val="{000000A4-7D94-44AA-8534-CCDC26C118F5}"/>
                </c:ext>
              </c:extLst>
            </c:dLbl>
            <c:dLbl>
              <c:idx val="164"/>
              <c:delete val="1"/>
              <c:extLst>
                <c:ext xmlns:c15="http://schemas.microsoft.com/office/drawing/2012/chart" uri="{CE6537A1-D6FC-4f65-9D91-7224C49458BB}"/>
                <c:ext xmlns:c16="http://schemas.microsoft.com/office/drawing/2014/chart" uri="{C3380CC4-5D6E-409C-BE32-E72D297353CC}">
                  <c16:uniqueId val="{000000A5-7D94-44AA-8534-CCDC26C118F5}"/>
                </c:ext>
              </c:extLst>
            </c:dLbl>
            <c:dLbl>
              <c:idx val="165"/>
              <c:delete val="1"/>
              <c:extLst>
                <c:ext xmlns:c15="http://schemas.microsoft.com/office/drawing/2012/chart" uri="{CE6537A1-D6FC-4f65-9D91-7224C49458BB}"/>
                <c:ext xmlns:c16="http://schemas.microsoft.com/office/drawing/2014/chart" uri="{C3380CC4-5D6E-409C-BE32-E72D297353CC}">
                  <c16:uniqueId val="{000000A6-7D94-44AA-8534-CCDC26C118F5}"/>
                </c:ext>
              </c:extLst>
            </c:dLbl>
            <c:dLbl>
              <c:idx val="166"/>
              <c:delete val="1"/>
              <c:extLst>
                <c:ext xmlns:c15="http://schemas.microsoft.com/office/drawing/2012/chart" uri="{CE6537A1-D6FC-4f65-9D91-7224C49458BB}"/>
                <c:ext xmlns:c16="http://schemas.microsoft.com/office/drawing/2014/chart" uri="{C3380CC4-5D6E-409C-BE32-E72D297353CC}">
                  <c16:uniqueId val="{000000A7-7D94-44AA-8534-CCDC26C118F5}"/>
                </c:ext>
              </c:extLst>
            </c:dLbl>
            <c:dLbl>
              <c:idx val="167"/>
              <c:layout>
                <c:manualLayout>
                  <c:x val="-2.5378122698691439E-3"/>
                  <c:y val="-1.4429891310025941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I2</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0758888951830663E-3"/>
                      <c:h val="1.9553329827579603E-2"/>
                    </c:manualLayout>
                  </c15:layout>
                  <c15:showDataLabelsRange val="0"/>
                </c:ext>
                <c:ext xmlns:c16="http://schemas.microsoft.com/office/drawing/2014/chart" uri="{C3380CC4-5D6E-409C-BE32-E72D297353CC}">
                  <c16:uniqueId val="{000000A8-7D94-44AA-8534-CCDC26C118F5}"/>
                </c:ext>
              </c:extLst>
            </c:dLbl>
            <c:dLbl>
              <c:idx val="168"/>
              <c:delete val="1"/>
              <c:extLst>
                <c:ext xmlns:c15="http://schemas.microsoft.com/office/drawing/2012/chart" uri="{CE6537A1-D6FC-4f65-9D91-7224C49458BB}"/>
                <c:ext xmlns:c16="http://schemas.microsoft.com/office/drawing/2014/chart" uri="{C3380CC4-5D6E-409C-BE32-E72D297353CC}">
                  <c16:uniqueId val="{000000A9-7D94-44AA-8534-CCDC26C118F5}"/>
                </c:ext>
              </c:extLst>
            </c:dLbl>
            <c:dLbl>
              <c:idx val="169"/>
              <c:delete val="1"/>
              <c:extLst>
                <c:ext xmlns:c15="http://schemas.microsoft.com/office/drawing/2012/chart" uri="{CE6537A1-D6FC-4f65-9D91-7224C49458BB}"/>
                <c:ext xmlns:c16="http://schemas.microsoft.com/office/drawing/2014/chart" uri="{C3380CC4-5D6E-409C-BE32-E72D297353CC}">
                  <c16:uniqueId val="{000000AA-7D94-44AA-8534-CCDC26C118F5}"/>
                </c:ext>
              </c:extLst>
            </c:dLbl>
            <c:dLbl>
              <c:idx val="170"/>
              <c:layout>
                <c:manualLayout>
                  <c:x val="-4.0952165152018877E-3"/>
                  <c:y val="-1.5314455662082487E-2"/>
                </c:manualLayout>
              </c:layout>
              <c:tx>
                <c:rich>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r>
                      <a:rPr lang="en-US" sz="2000">
                        <a:solidFill>
                          <a:schemeClr val="accent2"/>
                        </a:solidFill>
                      </a:rPr>
                      <a:t>I1</a:t>
                    </a:r>
                  </a:p>
                </c:rich>
              </c:tx>
              <c:spPr>
                <a:noFill/>
                <a:ln>
                  <a:noFill/>
                </a:ln>
                <a:effectLst/>
              </c:spPr>
              <c:txPr>
                <a:bodyPr rot="0" spcFirstLastPara="1" vertOverflow="ellipsis" vert="horz" wrap="square" lIns="38100" tIns="19050" rIns="38100" bIns="19050" anchor="ctr" anchorCtr="1">
                  <a:no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761055047975118E-3"/>
                      <c:h val="2.1322458531692828E-2"/>
                    </c:manualLayout>
                  </c15:layout>
                  <c15:showDataLabelsRange val="0"/>
                </c:ext>
                <c:ext xmlns:c16="http://schemas.microsoft.com/office/drawing/2014/chart" uri="{C3380CC4-5D6E-409C-BE32-E72D297353CC}">
                  <c16:uniqueId val="{000000AB-7D94-44AA-8534-CCDC26C118F5}"/>
                </c:ext>
              </c:extLst>
            </c:dLbl>
            <c:dLbl>
              <c:idx val="171"/>
              <c:delete val="1"/>
              <c:extLst>
                <c:ext xmlns:c15="http://schemas.microsoft.com/office/drawing/2012/chart" uri="{CE6537A1-D6FC-4f65-9D91-7224C49458BB}"/>
                <c:ext xmlns:c16="http://schemas.microsoft.com/office/drawing/2014/chart" uri="{C3380CC4-5D6E-409C-BE32-E72D297353CC}">
                  <c16:uniqueId val="{000000AC-7D94-44AA-8534-CCDC26C118F5}"/>
                </c:ext>
              </c:extLst>
            </c:dLbl>
            <c:dLbl>
              <c:idx val="172"/>
              <c:delete val="1"/>
              <c:extLst>
                <c:ext xmlns:c15="http://schemas.microsoft.com/office/drawing/2012/chart" uri="{CE6537A1-D6FC-4f65-9D91-7224C49458BB}"/>
                <c:ext xmlns:c16="http://schemas.microsoft.com/office/drawing/2014/chart" uri="{C3380CC4-5D6E-409C-BE32-E72D297353CC}">
                  <c16:uniqueId val="{000000AD-7D94-44AA-8534-CCDC26C118F5}"/>
                </c:ext>
              </c:extLst>
            </c:dLbl>
            <c:dLbl>
              <c:idx val="173"/>
              <c:delete val="1"/>
              <c:extLst>
                <c:ext xmlns:c15="http://schemas.microsoft.com/office/drawing/2012/chart" uri="{CE6537A1-D6FC-4f65-9D91-7224C49458BB}"/>
                <c:ext xmlns:c16="http://schemas.microsoft.com/office/drawing/2014/chart" uri="{C3380CC4-5D6E-409C-BE32-E72D297353CC}">
                  <c16:uniqueId val="{000000AE-7D94-44AA-8534-CCDC26C118F5}"/>
                </c:ext>
              </c:extLst>
            </c:dLbl>
            <c:dLbl>
              <c:idx val="174"/>
              <c:delete val="1"/>
              <c:extLst>
                <c:ext xmlns:c15="http://schemas.microsoft.com/office/drawing/2012/chart" uri="{CE6537A1-D6FC-4f65-9D91-7224C49458BB}"/>
                <c:ext xmlns:c16="http://schemas.microsoft.com/office/drawing/2014/chart" uri="{C3380CC4-5D6E-409C-BE32-E72D297353CC}">
                  <c16:uniqueId val="{000000AF-7D94-44AA-8534-CCDC26C118F5}"/>
                </c:ext>
              </c:extLst>
            </c:dLbl>
            <c:dLbl>
              <c:idx val="175"/>
              <c:delete val="1"/>
              <c:extLst>
                <c:ext xmlns:c15="http://schemas.microsoft.com/office/drawing/2012/chart" uri="{CE6537A1-D6FC-4f65-9D91-7224C49458BB}"/>
                <c:ext xmlns:c16="http://schemas.microsoft.com/office/drawing/2014/chart" uri="{C3380CC4-5D6E-409C-BE32-E72D297353CC}">
                  <c16:uniqueId val="{000000B0-7D94-44AA-8534-CCDC26C118F5}"/>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'Speed reference'!$A$2:$A$177</c:f>
              <c:numCache>
                <c:formatCode>0</c:formatCode>
                <c:ptCount val="176"/>
                <c:pt idx="0">
                  <c:v>0</c:v>
                </c:pt>
                <c:pt idx="1">
                  <c:v>6.0999999986961484</c:v>
                </c:pt>
                <c:pt idx="2">
                  <c:v>46.940000000176951</c:v>
                </c:pt>
                <c:pt idx="3">
                  <c:v>92.82</c:v>
                </c:pt>
                <c:pt idx="4">
                  <c:v>92.83000000868924</c:v>
                </c:pt>
                <c:pt idx="5">
                  <c:v>192.32</c:v>
                </c:pt>
                <c:pt idx="6">
                  <c:v>192.32999999076128</c:v>
                </c:pt>
                <c:pt idx="7">
                  <c:v>251.09</c:v>
                </c:pt>
                <c:pt idx="8">
                  <c:v>251.09999999403954</c:v>
                </c:pt>
                <c:pt idx="9">
                  <c:v>428.40000000433065</c:v>
                </c:pt>
                <c:pt idx="10">
                  <c:v>500.81</c:v>
                </c:pt>
                <c:pt idx="11">
                  <c:v>500.82000001566485</c:v>
                </c:pt>
                <c:pt idx="12">
                  <c:v>552.79999999999995</c:v>
                </c:pt>
                <c:pt idx="13">
                  <c:v>552.80999999376945</c:v>
                </c:pt>
                <c:pt idx="14">
                  <c:v>593.83000000000004</c:v>
                </c:pt>
                <c:pt idx="15">
                  <c:v>593.8400000159163</c:v>
                </c:pt>
                <c:pt idx="16">
                  <c:v>768.42</c:v>
                </c:pt>
                <c:pt idx="17">
                  <c:v>768.42999999644235</c:v>
                </c:pt>
                <c:pt idx="18">
                  <c:v>805.22999999811873</c:v>
                </c:pt>
                <c:pt idx="19">
                  <c:v>859.45000001811422</c:v>
                </c:pt>
                <c:pt idx="20">
                  <c:v>906.35</c:v>
                </c:pt>
                <c:pt idx="21">
                  <c:v>906.35999999358319</c:v>
                </c:pt>
                <c:pt idx="22">
                  <c:v>1001.2400000123307</c:v>
                </c:pt>
                <c:pt idx="23">
                  <c:v>1115.6499999924563</c:v>
                </c:pt>
                <c:pt idx="24">
                  <c:v>1214.3</c:v>
                </c:pt>
                <c:pt idx="25">
                  <c:v>1214.3100000103004</c:v>
                </c:pt>
                <c:pt idx="26">
                  <c:v>1259.6800000173971</c:v>
                </c:pt>
                <c:pt idx="27">
                  <c:v>1325.03</c:v>
                </c:pt>
                <c:pt idx="28">
                  <c:v>1325.0399999960791</c:v>
                </c:pt>
                <c:pt idx="29">
                  <c:v>1361.76</c:v>
                </c:pt>
                <c:pt idx="30">
                  <c:v>1361.7700000177138</c:v>
                </c:pt>
                <c:pt idx="31">
                  <c:v>1550.9500000043772</c:v>
                </c:pt>
                <c:pt idx="32">
                  <c:v>1864.21</c:v>
                </c:pt>
                <c:pt idx="33">
                  <c:v>1864.2200000176672</c:v>
                </c:pt>
                <c:pt idx="34">
                  <c:v>1900.3399999928661</c:v>
                </c:pt>
                <c:pt idx="35">
                  <c:v>1969.22</c:v>
                </c:pt>
                <c:pt idx="36">
                  <c:v>1969.230000016978</c:v>
                </c:pt>
                <c:pt idx="37">
                  <c:v>2008.69</c:v>
                </c:pt>
                <c:pt idx="38">
                  <c:v>2008.7000000057742</c:v>
                </c:pt>
                <c:pt idx="39">
                  <c:v>2174.7599999944214</c:v>
                </c:pt>
                <c:pt idx="40">
                  <c:v>2387.8600000170991</c:v>
                </c:pt>
                <c:pt idx="41">
                  <c:v>2551.3800000189804</c:v>
                </c:pt>
                <c:pt idx="42">
                  <c:v>2654.03</c:v>
                </c:pt>
                <c:pt idx="43">
                  <c:v>2654.0399999939837</c:v>
                </c:pt>
                <c:pt idx="44">
                  <c:v>2687.7099999983329</c:v>
                </c:pt>
                <c:pt idx="45">
                  <c:v>2765.2900000102818</c:v>
                </c:pt>
                <c:pt idx="46">
                  <c:v>2969.75</c:v>
                </c:pt>
                <c:pt idx="47">
                  <c:v>2969.7600000072271</c:v>
                </c:pt>
                <c:pt idx="48">
                  <c:v>3021.0000000079162</c:v>
                </c:pt>
                <c:pt idx="49">
                  <c:v>3041.2599999981467</c:v>
                </c:pt>
                <c:pt idx="50">
                  <c:v>3075.8100000093691</c:v>
                </c:pt>
                <c:pt idx="51">
                  <c:v>3103.22</c:v>
                </c:pt>
                <c:pt idx="52">
                  <c:v>3103.2300000078976</c:v>
                </c:pt>
                <c:pt idx="53">
                  <c:v>3150.5900000047404</c:v>
                </c:pt>
                <c:pt idx="54">
                  <c:v>3281.0100000060629</c:v>
                </c:pt>
                <c:pt idx="55">
                  <c:v>3337.679999996908</c:v>
                </c:pt>
                <c:pt idx="56">
                  <c:v>3381.33</c:v>
                </c:pt>
                <c:pt idx="57">
                  <c:v>3381.3399999926332</c:v>
                </c:pt>
                <c:pt idx="58">
                  <c:v>3559.26</c:v>
                </c:pt>
                <c:pt idx="59">
                  <c:v>3559.2699999979232</c:v>
                </c:pt>
                <c:pt idx="60">
                  <c:v>3692.02</c:v>
                </c:pt>
                <c:pt idx="61">
                  <c:v>3692.0300000056159</c:v>
                </c:pt>
                <c:pt idx="62">
                  <c:v>3731.99</c:v>
                </c:pt>
                <c:pt idx="63">
                  <c:v>3732.0000000181608</c:v>
                </c:pt>
                <c:pt idx="64">
                  <c:v>3787.4700000102166</c:v>
                </c:pt>
                <c:pt idx="65">
                  <c:v>3847.61</c:v>
                </c:pt>
                <c:pt idx="66">
                  <c:v>3847.6200000150129</c:v>
                </c:pt>
                <c:pt idx="67">
                  <c:v>4154.72</c:v>
                </c:pt>
                <c:pt idx="68">
                  <c:v>4154.7300000092946</c:v>
                </c:pt>
                <c:pt idx="69">
                  <c:v>4206.8000000144821</c:v>
                </c:pt>
                <c:pt idx="70">
                  <c:v>4246.3599999999997</c:v>
                </c:pt>
                <c:pt idx="71">
                  <c:v>4246.370000008028</c:v>
                </c:pt>
                <c:pt idx="72">
                  <c:v>4939.54</c:v>
                </c:pt>
                <c:pt idx="73">
                  <c:v>4939.5500000100583</c:v>
                </c:pt>
                <c:pt idx="74">
                  <c:v>4966.2799999932759</c:v>
                </c:pt>
                <c:pt idx="75">
                  <c:v>5032.3500000000004</c:v>
                </c:pt>
                <c:pt idx="76">
                  <c:v>5032.3600000119768</c:v>
                </c:pt>
                <c:pt idx="77">
                  <c:v>5068.4699999983422</c:v>
                </c:pt>
                <c:pt idx="78">
                  <c:v>5075.82</c:v>
                </c:pt>
                <c:pt idx="79">
                  <c:v>5075.8300000161398</c:v>
                </c:pt>
                <c:pt idx="80">
                  <c:v>5187.1400000000003</c:v>
                </c:pt>
                <c:pt idx="81">
                  <c:v>5187.1500000124797</c:v>
                </c:pt>
                <c:pt idx="82">
                  <c:v>5237.83</c:v>
                </c:pt>
                <c:pt idx="83">
                  <c:v>5237.8400000161491</c:v>
                </c:pt>
                <c:pt idx="84">
                  <c:v>5315.7700000156183</c:v>
                </c:pt>
                <c:pt idx="85">
                  <c:v>5355.57</c:v>
                </c:pt>
                <c:pt idx="86">
                  <c:v>5355.5800000031013</c:v>
                </c:pt>
                <c:pt idx="87">
                  <c:v>5522.47</c:v>
                </c:pt>
                <c:pt idx="88">
                  <c:v>5522.480000014184</c:v>
                </c:pt>
                <c:pt idx="89">
                  <c:v>5555.65</c:v>
                </c:pt>
                <c:pt idx="90">
                  <c:v>5555.6600000127219</c:v>
                </c:pt>
                <c:pt idx="91">
                  <c:v>5926.52</c:v>
                </c:pt>
                <c:pt idx="92">
                  <c:v>5926.5299999970011</c:v>
                </c:pt>
                <c:pt idx="93">
                  <c:v>5960.8500000031199</c:v>
                </c:pt>
                <c:pt idx="94">
                  <c:v>6008.1200000131503</c:v>
                </c:pt>
                <c:pt idx="95">
                  <c:v>6061.9</c:v>
                </c:pt>
                <c:pt idx="96">
                  <c:v>6061.9100000185426</c:v>
                </c:pt>
                <c:pt idx="97">
                  <c:v>6424.75</c:v>
                </c:pt>
                <c:pt idx="98">
                  <c:v>6424.7599999944214</c:v>
                </c:pt>
                <c:pt idx="99">
                  <c:v>6488.9</c:v>
                </c:pt>
                <c:pt idx="100">
                  <c:v>6488.9100000145845</c:v>
                </c:pt>
                <c:pt idx="101">
                  <c:v>6602.77</c:v>
                </c:pt>
                <c:pt idx="102">
                  <c:v>6602.7800000156276</c:v>
                </c:pt>
                <c:pt idx="103">
                  <c:v>6688.5699999984354</c:v>
                </c:pt>
                <c:pt idx="104">
                  <c:v>6724.6900000027381</c:v>
                </c:pt>
                <c:pt idx="105">
                  <c:v>6764.29</c:v>
                </c:pt>
                <c:pt idx="106">
                  <c:v>6764.3000000098255</c:v>
                </c:pt>
                <c:pt idx="107">
                  <c:v>6814.0600000042468</c:v>
                </c:pt>
                <c:pt idx="108">
                  <c:v>6846.42</c:v>
                </c:pt>
                <c:pt idx="109">
                  <c:v>6846.4300000050571</c:v>
                </c:pt>
                <c:pt idx="110">
                  <c:v>7305.29</c:v>
                </c:pt>
                <c:pt idx="111">
                  <c:v>7305.3000000072643</c:v>
                </c:pt>
                <c:pt idx="112">
                  <c:v>7353.0099999916274</c:v>
                </c:pt>
                <c:pt idx="113">
                  <c:v>7394.7899999911897</c:v>
                </c:pt>
                <c:pt idx="114">
                  <c:v>7419.14</c:v>
                </c:pt>
                <c:pt idx="115">
                  <c:v>7419.1500000015367</c:v>
                </c:pt>
                <c:pt idx="116">
                  <c:v>7717.28</c:v>
                </c:pt>
                <c:pt idx="117">
                  <c:v>7717.2900000005029</c:v>
                </c:pt>
                <c:pt idx="118">
                  <c:v>7771.630000002915</c:v>
                </c:pt>
                <c:pt idx="119">
                  <c:v>7802.51</c:v>
                </c:pt>
                <c:pt idx="120">
                  <c:v>7802.5199999974575</c:v>
                </c:pt>
                <c:pt idx="121">
                  <c:v>8154.01</c:v>
                </c:pt>
                <c:pt idx="122">
                  <c:v>8154.0200000163168</c:v>
                </c:pt>
                <c:pt idx="123">
                  <c:v>8191.9099999940954</c:v>
                </c:pt>
                <c:pt idx="124">
                  <c:v>8203.52</c:v>
                </c:pt>
                <c:pt idx="125">
                  <c:v>8203.5299999988638</c:v>
                </c:pt>
                <c:pt idx="126">
                  <c:v>8246.66000000434</c:v>
                </c:pt>
                <c:pt idx="127">
                  <c:v>8298.16</c:v>
                </c:pt>
                <c:pt idx="128">
                  <c:v>8298.1699999945704</c:v>
                </c:pt>
                <c:pt idx="129">
                  <c:v>8941.84</c:v>
                </c:pt>
                <c:pt idx="130">
                  <c:v>8941.8500000028871</c:v>
                </c:pt>
                <c:pt idx="131">
                  <c:v>9034.34</c:v>
                </c:pt>
                <c:pt idx="132">
                  <c:v>9034.3500000017229</c:v>
                </c:pt>
                <c:pt idx="133">
                  <c:v>9064.379999996163</c:v>
                </c:pt>
                <c:pt idx="134">
                  <c:v>9112.410000001546</c:v>
                </c:pt>
                <c:pt idx="135">
                  <c:v>9130.08</c:v>
                </c:pt>
                <c:pt idx="136">
                  <c:v>9130.0899999914691</c:v>
                </c:pt>
                <c:pt idx="137">
                  <c:v>9164.8100000165869</c:v>
                </c:pt>
                <c:pt idx="138">
                  <c:v>9187.0499999999993</c:v>
                </c:pt>
                <c:pt idx="139">
                  <c:v>9187.0599999965634</c:v>
                </c:pt>
                <c:pt idx="140">
                  <c:v>9276.27</c:v>
                </c:pt>
                <c:pt idx="141">
                  <c:v>9276.2799999909475</c:v>
                </c:pt>
                <c:pt idx="142">
                  <c:v>9796.34</c:v>
                </c:pt>
                <c:pt idx="143">
                  <c:v>9796.3500000187196</c:v>
                </c:pt>
                <c:pt idx="144">
                  <c:v>9858.379999990575</c:v>
                </c:pt>
                <c:pt idx="145">
                  <c:v>9915.41</c:v>
                </c:pt>
                <c:pt idx="146">
                  <c:v>9915.4200000048149</c:v>
                </c:pt>
                <c:pt idx="147">
                  <c:v>9956.91</c:v>
                </c:pt>
                <c:pt idx="148">
                  <c:v>9956.9199999968987</c:v>
                </c:pt>
                <c:pt idx="149">
                  <c:v>10102.92</c:v>
                </c:pt>
                <c:pt idx="150">
                  <c:v>10102.929999993648</c:v>
                </c:pt>
                <c:pt idx="151">
                  <c:v>10560.2</c:v>
                </c:pt>
                <c:pt idx="152">
                  <c:v>10560.209999996005</c:v>
                </c:pt>
                <c:pt idx="153">
                  <c:v>10600.860000005923</c:v>
                </c:pt>
                <c:pt idx="154">
                  <c:v>10632.279999990715</c:v>
                </c:pt>
                <c:pt idx="155">
                  <c:v>10695.75</c:v>
                </c:pt>
                <c:pt idx="156">
                  <c:v>10695.760000002338</c:v>
                </c:pt>
                <c:pt idx="157">
                  <c:v>11029</c:v>
                </c:pt>
                <c:pt idx="158">
                  <c:v>11029.009999998379</c:v>
                </c:pt>
                <c:pt idx="159">
                  <c:v>11068.250000011176</c:v>
                </c:pt>
                <c:pt idx="160">
                  <c:v>11123.28</c:v>
                </c:pt>
                <c:pt idx="161">
                  <c:v>11123.290000017732</c:v>
                </c:pt>
                <c:pt idx="162">
                  <c:v>11160.96</c:v>
                </c:pt>
                <c:pt idx="163">
                  <c:v>11160.969999997178</c:v>
                </c:pt>
                <c:pt idx="164">
                  <c:v>11374.869999999646</c:v>
                </c:pt>
                <c:pt idx="165">
                  <c:v>11463.96</c:v>
                </c:pt>
                <c:pt idx="166">
                  <c:v>11463.970000011614</c:v>
                </c:pt>
                <c:pt idx="167">
                  <c:v>11501.510000001872</c:v>
                </c:pt>
                <c:pt idx="168">
                  <c:v>11549.28</c:v>
                </c:pt>
                <c:pt idx="169">
                  <c:v>11549.289999995381</c:v>
                </c:pt>
                <c:pt idx="170">
                  <c:v>11713.560000003781</c:v>
                </c:pt>
                <c:pt idx="171">
                  <c:v>11737.610000011045</c:v>
                </c:pt>
                <c:pt idx="172">
                  <c:v>11785.75</c:v>
                </c:pt>
                <c:pt idx="173">
                  <c:v>11785.759999998845</c:v>
                </c:pt>
                <c:pt idx="174">
                  <c:v>11867.259999999078</c:v>
                </c:pt>
                <c:pt idx="175">
                  <c:v>11901.050000014948</c:v>
                </c:pt>
              </c:numCache>
            </c:numRef>
          </c:xVal>
          <c:yVal>
            <c:numRef>
              <c:f>'Speed reference'!$B$2:$B$325</c:f>
              <c:numCache>
                <c:formatCode>General</c:formatCode>
                <c:ptCount val="176"/>
                <c:pt idx="0">
                  <c:v>15</c:v>
                </c:pt>
                <c:pt idx="1">
                  <c:v>15</c:v>
                </c:pt>
                <c:pt idx="2">
                  <c:v>15</c:v>
                </c:pt>
                <c:pt idx="3">
                  <c:v>15</c:v>
                </c:pt>
                <c:pt idx="4">
                  <c:v>40</c:v>
                </c:pt>
                <c:pt idx="5">
                  <c:v>40</c:v>
                </c:pt>
                <c:pt idx="6">
                  <c:v>30</c:v>
                </c:pt>
                <c:pt idx="7">
                  <c:v>30</c:v>
                </c:pt>
                <c:pt idx="8">
                  <c:v>50</c:v>
                </c:pt>
                <c:pt idx="9">
                  <c:v>50</c:v>
                </c:pt>
                <c:pt idx="10">
                  <c:v>50</c:v>
                </c:pt>
                <c:pt idx="11">
                  <c:v>40</c:v>
                </c:pt>
                <c:pt idx="12">
                  <c:v>40</c:v>
                </c:pt>
                <c:pt idx="13">
                  <c:v>30</c:v>
                </c:pt>
                <c:pt idx="14">
                  <c:v>30</c:v>
                </c:pt>
                <c:pt idx="15">
                  <c:v>60</c:v>
                </c:pt>
                <c:pt idx="16">
                  <c:v>60</c:v>
                </c:pt>
                <c:pt idx="17">
                  <c:v>40</c:v>
                </c:pt>
                <c:pt idx="18">
                  <c:v>40</c:v>
                </c:pt>
                <c:pt idx="19">
                  <c:v>40</c:v>
                </c:pt>
                <c:pt idx="20">
                  <c:v>40</c:v>
                </c:pt>
                <c:pt idx="21">
                  <c:v>60</c:v>
                </c:pt>
                <c:pt idx="22">
                  <c:v>60</c:v>
                </c:pt>
                <c:pt idx="23">
                  <c:v>60</c:v>
                </c:pt>
                <c:pt idx="24">
                  <c:v>60</c:v>
                </c:pt>
                <c:pt idx="25">
                  <c:v>50</c:v>
                </c:pt>
                <c:pt idx="26">
                  <c:v>50</c:v>
                </c:pt>
                <c:pt idx="27">
                  <c:v>50</c:v>
                </c:pt>
                <c:pt idx="28">
                  <c:v>30</c:v>
                </c:pt>
                <c:pt idx="29">
                  <c:v>30</c:v>
                </c:pt>
                <c:pt idx="30">
                  <c:v>60</c:v>
                </c:pt>
                <c:pt idx="31">
                  <c:v>60</c:v>
                </c:pt>
                <c:pt idx="32">
                  <c:v>60</c:v>
                </c:pt>
                <c:pt idx="33">
                  <c:v>50</c:v>
                </c:pt>
                <c:pt idx="34">
                  <c:v>50</c:v>
                </c:pt>
                <c:pt idx="35">
                  <c:v>50</c:v>
                </c:pt>
                <c:pt idx="36">
                  <c:v>30</c:v>
                </c:pt>
                <c:pt idx="37">
                  <c:v>30</c:v>
                </c:pt>
                <c:pt idx="38">
                  <c:v>60</c:v>
                </c:pt>
                <c:pt idx="39">
                  <c:v>60</c:v>
                </c:pt>
                <c:pt idx="40">
                  <c:v>60</c:v>
                </c:pt>
                <c:pt idx="41">
                  <c:v>60</c:v>
                </c:pt>
                <c:pt idx="42">
                  <c:v>60</c:v>
                </c:pt>
                <c:pt idx="43">
                  <c:v>40</c:v>
                </c:pt>
                <c:pt idx="44">
                  <c:v>40</c:v>
                </c:pt>
                <c:pt idx="45">
                  <c:v>40</c:v>
                </c:pt>
                <c:pt idx="46">
                  <c:v>40</c:v>
                </c:pt>
                <c:pt idx="47">
                  <c:v>25</c:v>
                </c:pt>
                <c:pt idx="48">
                  <c:v>25</c:v>
                </c:pt>
                <c:pt idx="49">
                  <c:v>25</c:v>
                </c:pt>
                <c:pt idx="50">
                  <c:v>25</c:v>
                </c:pt>
                <c:pt idx="51">
                  <c:v>25</c:v>
                </c:pt>
                <c:pt idx="52">
                  <c:v>40</c:v>
                </c:pt>
                <c:pt idx="53">
                  <c:v>40</c:v>
                </c:pt>
                <c:pt idx="54">
                  <c:v>40</c:v>
                </c:pt>
                <c:pt idx="55">
                  <c:v>40</c:v>
                </c:pt>
                <c:pt idx="56">
                  <c:v>40</c:v>
                </c:pt>
                <c:pt idx="57">
                  <c:v>60</c:v>
                </c:pt>
                <c:pt idx="58">
                  <c:v>60</c:v>
                </c:pt>
                <c:pt idx="59">
                  <c:v>50</c:v>
                </c:pt>
                <c:pt idx="60">
                  <c:v>50</c:v>
                </c:pt>
                <c:pt idx="61">
                  <c:v>30</c:v>
                </c:pt>
                <c:pt idx="62">
                  <c:v>30</c:v>
                </c:pt>
                <c:pt idx="63">
                  <c:v>50</c:v>
                </c:pt>
                <c:pt idx="64">
                  <c:v>50</c:v>
                </c:pt>
                <c:pt idx="65">
                  <c:v>50</c:v>
                </c:pt>
                <c:pt idx="66">
                  <c:v>60</c:v>
                </c:pt>
                <c:pt idx="67">
                  <c:v>60</c:v>
                </c:pt>
                <c:pt idx="68">
                  <c:v>50</c:v>
                </c:pt>
                <c:pt idx="69">
                  <c:v>50</c:v>
                </c:pt>
                <c:pt idx="70">
                  <c:v>50</c:v>
                </c:pt>
                <c:pt idx="71">
                  <c:v>70</c:v>
                </c:pt>
                <c:pt idx="72">
                  <c:v>70</c:v>
                </c:pt>
                <c:pt idx="73">
                  <c:v>50</c:v>
                </c:pt>
                <c:pt idx="74">
                  <c:v>50</c:v>
                </c:pt>
                <c:pt idx="75">
                  <c:v>50</c:v>
                </c:pt>
                <c:pt idx="76">
                  <c:v>30</c:v>
                </c:pt>
                <c:pt idx="77">
                  <c:v>30</c:v>
                </c:pt>
                <c:pt idx="78">
                  <c:v>30</c:v>
                </c:pt>
                <c:pt idx="79">
                  <c:v>50</c:v>
                </c:pt>
                <c:pt idx="80">
                  <c:v>50</c:v>
                </c:pt>
                <c:pt idx="81">
                  <c:v>40</c:v>
                </c:pt>
                <c:pt idx="82">
                  <c:v>40</c:v>
                </c:pt>
                <c:pt idx="83">
                  <c:v>20</c:v>
                </c:pt>
                <c:pt idx="84">
                  <c:v>20</c:v>
                </c:pt>
                <c:pt idx="85">
                  <c:v>20</c:v>
                </c:pt>
                <c:pt idx="86">
                  <c:v>40</c:v>
                </c:pt>
                <c:pt idx="87">
                  <c:v>40</c:v>
                </c:pt>
                <c:pt idx="88">
                  <c:v>50</c:v>
                </c:pt>
                <c:pt idx="89">
                  <c:v>50</c:v>
                </c:pt>
                <c:pt idx="90">
                  <c:v>60</c:v>
                </c:pt>
                <c:pt idx="91">
                  <c:v>60</c:v>
                </c:pt>
                <c:pt idx="92">
                  <c:v>30</c:v>
                </c:pt>
                <c:pt idx="93">
                  <c:v>30</c:v>
                </c:pt>
                <c:pt idx="94">
                  <c:v>30</c:v>
                </c:pt>
                <c:pt idx="95">
                  <c:v>30</c:v>
                </c:pt>
                <c:pt idx="96">
                  <c:v>70</c:v>
                </c:pt>
                <c:pt idx="97">
                  <c:v>70</c:v>
                </c:pt>
                <c:pt idx="98">
                  <c:v>40</c:v>
                </c:pt>
                <c:pt idx="99">
                  <c:v>40</c:v>
                </c:pt>
                <c:pt idx="100">
                  <c:v>15</c:v>
                </c:pt>
                <c:pt idx="101">
                  <c:v>15</c:v>
                </c:pt>
                <c:pt idx="102">
                  <c:v>25</c:v>
                </c:pt>
                <c:pt idx="103">
                  <c:v>25</c:v>
                </c:pt>
                <c:pt idx="104">
                  <c:v>25</c:v>
                </c:pt>
                <c:pt idx="105">
                  <c:v>25</c:v>
                </c:pt>
                <c:pt idx="106">
                  <c:v>50</c:v>
                </c:pt>
                <c:pt idx="107">
                  <c:v>50</c:v>
                </c:pt>
                <c:pt idx="108">
                  <c:v>50</c:v>
                </c:pt>
                <c:pt idx="109">
                  <c:v>65</c:v>
                </c:pt>
                <c:pt idx="110">
                  <c:v>65</c:v>
                </c:pt>
                <c:pt idx="111">
                  <c:v>50</c:v>
                </c:pt>
                <c:pt idx="112">
                  <c:v>50</c:v>
                </c:pt>
                <c:pt idx="113">
                  <c:v>50</c:v>
                </c:pt>
                <c:pt idx="114">
                  <c:v>50</c:v>
                </c:pt>
                <c:pt idx="115">
                  <c:v>60</c:v>
                </c:pt>
                <c:pt idx="116">
                  <c:v>60</c:v>
                </c:pt>
                <c:pt idx="117">
                  <c:v>50</c:v>
                </c:pt>
                <c:pt idx="118">
                  <c:v>50</c:v>
                </c:pt>
                <c:pt idx="119">
                  <c:v>50</c:v>
                </c:pt>
                <c:pt idx="120">
                  <c:v>60</c:v>
                </c:pt>
                <c:pt idx="121">
                  <c:v>60</c:v>
                </c:pt>
                <c:pt idx="122">
                  <c:v>30</c:v>
                </c:pt>
                <c:pt idx="123">
                  <c:v>30</c:v>
                </c:pt>
                <c:pt idx="124">
                  <c:v>30</c:v>
                </c:pt>
                <c:pt idx="125">
                  <c:v>50</c:v>
                </c:pt>
                <c:pt idx="126">
                  <c:v>50</c:v>
                </c:pt>
                <c:pt idx="127">
                  <c:v>50</c:v>
                </c:pt>
                <c:pt idx="128">
                  <c:v>70</c:v>
                </c:pt>
                <c:pt idx="129">
                  <c:v>70</c:v>
                </c:pt>
                <c:pt idx="130">
                  <c:v>50</c:v>
                </c:pt>
                <c:pt idx="131">
                  <c:v>50</c:v>
                </c:pt>
                <c:pt idx="132">
                  <c:v>40</c:v>
                </c:pt>
                <c:pt idx="133">
                  <c:v>40</c:v>
                </c:pt>
                <c:pt idx="134">
                  <c:v>40</c:v>
                </c:pt>
                <c:pt idx="135">
                  <c:v>40</c:v>
                </c:pt>
                <c:pt idx="136">
                  <c:v>30</c:v>
                </c:pt>
                <c:pt idx="137">
                  <c:v>30</c:v>
                </c:pt>
                <c:pt idx="138">
                  <c:v>30</c:v>
                </c:pt>
                <c:pt idx="139">
                  <c:v>25</c:v>
                </c:pt>
                <c:pt idx="140">
                  <c:v>25</c:v>
                </c:pt>
                <c:pt idx="141">
                  <c:v>70</c:v>
                </c:pt>
                <c:pt idx="142">
                  <c:v>70</c:v>
                </c:pt>
                <c:pt idx="143">
                  <c:v>50</c:v>
                </c:pt>
                <c:pt idx="144">
                  <c:v>50</c:v>
                </c:pt>
                <c:pt idx="145">
                  <c:v>50</c:v>
                </c:pt>
                <c:pt idx="146">
                  <c:v>30</c:v>
                </c:pt>
                <c:pt idx="147">
                  <c:v>30</c:v>
                </c:pt>
                <c:pt idx="148">
                  <c:v>50</c:v>
                </c:pt>
                <c:pt idx="149">
                  <c:v>50</c:v>
                </c:pt>
                <c:pt idx="150">
                  <c:v>65</c:v>
                </c:pt>
                <c:pt idx="151">
                  <c:v>65</c:v>
                </c:pt>
                <c:pt idx="152">
                  <c:v>50</c:v>
                </c:pt>
                <c:pt idx="153">
                  <c:v>50</c:v>
                </c:pt>
                <c:pt idx="154">
                  <c:v>50</c:v>
                </c:pt>
                <c:pt idx="155">
                  <c:v>50</c:v>
                </c:pt>
                <c:pt idx="156">
                  <c:v>70</c:v>
                </c:pt>
                <c:pt idx="157">
                  <c:v>70</c:v>
                </c:pt>
                <c:pt idx="158">
                  <c:v>50</c:v>
                </c:pt>
                <c:pt idx="159">
                  <c:v>50</c:v>
                </c:pt>
                <c:pt idx="160">
                  <c:v>50</c:v>
                </c:pt>
                <c:pt idx="161">
                  <c:v>30</c:v>
                </c:pt>
                <c:pt idx="162">
                  <c:v>30</c:v>
                </c:pt>
                <c:pt idx="163">
                  <c:v>60</c:v>
                </c:pt>
                <c:pt idx="164">
                  <c:v>60</c:v>
                </c:pt>
                <c:pt idx="165">
                  <c:v>60</c:v>
                </c:pt>
                <c:pt idx="166">
                  <c:v>50</c:v>
                </c:pt>
                <c:pt idx="167">
                  <c:v>50</c:v>
                </c:pt>
                <c:pt idx="168">
                  <c:v>50</c:v>
                </c:pt>
                <c:pt idx="169">
                  <c:v>20</c:v>
                </c:pt>
                <c:pt idx="170">
                  <c:v>20</c:v>
                </c:pt>
                <c:pt idx="171">
                  <c:v>20</c:v>
                </c:pt>
                <c:pt idx="172">
                  <c:v>20</c:v>
                </c:pt>
                <c:pt idx="173">
                  <c:v>15</c:v>
                </c:pt>
                <c:pt idx="174">
                  <c:v>15</c:v>
                </c:pt>
                <c:pt idx="175">
                  <c:v>15</c:v>
                </c:pt>
              </c:numCache>
            </c:numRef>
          </c:yVal>
          <c:smooth val="0"/>
          <c:extLst>
            <c:ext xmlns:c16="http://schemas.microsoft.com/office/drawing/2014/chart" uri="{C3380CC4-5D6E-409C-BE32-E72D297353CC}">
              <c16:uniqueId val="{000000B1-7D94-44AA-8534-CCDC26C118F5}"/>
            </c:ext>
          </c:extLst>
        </c:ser>
        <c:ser>
          <c:idx val="2"/>
          <c:order val="2"/>
          <c:tx>
            <c:v>Stops</c:v>
          </c:tx>
          <c:spPr>
            <a:ln w="9525" cap="rnd">
              <a:solidFill>
                <a:schemeClr val="accent3"/>
              </a:solidFill>
              <a:round/>
            </a:ln>
            <a:effectLst>
              <a:outerShdw blurRad="57150" dist="19050" dir="5400000" algn="ctr" rotWithShape="0">
                <a:srgbClr val="000000">
                  <a:alpha val="63000"/>
                </a:srgbClr>
              </a:outerShdw>
            </a:effectLst>
          </c:spPr>
          <c:marker>
            <c:symbol val="none"/>
          </c:marker>
          <c:dPt>
            <c:idx val="8"/>
            <c:marker>
              <c:symbol val="none"/>
            </c:marker>
            <c:bubble3D val="0"/>
            <c:extLst>
              <c:ext xmlns:c16="http://schemas.microsoft.com/office/drawing/2014/chart" uri="{C3380CC4-5D6E-409C-BE32-E72D297353CC}">
                <c16:uniqueId val="{000000B2-7D94-44AA-8534-CCDC26C118F5}"/>
              </c:ext>
            </c:extLst>
          </c:dPt>
          <c:dLbls>
            <c:dLbl>
              <c:idx val="1"/>
              <c:layout>
                <c:manualLayout>
                  <c:x val="-9.9378090328637002E-3"/>
                  <c:y val="-4.681225992261803E-4"/>
                </c:manualLayout>
              </c:layout>
              <c:tx>
                <c:rich>
                  <a:bodyPr/>
                  <a:lstStyle/>
                  <a:p>
                    <a:r>
                      <a:rPr lang="en-US" sz="2000"/>
                      <a:t>ALG</a:t>
                    </a:r>
                    <a:endParaRPr lang="en-US" sz="80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3-7D94-44AA-8534-CCDC26C118F5}"/>
                </c:ext>
              </c:extLst>
            </c:dLbl>
            <c:dLbl>
              <c:idx val="8"/>
              <c:layout>
                <c:manualLayout>
                  <c:x val="-8.1967213114754224E-3"/>
                  <c:y val="-8.368200836820083E-3"/>
                </c:manualLayout>
              </c:layout>
              <c:tx>
                <c:rich>
                  <a:bodyPr/>
                  <a:lstStyle/>
                  <a:p>
                    <a:r>
                      <a:rPr lang="en-US" sz="500"/>
                      <a:t>MCK</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2-7D94-44AA-8534-CCDC26C118F5}"/>
                </c:ext>
              </c:extLst>
            </c:dLbl>
            <c:dLbl>
              <c:idx val="13"/>
              <c:layout>
                <c:manualLayout>
                  <c:x val="-2.6458473266381269E-3"/>
                  <c:y val="1.5802359070441207E-2"/>
                </c:manualLayout>
              </c:layout>
              <c:tx>
                <c:rich>
                  <a:bodyPr/>
                  <a:lstStyle/>
                  <a:p>
                    <a:r>
                      <a:rPr lang="en-US" sz="2000"/>
                      <a:t>ELA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4-7D94-44AA-8534-CCDC26C118F5}"/>
                </c:ext>
              </c:extLst>
            </c:dLbl>
            <c:dLbl>
              <c:idx val="19"/>
              <c:layout>
                <c:manualLayout>
                  <c:x val="-8.1967213114754345E-3"/>
                  <c:y val="-8.368200836820083E-3"/>
                </c:manualLayout>
              </c:layout>
              <c:tx>
                <c:rich>
                  <a:bodyPr/>
                  <a:lstStyle/>
                  <a:p>
                    <a:r>
                      <a:rPr lang="en-US" sz="500"/>
                      <a:t>MPN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5-7D94-44AA-8534-CCDC26C118F5}"/>
                </c:ext>
              </c:extLst>
            </c:dLbl>
            <c:dLbl>
              <c:idx val="28"/>
              <c:layout>
                <c:manualLayout>
                  <c:x val="-2.2983547919819625E-3"/>
                  <c:y val="1.6686923422497883E-2"/>
                </c:manualLayout>
              </c:layout>
              <c:tx>
                <c:rich>
                  <a:bodyPr/>
                  <a:lstStyle/>
                  <a:p>
                    <a:r>
                      <a:rPr lang="en-US" sz="2000"/>
                      <a:t>IPA</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6-7D94-44AA-8534-CCDC26C118F5}"/>
                </c:ext>
              </c:extLst>
            </c:dLbl>
            <c:dLbl>
              <c:idx val="36"/>
              <c:layout>
                <c:manualLayout>
                  <c:x val="-3.4973955593680535E-3"/>
                  <c:y val="1.750190668890847E-2"/>
                </c:manualLayout>
              </c:layout>
              <c:tx>
                <c:rich>
                  <a:bodyPr/>
                  <a:lstStyle/>
                  <a:p>
                    <a:r>
                      <a:rPr lang="en-US" sz="2000"/>
                      <a:t>MCR</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7-7D94-44AA-8534-CCDC26C118F5}"/>
                </c:ext>
              </c:extLst>
            </c:dLbl>
            <c:dLbl>
              <c:idx val="44"/>
              <c:layout>
                <c:manualLayout>
                  <c:x val="-7.331378299120235E-3"/>
                  <c:y val="-6.0606060606061343E-3"/>
                </c:manualLayout>
              </c:layout>
              <c:tx>
                <c:rich>
                  <a:bodyPr/>
                  <a:lstStyle/>
                  <a:p>
                    <a:r>
                      <a:rPr lang="en-US" sz="500"/>
                      <a:t>WSN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8-7D94-44AA-8534-CCDC26C118F5}"/>
                </c:ext>
              </c:extLst>
            </c:dLbl>
            <c:dLbl>
              <c:idx val="50"/>
              <c:layout>
                <c:manualLayout>
                  <c:x val="-5.9706430581069449E-3"/>
                  <c:y val="1.6408320476968309E-2"/>
                </c:manualLayout>
              </c:layout>
              <c:tx>
                <c:rich>
                  <a:bodyPr/>
                  <a:lstStyle/>
                  <a:p>
                    <a:r>
                      <a:rPr lang="en-US" sz="2000"/>
                      <a:t>DKN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9-7D94-44AA-8534-CCDC26C118F5}"/>
                </c:ext>
              </c:extLst>
            </c:dLbl>
            <c:dLbl>
              <c:idx val="62"/>
              <c:layout>
                <c:manualLayout>
                  <c:x val="-6.4796082144408709E-3"/>
                  <c:y val="1.4639191772855019E-2"/>
                </c:manualLayout>
              </c:layout>
              <c:tx>
                <c:rich>
                  <a:bodyPr/>
                  <a:lstStyle/>
                  <a:p>
                    <a:r>
                      <a:rPr lang="en-US" sz="2000"/>
                      <a:t>SWN</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A-7D94-44AA-8534-CCDC26C118F5}"/>
                </c:ext>
              </c:extLst>
            </c:dLbl>
            <c:dLbl>
              <c:idx val="66"/>
              <c:layout>
                <c:manualLayout>
                  <c:x val="-2.932551319648094E-2"/>
                  <c:y val="-6.0606060606061343E-3"/>
                </c:manualLayout>
              </c:layout>
              <c:tx>
                <c:rich>
                  <a:bodyPr/>
                  <a:lstStyle/>
                  <a:p>
                    <a:r>
                      <a:rPr lang="en-US" sz="500"/>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B-7D94-44AA-8534-CCDC26C118F5}"/>
                </c:ext>
              </c:extLst>
            </c:dLbl>
            <c:dLbl>
              <c:idx val="76"/>
              <c:layout>
                <c:manualLayout>
                  <c:x val="-2.4760529034590101E-3"/>
                  <c:y val="1.4639191772855019E-2"/>
                </c:manualLayout>
              </c:layout>
              <c:tx>
                <c:rich>
                  <a:bodyPr/>
                  <a:lstStyle/>
                  <a:p>
                    <a:r>
                      <a:rPr lang="en-US" sz="2000"/>
                      <a:t>PLP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C-7D94-44AA-8534-CCDC26C118F5}"/>
                </c:ext>
              </c:extLst>
            </c:dLbl>
            <c:dLbl>
              <c:idx val="79"/>
              <c:layout>
                <c:manualLayout>
                  <c:x val="-5.8651026392961877E-3"/>
                  <c:y val="-6.0606060606061343E-3"/>
                </c:manualLayout>
              </c:layout>
              <c:tx>
                <c:rich>
                  <a:bodyPr/>
                  <a:lstStyle/>
                  <a:p>
                    <a:r>
                      <a:rPr lang="en-US" sz="500"/>
                      <a:t>EPC</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D-7D94-44AA-8534-CCDC26C118F5}"/>
                </c:ext>
              </c:extLst>
            </c:dLbl>
            <c:dLbl>
              <c:idx val="92"/>
              <c:layout>
                <c:manualLayout>
                  <c:x val="-3.1661285145112255E-3"/>
                  <c:y val="1.5523756124911631E-2"/>
                </c:manualLayout>
              </c:layout>
              <c:tx>
                <c:rich>
                  <a:bodyPr/>
                  <a:lstStyle/>
                  <a:p>
                    <a:r>
                      <a:rPr lang="en-US" sz="2000"/>
                      <a:t>EPC</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E-7D94-44AA-8534-CCDC26C118F5}"/>
                </c:ext>
              </c:extLst>
            </c:dLbl>
            <c:dLbl>
              <c:idx val="96"/>
              <c:layout>
                <c:manualLayout>
                  <c:x val="-5.8651026392961877E-3"/>
                  <c:y val="-8.0808080808081554E-3"/>
                </c:manualLayout>
              </c:layout>
              <c:tx>
                <c:rich>
                  <a:bodyPr/>
                  <a:lstStyle/>
                  <a:p>
                    <a:r>
                      <a:rPr lang="en-US" sz="500"/>
                      <a:t>PLP</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BF-7D94-44AA-8534-CCDC26C118F5}"/>
                </c:ext>
              </c:extLst>
            </c:dLbl>
            <c:dLbl>
              <c:idx val="105"/>
              <c:layout>
                <c:manualLayout>
                  <c:x val="-9.5628559020050543E-3"/>
                  <c:y val="1.4959933413895954E-2"/>
                </c:manualLayout>
              </c:layout>
              <c:tx>
                <c:rich>
                  <a:bodyPr/>
                  <a:lstStyle/>
                  <a:p>
                    <a:r>
                      <a:rPr lang="en-US" sz="2000"/>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0-7D94-44AA-8534-CCDC26C118F5}"/>
                </c:ext>
              </c:extLst>
            </c:dLbl>
            <c:dLbl>
              <c:idx val="112"/>
              <c:layout>
                <c:manualLayout>
                  <c:x val="-3.2258064516129031E-2"/>
                  <c:y val="-6.0606060606061343E-3"/>
                </c:manualLayout>
              </c:layout>
              <c:tx>
                <c:rich>
                  <a:bodyPr/>
                  <a:lstStyle/>
                  <a:p>
                    <a:r>
                      <a:rPr lang="en-US" sz="500"/>
                      <a:t>SWN</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1-7D94-44AA-8534-CCDC26C118F5}"/>
                </c:ext>
              </c:extLst>
            </c:dLbl>
            <c:dLbl>
              <c:idx val="123"/>
              <c:layout>
                <c:manualLayout>
                  <c:x val="-5.8822323468559236E-3"/>
                  <c:y val="1.4639191772855019E-2"/>
                </c:manualLayout>
              </c:layout>
              <c:tx>
                <c:rich>
                  <a:bodyPr/>
                  <a:lstStyle/>
                  <a:p>
                    <a:r>
                      <a:rPr lang="en-US" sz="2000"/>
                      <a:t>WSN</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2-7D94-44AA-8534-CCDC26C118F5}"/>
                </c:ext>
              </c:extLst>
            </c:dLbl>
            <c:dLbl>
              <c:idx val="125"/>
              <c:layout>
                <c:manualLayout>
                  <c:x val="-2.9325513196481044E-2"/>
                  <c:y val="-6.0606060606061343E-3"/>
                </c:manualLayout>
              </c:layout>
              <c:tx>
                <c:rich>
                  <a:bodyPr/>
                  <a:lstStyle/>
                  <a:p>
                    <a:r>
                      <a:rPr lang="en-US" sz="500"/>
                      <a:t>DKN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3-7D94-44AA-8534-CCDC26C118F5}"/>
                </c:ext>
              </c:extLst>
            </c:dLbl>
            <c:dLbl>
              <c:idx val="136"/>
              <c:layout>
                <c:manualLayout>
                  <c:x val="-4.8741344382311922E-3"/>
                  <c:y val="1.6408320476968177E-2"/>
                </c:manualLayout>
              </c:layout>
              <c:tx>
                <c:rich>
                  <a:bodyPr/>
                  <a:lstStyle/>
                  <a:p>
                    <a:r>
                      <a:rPr lang="en-US" sz="2000"/>
                      <a:t>NLR</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4-7D94-44AA-8534-CCDC26C118F5}"/>
                </c:ext>
              </c:extLst>
            </c:dLbl>
            <c:dLbl>
              <c:idx val="142"/>
              <c:layout>
                <c:manualLayout>
                  <c:x val="-3.3724340175953077E-2"/>
                  <c:y val="-6.0606060606061343E-3"/>
                </c:manualLayout>
              </c:layout>
              <c:tx>
                <c:rich>
                  <a:bodyPr/>
                  <a:lstStyle/>
                  <a:p>
                    <a:r>
                      <a:rPr lang="en-US" sz="500"/>
                      <a:t>MCR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5-7D94-44AA-8534-CCDC26C118F5}"/>
                </c:ext>
              </c:extLst>
            </c:dLbl>
            <c:dLbl>
              <c:idx val="146"/>
              <c:layout>
                <c:manualLayout>
                  <c:x val="-3.2398108509818571E-3"/>
                  <c:y val="1.4639191772855019E-2"/>
                </c:manualLayout>
              </c:layout>
              <c:tx>
                <c:rich>
                  <a:bodyPr/>
                  <a:lstStyle/>
                  <a:p>
                    <a:r>
                      <a:rPr lang="en-US" sz="2000"/>
                      <a:t>MPN</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6-7D94-44AA-8534-CCDC26C118F5}"/>
                </c:ext>
              </c:extLst>
            </c:dLbl>
            <c:dLbl>
              <c:idx val="148"/>
              <c:layout>
                <c:manualLayout>
                  <c:x val="-2.7859237536656891E-2"/>
                  <c:y val="-6.0606060606061343E-3"/>
                </c:manualLayout>
              </c:layout>
              <c:tx>
                <c:rich>
                  <a:bodyPr/>
                  <a:lstStyle/>
                  <a:p>
                    <a:r>
                      <a:rPr lang="en-US" sz="500"/>
                      <a:t>IPA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7-7D94-44AA-8534-CCDC26C118F5}"/>
                </c:ext>
              </c:extLst>
            </c:dLbl>
            <c:dLbl>
              <c:idx val="161"/>
              <c:layout>
                <c:manualLayout>
                  <c:x val="-3.2348879051989003E-3"/>
                  <c:y val="1.5523756124911565E-2"/>
                </c:manualLayout>
              </c:layout>
              <c:tx>
                <c:rich>
                  <a:bodyPr/>
                  <a:lstStyle/>
                  <a:p>
                    <a:r>
                      <a:rPr lang="en-US" sz="2000"/>
                      <a:t>MCK</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8-7D94-44AA-8534-CCDC26C118F5}"/>
                </c:ext>
              </c:extLst>
            </c:dLbl>
            <c:dLbl>
              <c:idx val="164"/>
              <c:layout>
                <c:manualLayout>
                  <c:x val="-3.0791788856305093E-2"/>
                  <c:y val="-6.0606060606061343E-3"/>
                </c:manualLayout>
              </c:layout>
              <c:tx>
                <c:rich>
                  <a:bodyPr/>
                  <a:lstStyle/>
                  <a:p>
                    <a:r>
                      <a:rPr lang="en-US" sz="500"/>
                      <a:t>ELA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9-7D94-44AA-8534-CCDC26C118F5}"/>
                </c:ext>
              </c:extLst>
            </c:dLbl>
            <c:dLbl>
              <c:idx val="175"/>
              <c:layout>
                <c:manualLayout>
                  <c:x val="-6.0911405858440357E-3"/>
                  <c:y val="-1.579079704820192E-2"/>
                </c:manualLayout>
              </c:layout>
              <c:tx>
                <c:rich>
                  <a:bodyPr/>
                  <a:lstStyle/>
                  <a:p>
                    <a:r>
                      <a:rPr lang="en-US" sz="2000"/>
                      <a:t>GGN</a:t>
                    </a:r>
                    <a:endParaRPr lang="en-US" sz="500"/>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CA-7D94-44AA-8534-CCDC26C118F5}"/>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strRef>
              <c:f>[1]Stops!$A$2:$A$250</c:f>
              <c:strCache>
                <c:ptCount val="249"/>
                <c:pt idx="0">
                  <c:v>0</c:v>
                </c:pt>
                <c:pt idx="1">
                  <c:v>6.09999999869615</c:v>
                </c:pt>
                <c:pt idx="2">
                  <c:v>#REF!</c:v>
                </c:pt>
                <c:pt idx="3">
                  <c:v>#REF!</c:v>
                </c:pt>
                <c:pt idx="4">
                  <c:v>#REF!</c:v>
                </c:pt>
                <c:pt idx="5">
                  <c:v>#REF!</c:v>
                </c:pt>
                <c:pt idx="6">
                  <c:v>#REF!</c:v>
                </c:pt>
                <c:pt idx="7">
                  <c:v>#REF!</c:v>
                </c:pt>
                <c:pt idx="8">
                  <c:v>#REF!</c:v>
                </c:pt>
                <c:pt idx="9">
                  <c:v>#REF!</c:v>
                </c:pt>
                <c:pt idx="10">
                  <c:v>#REF!</c:v>
                </c:pt>
                <c:pt idx="11">
                  <c:v>#REF!</c:v>
                </c:pt>
                <c:pt idx="12">
                  <c:v>#REF!</c:v>
                </c:pt>
                <c:pt idx="13">
                  <c:v>552.809999993769</c:v>
                </c:pt>
                <c:pt idx="14">
                  <c:v>593.83</c:v>
                </c:pt>
                <c:pt idx="15">
                  <c:v>#REF!</c:v>
                </c:pt>
                <c:pt idx="16">
                  <c:v>#REF!</c:v>
                </c:pt>
                <c:pt idx="17">
                  <c:v>#REF!</c:v>
                </c:pt>
                <c:pt idx="18">
                  <c:v>#REF!</c:v>
                </c:pt>
                <c:pt idx="19">
                  <c:v>#REF!</c:v>
                </c:pt>
                <c:pt idx="20">
                  <c:v>#REF!</c:v>
                </c:pt>
                <c:pt idx="21">
                  <c:v>#REF!</c:v>
                </c:pt>
                <c:pt idx="22">
                  <c:v>#REF!</c:v>
                </c:pt>
                <c:pt idx="23">
                  <c:v>#REF!</c:v>
                </c:pt>
                <c:pt idx="24">
                  <c:v>#REF!</c:v>
                </c:pt>
                <c:pt idx="25">
                  <c:v>#REF!</c:v>
                </c:pt>
                <c:pt idx="26">
                  <c:v>#REF!</c:v>
                </c:pt>
                <c:pt idx="27">
                  <c:v>#REF!</c:v>
                </c:pt>
                <c:pt idx="28">
                  <c:v>1325.03999999608</c:v>
                </c:pt>
                <c:pt idx="29">
                  <c:v>1361.76</c:v>
                </c:pt>
                <c:pt idx="30">
                  <c:v>#REF!</c:v>
                </c:pt>
                <c:pt idx="31">
                  <c:v>#REF!</c:v>
                </c:pt>
                <c:pt idx="32">
                  <c:v>#REF!</c:v>
                </c:pt>
                <c:pt idx="33">
                  <c:v>#REF!</c:v>
                </c:pt>
                <c:pt idx="34">
                  <c:v>#REF!</c:v>
                </c:pt>
                <c:pt idx="35">
                  <c:v>#REF!</c:v>
                </c:pt>
                <c:pt idx="36">
                  <c:v>1969.23000001698</c:v>
                </c:pt>
                <c:pt idx="37">
                  <c:v>2008.69</c:v>
                </c:pt>
                <c:pt idx="38">
                  <c:v>#REF!</c:v>
                </c:pt>
                <c:pt idx="39">
                  <c:v>#REF!</c:v>
                </c:pt>
                <c:pt idx="40">
                  <c:v>#REF!</c:v>
                </c:pt>
                <c:pt idx="41">
                  <c:v>#REF!</c:v>
                </c:pt>
                <c:pt idx="42">
                  <c:v>#REF!</c:v>
                </c:pt>
                <c:pt idx="43">
                  <c:v>#REF!</c:v>
                </c:pt>
                <c:pt idx="44">
                  <c:v>#REF!</c:v>
                </c:pt>
                <c:pt idx="45">
                  <c:v>#REF!</c:v>
                </c:pt>
                <c:pt idx="46">
                  <c:v>#REF!</c:v>
                </c:pt>
                <c:pt idx="47">
                  <c:v>#REF!</c:v>
                </c:pt>
                <c:pt idx="48">
                  <c:v>#REF!</c:v>
                </c:pt>
                <c:pt idx="49">
                  <c:v>3041.25999999815</c:v>
                </c:pt>
                <c:pt idx="50">
                  <c:v>3075.81000000937</c:v>
                </c:pt>
                <c:pt idx="51">
                  <c:v>#REF!</c:v>
                </c:pt>
                <c:pt idx="52">
                  <c:v>#REF!</c:v>
                </c:pt>
                <c:pt idx="53">
                  <c:v>#REF!</c:v>
                </c:pt>
                <c:pt idx="54">
                  <c:v>#REF!</c:v>
                </c:pt>
                <c:pt idx="55">
                  <c:v>#REF!</c:v>
                </c:pt>
                <c:pt idx="56">
                  <c:v>#REF!</c:v>
                </c:pt>
                <c:pt idx="57">
                  <c:v>#REF!</c:v>
                </c:pt>
                <c:pt idx="58">
                  <c:v>#REF!</c:v>
                </c:pt>
                <c:pt idx="59">
                  <c:v>#REF!</c:v>
                </c:pt>
                <c:pt idx="60">
                  <c:v>#REF!</c:v>
                </c:pt>
                <c:pt idx="61">
                  <c:v>3692.03000000562</c:v>
                </c:pt>
                <c:pt idx="62">
                  <c:v>3731.99</c:v>
                </c:pt>
                <c:pt idx="63">
                  <c:v>#REF!</c:v>
                </c:pt>
                <c:pt idx="64">
                  <c:v>#REF!</c:v>
                </c:pt>
                <c:pt idx="65">
                  <c:v>#REF!</c:v>
                </c:pt>
                <c:pt idx="66">
                  <c:v>#REF!</c:v>
                </c:pt>
                <c:pt idx="67">
                  <c:v>#REF!</c:v>
                </c:pt>
                <c:pt idx="68">
                  <c:v>#REF!</c:v>
                </c:pt>
                <c:pt idx="69">
                  <c:v>#REF!</c:v>
                </c:pt>
                <c:pt idx="70">
                  <c:v>#REF!</c:v>
                </c:pt>
                <c:pt idx="71">
                  <c:v>#REF!</c:v>
                </c:pt>
                <c:pt idx="72">
                  <c:v>#REF!</c:v>
                </c:pt>
                <c:pt idx="73">
                  <c:v>#REF!</c:v>
                </c:pt>
                <c:pt idx="74">
                  <c:v>#REF!</c:v>
                </c:pt>
                <c:pt idx="75">
                  <c:v>#REF!</c:v>
                </c:pt>
                <c:pt idx="76">
                  <c:v>5032.36000001198</c:v>
                </c:pt>
                <c:pt idx="77">
                  <c:v>5068.46999999834</c:v>
                </c:pt>
                <c:pt idx="78">
                  <c:v>#REF!</c:v>
                </c:pt>
                <c:pt idx="79">
                  <c:v>#REF!</c:v>
                </c:pt>
                <c:pt idx="80">
                  <c:v>#REF!</c:v>
                </c:pt>
                <c:pt idx="81">
                  <c:v>#REF!</c:v>
                </c:pt>
                <c:pt idx="82">
                  <c:v>#REF!</c:v>
                </c:pt>
                <c:pt idx="83">
                  <c:v>#REF!</c:v>
                </c:pt>
                <c:pt idx="84">
                  <c:v>#REF!</c:v>
                </c:pt>
                <c:pt idx="85">
                  <c:v>#REF!</c:v>
                </c:pt>
                <c:pt idx="86">
                  <c:v>#REF!</c:v>
                </c:pt>
                <c:pt idx="87">
                  <c:v>#REF!</c:v>
                </c:pt>
                <c:pt idx="88">
                  <c:v>#REF!</c:v>
                </c:pt>
                <c:pt idx="89">
                  <c:v>#REF!</c:v>
                </c:pt>
                <c:pt idx="90">
                  <c:v>#REF!</c:v>
                </c:pt>
                <c:pt idx="91">
                  <c:v>#REF!</c:v>
                </c:pt>
                <c:pt idx="92">
                  <c:v>5926.529999997</c:v>
                </c:pt>
                <c:pt idx="93">
                  <c:v>5960.85000000312</c:v>
                </c:pt>
                <c:pt idx="94">
                  <c:v>#REF!</c:v>
                </c:pt>
                <c:pt idx="95">
                  <c:v>#REF!</c:v>
                </c:pt>
                <c:pt idx="96">
                  <c:v>#REF!</c:v>
                </c:pt>
                <c:pt idx="97">
                  <c:v>#REF!</c:v>
                </c:pt>
                <c:pt idx="98">
                  <c:v>#REF!</c:v>
                </c:pt>
                <c:pt idx="99">
                  <c:v>#REF!</c:v>
                </c:pt>
                <c:pt idx="100">
                  <c:v>#REF!</c:v>
                </c:pt>
                <c:pt idx="101">
                  <c:v>#REF!</c:v>
                </c:pt>
                <c:pt idx="102">
                  <c:v>#REF!</c:v>
                </c:pt>
                <c:pt idx="103">
                  <c:v>#REF!</c:v>
                </c:pt>
                <c:pt idx="104">
                  <c:v>6724.69000000274</c:v>
                </c:pt>
                <c:pt idx="105">
                  <c:v>6764.29</c:v>
                </c:pt>
                <c:pt idx="106">
                  <c:v>#REF!</c:v>
                </c:pt>
                <c:pt idx="107">
                  <c:v>#REF!</c:v>
                </c:pt>
                <c:pt idx="108">
                  <c:v>#REF!</c:v>
                </c:pt>
                <c:pt idx="109">
                  <c:v>#REF!</c:v>
                </c:pt>
                <c:pt idx="110">
                  <c:v>#REF!</c:v>
                </c:pt>
                <c:pt idx="111">
                  <c:v>#REF!</c:v>
                </c:pt>
                <c:pt idx="112">
                  <c:v>#REF!</c:v>
                </c:pt>
                <c:pt idx="113">
                  <c:v>#REF!</c:v>
                </c:pt>
                <c:pt idx="114">
                  <c:v>#REF!</c:v>
                </c:pt>
                <c:pt idx="115">
                  <c:v>#REF!</c:v>
                </c:pt>
                <c:pt idx="116">
                  <c:v>#REF!</c:v>
                </c:pt>
                <c:pt idx="117">
                  <c:v>#REF!</c:v>
                </c:pt>
                <c:pt idx="118">
                  <c:v>#REF!</c:v>
                </c:pt>
                <c:pt idx="119">
                  <c:v>#REF!</c:v>
                </c:pt>
                <c:pt idx="120">
                  <c:v>#REF!</c:v>
                </c:pt>
                <c:pt idx="121">
                  <c:v>#REF!</c:v>
                </c:pt>
                <c:pt idx="122">
                  <c:v>8154.02000001632</c:v>
                </c:pt>
                <c:pt idx="123">
                  <c:v>8191.9099999941</c:v>
                </c:pt>
                <c:pt idx="124">
                  <c:v>#REF!</c:v>
                </c:pt>
                <c:pt idx="125">
                  <c:v>#REF!</c:v>
                </c:pt>
                <c:pt idx="126">
                  <c:v>#REF!</c:v>
                </c:pt>
                <c:pt idx="127">
                  <c:v>#REF!</c:v>
                </c:pt>
                <c:pt idx="128">
                  <c:v>#REF!</c:v>
                </c:pt>
                <c:pt idx="129">
                  <c:v>#REF!</c:v>
                </c:pt>
                <c:pt idx="130">
                  <c:v>#REF!</c:v>
                </c:pt>
                <c:pt idx="131">
                  <c:v>#REF!</c:v>
                </c:pt>
                <c:pt idx="132">
                  <c:v>#REF!</c:v>
                </c:pt>
                <c:pt idx="133">
                  <c:v>#REF!</c:v>
                </c:pt>
                <c:pt idx="134">
                  <c:v>#REF!</c:v>
                </c:pt>
                <c:pt idx="135">
                  <c:v>#REF!</c:v>
                </c:pt>
                <c:pt idx="136">
                  <c:v>9130.08999999147</c:v>
                </c:pt>
                <c:pt idx="137">
                  <c:v>9164.81000001659</c:v>
                </c:pt>
                <c:pt idx="138">
                  <c:v>#REF!</c:v>
                </c:pt>
                <c:pt idx="139">
                  <c:v>#REF!</c:v>
                </c:pt>
                <c:pt idx="140">
                  <c:v>#REF!</c:v>
                </c:pt>
                <c:pt idx="141">
                  <c:v>#REF!</c:v>
                </c:pt>
                <c:pt idx="142">
                  <c:v>#REF!</c:v>
                </c:pt>
                <c:pt idx="143">
                  <c:v>#REF!</c:v>
                </c:pt>
                <c:pt idx="144">
                  <c:v>#REF!</c:v>
                </c:pt>
                <c:pt idx="145">
                  <c:v>#REF!</c:v>
                </c:pt>
                <c:pt idx="146">
                  <c:v>9915.42000000481</c:v>
                </c:pt>
                <c:pt idx="147">
                  <c:v>9956.91</c:v>
                </c:pt>
                <c:pt idx="148">
                  <c:v>#REF!</c:v>
                </c:pt>
                <c:pt idx="149">
                  <c:v>#REF!</c:v>
                </c:pt>
                <c:pt idx="150">
                  <c:v>#REF!</c:v>
                </c:pt>
                <c:pt idx="151">
                  <c:v>#REF!</c:v>
                </c:pt>
                <c:pt idx="152">
                  <c:v>#REF!</c:v>
                </c:pt>
                <c:pt idx="153">
                  <c:v>#REF!</c:v>
                </c:pt>
                <c:pt idx="154">
                  <c:v>#REF!</c:v>
                </c:pt>
                <c:pt idx="155">
                  <c:v>#REF!</c:v>
                </c:pt>
                <c:pt idx="156">
                  <c:v>#REF!</c:v>
                </c:pt>
                <c:pt idx="157">
                  <c:v>#REF!</c:v>
                </c:pt>
                <c:pt idx="158">
                  <c:v>#REF!</c:v>
                </c:pt>
                <c:pt idx="159">
                  <c:v>#REF!</c:v>
                </c:pt>
                <c:pt idx="160">
                  <c:v>#REF!</c:v>
                </c:pt>
                <c:pt idx="161">
                  <c:v>11123.2900000177</c:v>
                </c:pt>
                <c:pt idx="162">
                  <c:v>11160.96</c:v>
                </c:pt>
                <c:pt idx="163">
                  <c:v>#REF!</c:v>
                </c:pt>
                <c:pt idx="164">
                  <c:v>#REF!</c:v>
                </c:pt>
                <c:pt idx="165">
                  <c:v>#REF!</c:v>
                </c:pt>
                <c:pt idx="166">
                  <c:v>#REF!</c:v>
                </c:pt>
                <c:pt idx="167">
                  <c:v>#REF!</c:v>
                </c:pt>
                <c:pt idx="168">
                  <c:v>#REF!</c:v>
                </c:pt>
                <c:pt idx="169">
                  <c:v>#REF!</c:v>
                </c:pt>
                <c:pt idx="170">
                  <c:v>#REF!</c:v>
                </c:pt>
                <c:pt idx="171">
                  <c:v>#REF!</c:v>
                </c:pt>
                <c:pt idx="172">
                  <c:v>#REF!</c:v>
                </c:pt>
                <c:pt idx="173">
                  <c:v>#REF!</c:v>
                </c:pt>
                <c:pt idx="174">
                  <c:v>11867.2599999991</c:v>
                </c:pt>
                <c:pt idx="175">
                  <c:v>11901.0500000149</c:v>
                </c:pt>
                <c:pt idx="176">
                  <c:v>#REF!</c:v>
                </c:pt>
                <c:pt idx="177">
                  <c:v>#REF!</c:v>
                </c:pt>
                <c:pt idx="178">
                  <c:v>#REF!</c:v>
                </c:pt>
                <c:pt idx="179">
                  <c:v>#REF!</c:v>
                </c:pt>
                <c:pt idx="180">
                  <c:v>#REF!</c:v>
                </c:pt>
                <c:pt idx="181">
                  <c:v>#REF!</c:v>
                </c:pt>
                <c:pt idx="182">
                  <c:v>#REF!</c:v>
                </c:pt>
                <c:pt idx="183">
                  <c:v>#REF!</c:v>
                </c:pt>
                <c:pt idx="184">
                  <c:v>#REF!</c:v>
                </c:pt>
                <c:pt idx="185">
                  <c:v>#REF!</c:v>
                </c:pt>
                <c:pt idx="186">
                  <c:v>#REF!</c:v>
                </c:pt>
                <c:pt idx="187">
                  <c:v>#REF!</c:v>
                </c:pt>
                <c:pt idx="188">
                  <c:v>#REF!</c:v>
                </c:pt>
                <c:pt idx="189">
                  <c:v>#REF!</c:v>
                </c:pt>
                <c:pt idx="190">
                  <c:v>#REF!</c:v>
                </c:pt>
                <c:pt idx="191">
                  <c:v>#REF!</c:v>
                </c:pt>
                <c:pt idx="192">
                  <c:v>#REF!</c:v>
                </c:pt>
                <c:pt idx="193">
                  <c:v>#REF!</c:v>
                </c:pt>
                <c:pt idx="194">
                  <c:v>#REF!</c:v>
                </c:pt>
                <c:pt idx="195">
                  <c:v>#REF!</c:v>
                </c:pt>
                <c:pt idx="196">
                  <c:v>#REF!</c:v>
                </c:pt>
                <c:pt idx="197">
                  <c:v>#REF!</c:v>
                </c:pt>
                <c:pt idx="198">
                  <c:v>#REF!</c:v>
                </c:pt>
                <c:pt idx="199">
                  <c:v>#REF!</c:v>
                </c:pt>
                <c:pt idx="200">
                  <c:v>#REF!</c:v>
                </c:pt>
                <c:pt idx="201">
                  <c:v>#REF!</c:v>
                </c:pt>
                <c:pt idx="202">
                  <c:v>#REF!</c:v>
                </c:pt>
                <c:pt idx="203">
                  <c:v>#REF!</c:v>
                </c:pt>
                <c:pt idx="204">
                  <c:v>#REF!</c:v>
                </c:pt>
                <c:pt idx="205">
                  <c:v>#REF!</c:v>
                </c:pt>
                <c:pt idx="206">
                  <c:v>#REF!</c:v>
                </c:pt>
                <c:pt idx="207">
                  <c:v>#REF!</c:v>
                </c:pt>
                <c:pt idx="208">
                  <c:v>#REF!</c:v>
                </c:pt>
                <c:pt idx="209">
                  <c:v>#REF!</c:v>
                </c:pt>
                <c:pt idx="210">
                  <c:v>#REF!</c:v>
                </c:pt>
                <c:pt idx="211">
                  <c:v>#REF!</c:v>
                </c:pt>
                <c:pt idx="212">
                  <c:v>#REF!</c:v>
                </c:pt>
                <c:pt idx="213">
                  <c:v>#REF!</c:v>
                </c:pt>
                <c:pt idx="214">
                  <c:v>#REF!</c:v>
                </c:pt>
                <c:pt idx="215">
                  <c:v>#REF!</c:v>
                </c:pt>
                <c:pt idx="216">
                  <c:v>#REF!</c:v>
                </c:pt>
                <c:pt idx="217">
                  <c:v>#REF!</c:v>
                </c:pt>
                <c:pt idx="218">
                  <c:v>#REF!</c:v>
                </c:pt>
                <c:pt idx="219">
                  <c:v>#REF!</c:v>
                </c:pt>
                <c:pt idx="220">
                  <c:v>#REF!</c:v>
                </c:pt>
                <c:pt idx="221">
                  <c:v>#REF!</c:v>
                </c:pt>
                <c:pt idx="222">
                  <c:v>#REF!</c:v>
                </c:pt>
                <c:pt idx="223">
                  <c:v>#REF!</c:v>
                </c:pt>
                <c:pt idx="224">
                  <c:v>#REF!</c:v>
                </c:pt>
                <c:pt idx="225">
                  <c:v>#REF!</c:v>
                </c:pt>
                <c:pt idx="226">
                  <c:v>#REF!</c:v>
                </c:pt>
                <c:pt idx="227">
                  <c:v>#REF!</c:v>
                </c:pt>
                <c:pt idx="228">
                  <c:v>#REF!</c:v>
                </c:pt>
                <c:pt idx="229">
                  <c:v>#REF!</c:v>
                </c:pt>
                <c:pt idx="230">
                  <c:v>#REF!</c:v>
                </c:pt>
                <c:pt idx="231">
                  <c:v>#REF!</c:v>
                </c:pt>
                <c:pt idx="232">
                  <c:v>#REF!</c:v>
                </c:pt>
                <c:pt idx="233">
                  <c:v>#REF!</c:v>
                </c:pt>
                <c:pt idx="234">
                  <c:v>#REF!</c:v>
                </c:pt>
                <c:pt idx="235">
                  <c:v>#REF!</c:v>
                </c:pt>
                <c:pt idx="236">
                  <c:v>#REF!</c:v>
                </c:pt>
                <c:pt idx="237">
                  <c:v>#REF!</c:v>
                </c:pt>
                <c:pt idx="238">
                  <c:v>#REF!</c:v>
                </c:pt>
                <c:pt idx="239">
                  <c:v>#REF!</c:v>
                </c:pt>
                <c:pt idx="240">
                  <c:v>#REF!</c:v>
                </c:pt>
                <c:pt idx="241">
                  <c:v>#REF!</c:v>
                </c:pt>
                <c:pt idx="242">
                  <c:v>#REF!</c:v>
                </c:pt>
                <c:pt idx="243">
                  <c:v>#REF!</c:v>
                </c:pt>
                <c:pt idx="244">
                  <c:v>#REF!</c:v>
                </c:pt>
                <c:pt idx="245">
                  <c:v>#REF!</c:v>
                </c:pt>
                <c:pt idx="246">
                  <c:v>#REF!</c:v>
                </c:pt>
                <c:pt idx="247">
                  <c:v>#REF!</c:v>
                </c:pt>
                <c:pt idx="248">
                  <c:v>#REF!</c:v>
                </c:pt>
              </c:strCache>
            </c:strRef>
          </c:xVal>
          <c:yVal>
            <c:numRef>
              <c:f>[1]Stops!$B$2:$B$250</c:f>
              <c:numCache>
                <c:formatCode>General</c:formatCode>
                <c:ptCount val="249"/>
                <c:pt idx="0">
                  <c:v>15</c:v>
                </c:pt>
                <c:pt idx="1">
                  <c:v>15</c:v>
                </c:pt>
                <c:pt idx="13">
                  <c:v>30</c:v>
                </c:pt>
                <c:pt idx="14">
                  <c:v>30</c:v>
                </c:pt>
                <c:pt idx="28">
                  <c:v>30</c:v>
                </c:pt>
                <c:pt idx="29">
                  <c:v>30</c:v>
                </c:pt>
                <c:pt idx="36">
                  <c:v>30</c:v>
                </c:pt>
                <c:pt idx="37">
                  <c:v>30</c:v>
                </c:pt>
                <c:pt idx="49">
                  <c:v>25</c:v>
                </c:pt>
                <c:pt idx="50">
                  <c:v>25</c:v>
                </c:pt>
                <c:pt idx="61">
                  <c:v>30</c:v>
                </c:pt>
                <c:pt idx="62">
                  <c:v>30</c:v>
                </c:pt>
                <c:pt idx="76">
                  <c:v>30</c:v>
                </c:pt>
                <c:pt idx="77">
                  <c:v>30</c:v>
                </c:pt>
                <c:pt idx="92">
                  <c:v>30</c:v>
                </c:pt>
                <c:pt idx="93">
                  <c:v>30</c:v>
                </c:pt>
                <c:pt idx="104">
                  <c:v>25</c:v>
                </c:pt>
                <c:pt idx="105">
                  <c:v>25</c:v>
                </c:pt>
                <c:pt idx="122">
                  <c:v>30</c:v>
                </c:pt>
                <c:pt idx="123">
                  <c:v>30</c:v>
                </c:pt>
                <c:pt idx="136">
                  <c:v>30</c:v>
                </c:pt>
                <c:pt idx="137">
                  <c:v>30</c:v>
                </c:pt>
                <c:pt idx="146">
                  <c:v>30</c:v>
                </c:pt>
                <c:pt idx="147">
                  <c:v>30</c:v>
                </c:pt>
                <c:pt idx="161">
                  <c:v>30</c:v>
                </c:pt>
                <c:pt idx="162">
                  <c:v>30</c:v>
                </c:pt>
                <c:pt idx="174">
                  <c:v>15</c:v>
                </c:pt>
                <c:pt idx="175">
                  <c:v>15</c:v>
                </c:pt>
              </c:numCache>
            </c:numRef>
          </c:yVal>
          <c:smooth val="0"/>
          <c:extLst>
            <c:ext xmlns:c16="http://schemas.microsoft.com/office/drawing/2014/chart" uri="{C3380CC4-5D6E-409C-BE32-E72D297353CC}">
              <c16:uniqueId val="{000000CB-7D94-44AA-8534-CCDC26C118F5}"/>
            </c:ext>
          </c:extLst>
        </c:ser>
        <c:dLbls>
          <c:showLegendKey val="0"/>
          <c:showVal val="0"/>
          <c:showCatName val="0"/>
          <c:showSerName val="0"/>
          <c:showPercent val="0"/>
          <c:showBubbleSize val="0"/>
        </c:dLbls>
        <c:axId val="510959480"/>
        <c:axId val="510956528"/>
        <c:extLst/>
      </c:scatterChart>
      <c:valAx>
        <c:axId val="510959480"/>
        <c:scaling>
          <c:orientation val="minMax"/>
          <c:max val="12000"/>
          <c:min val="0"/>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2500" b="1" i="0" u="none" strike="noStrike" kern="1200" cap="all" baseline="0">
                    <a:solidFill>
                      <a:schemeClr val="lt1">
                        <a:lumMod val="75000"/>
                      </a:schemeClr>
                    </a:solidFill>
                    <a:latin typeface="+mn-lt"/>
                    <a:ea typeface="+mn-ea"/>
                    <a:cs typeface="+mn-cs"/>
                  </a:defRPr>
                </a:pPr>
                <a:r>
                  <a:rPr lang="en-AU" sz="2500" b="1" i="0" cap="all" baseline="0">
                    <a:effectLst/>
                  </a:rPr>
                  <a:t>Distance (m)</a:t>
                </a:r>
                <a:endParaRPr lang="en-AU" sz="2500" baseline="0">
                  <a:effectLst/>
                </a:endParaRPr>
              </a:p>
            </c:rich>
          </c:tx>
          <c:layout>
            <c:manualLayout>
              <c:xMode val="edge"/>
              <c:yMode val="edge"/>
              <c:x val="0.46623888666332269"/>
              <c:y val="0.83937739206747763"/>
            </c:manualLayout>
          </c:layout>
          <c:overlay val="0"/>
          <c:spPr>
            <a:noFill/>
            <a:ln>
              <a:noFill/>
            </a:ln>
            <a:effectLst/>
          </c:spPr>
          <c:txPr>
            <a:bodyPr rot="0" spcFirstLastPara="1" vertOverflow="ellipsis" vert="horz" wrap="square" anchor="ctr" anchorCtr="1"/>
            <a:lstStyle/>
            <a:p>
              <a:pPr>
                <a:defRPr sz="2500" b="1" i="0" u="none" strike="noStrike" kern="1200" cap="all" baseline="0">
                  <a:solidFill>
                    <a:schemeClr val="lt1">
                      <a:lumMod val="75000"/>
                    </a:schemeClr>
                  </a:solidFill>
                  <a:latin typeface="+mn-lt"/>
                  <a:ea typeface="+mn-ea"/>
                  <a:cs typeface="+mn-cs"/>
                </a:defRPr>
              </a:pPr>
              <a:endParaRPr lang="en-AU"/>
            </a:p>
          </c:txPr>
        </c:title>
        <c:numFmt formatCode="0" sourceLinked="1"/>
        <c:majorTickMark val="none"/>
        <c:minorTickMark val="none"/>
        <c:tickLblPos val="nextTo"/>
        <c:spPr>
          <a:noFill/>
          <a:ln w="9525" cap="flat" cmpd="sng" algn="ctr">
            <a:solidFill>
              <a:schemeClr val="lt1">
                <a:lumMod val="50000"/>
              </a:schemeClr>
            </a:solidFill>
          </a:ln>
          <a:effectLst/>
        </c:spPr>
        <c:txPr>
          <a:bodyPr rot="0" spcFirstLastPara="1" vertOverflow="ellipsis" wrap="square" anchor="ctr" anchorCtr="1"/>
          <a:lstStyle/>
          <a:p>
            <a:pPr>
              <a:defRPr sz="2000" b="0" i="0" u="none" strike="noStrike" kern="1200" baseline="0">
                <a:solidFill>
                  <a:schemeClr val="lt1">
                    <a:lumMod val="75000"/>
                  </a:schemeClr>
                </a:solidFill>
                <a:latin typeface="+mn-lt"/>
                <a:ea typeface="+mn-ea"/>
                <a:cs typeface="+mn-cs"/>
              </a:defRPr>
            </a:pPr>
            <a:endParaRPr lang="en-US"/>
          </a:p>
        </c:txPr>
        <c:crossAx val="510956528"/>
        <c:crosses val="autoZero"/>
        <c:crossBetween val="midCat"/>
        <c:majorUnit val="250"/>
      </c:valAx>
      <c:valAx>
        <c:axId val="510956528"/>
        <c:scaling>
          <c:orientation val="minMax"/>
          <c:max val="75"/>
          <c:min val="0"/>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2500" b="1" i="0" u="none" strike="noStrike" kern="1200" cap="all" baseline="0">
                    <a:solidFill>
                      <a:schemeClr val="lt1">
                        <a:lumMod val="75000"/>
                      </a:schemeClr>
                    </a:solidFill>
                    <a:latin typeface="+mn-lt"/>
                    <a:ea typeface="+mn-ea"/>
                    <a:cs typeface="+mn-cs"/>
                  </a:defRPr>
                </a:pPr>
                <a:r>
                  <a:rPr lang="en-AU" sz="2500" b="1" i="0" cap="all" baseline="0">
                    <a:effectLst/>
                  </a:rPr>
                  <a:t>Speed (Km/h)</a:t>
                </a:r>
                <a:endParaRPr lang="en-AU" sz="2500" baseline="0">
                  <a:effectLst/>
                </a:endParaRPr>
              </a:p>
            </c:rich>
          </c:tx>
          <c:layout>
            <c:manualLayout>
              <c:xMode val="edge"/>
              <c:yMode val="edge"/>
              <c:x val="8.9616061780221062E-3"/>
              <c:y val="0.3944672937554633"/>
            </c:manualLayout>
          </c:layout>
          <c:overlay val="0"/>
          <c:spPr>
            <a:noFill/>
            <a:ln>
              <a:noFill/>
            </a:ln>
            <a:effectLst/>
          </c:spPr>
          <c:txPr>
            <a:bodyPr rot="-5400000" spcFirstLastPara="1" vertOverflow="ellipsis" vert="horz" wrap="square" anchor="ctr" anchorCtr="1"/>
            <a:lstStyle/>
            <a:p>
              <a:pPr>
                <a:defRPr sz="2500" b="1" i="0" u="none" strike="noStrike" kern="1200" cap="all" baseline="0">
                  <a:solidFill>
                    <a:schemeClr val="lt1">
                      <a:lumMod val="75000"/>
                    </a:schemeClr>
                  </a:solidFill>
                  <a:latin typeface="+mn-lt"/>
                  <a:ea typeface="+mn-ea"/>
                  <a:cs typeface="+mn-cs"/>
                </a:defRPr>
              </a:pPr>
              <a:endParaRPr lang="en-AU"/>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2000" b="0" i="0" u="none" strike="noStrike" kern="1200" baseline="0">
                <a:solidFill>
                  <a:schemeClr val="lt1">
                    <a:lumMod val="75000"/>
                  </a:schemeClr>
                </a:solidFill>
                <a:latin typeface="+mn-lt"/>
                <a:ea typeface="+mn-ea"/>
                <a:cs typeface="+mn-cs"/>
              </a:defRPr>
            </a:pPr>
            <a:endParaRPr lang="en-US"/>
          </a:p>
        </c:txPr>
        <c:crossAx val="510959480"/>
        <c:crosses val="autoZero"/>
        <c:crossBetween val="midCat"/>
      </c:valAx>
      <c:spPr>
        <a:noFill/>
        <a:ln w="25400">
          <a:noFill/>
        </a:ln>
        <a:effectLst/>
      </c:spPr>
    </c:plotArea>
    <c:legend>
      <c:legendPos val="b"/>
      <c:layout>
        <c:manualLayout>
          <c:xMode val="edge"/>
          <c:yMode val="edge"/>
          <c:x val="0.3765237987833821"/>
          <c:y val="0.88480548290596805"/>
          <c:w val="0.2012006455536797"/>
          <c:h val="3.5266704514600254E-2"/>
        </c:manualLayout>
      </c:layout>
      <c:overlay val="0"/>
      <c:spPr>
        <a:noFill/>
        <a:ln>
          <a:noFill/>
        </a:ln>
        <a:effectLst/>
      </c:spPr>
      <c:txPr>
        <a:bodyPr rot="0" spcFirstLastPara="1" vertOverflow="ellipsis" vert="horz" wrap="square" anchor="ctr" anchorCtr="1"/>
        <a:lstStyle/>
        <a:p>
          <a:pPr>
            <a:defRPr sz="25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Speed!$A$2</c:f>
          <c:strCache>
            <c:ptCount val="1"/>
            <c:pt idx="0">
              <c:v>13/02/2025 6:45</c:v>
            </c:pt>
          </c:strCache>
        </c:strRef>
      </c:tx>
      <c:layout>
        <c:manualLayout>
          <c:xMode val="edge"/>
          <c:yMode val="edge"/>
          <c:x val="0.50061655913978498"/>
          <c:y val="0.1150626029654036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681085257832811E-2"/>
          <c:y val="0.17587457523922362"/>
          <c:w val="0.89956665622322252"/>
          <c:h val="0.5311615845886194"/>
        </c:manualLayout>
      </c:layout>
      <c:scatterChart>
        <c:scatterStyle val="lineMarker"/>
        <c:varyColors val="0"/>
        <c:ser>
          <c:idx val="0"/>
          <c:order val="0"/>
          <c:tx>
            <c:v>LRV</c:v>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Calculations!$K$2:$K$2000</c:f>
              <c:numCache>
                <c:formatCode>0</c:formatCode>
                <c:ptCount val="1999"/>
                <c:pt idx="0">
                  <c:v>#N/A</c:v>
                </c:pt>
                <c:pt idx="1">
                  <c:v>#N/A</c:v>
                </c:pt>
                <c:pt idx="2">
                  <c:v>1</c:v>
                </c:pt>
                <c:pt idx="3">
                  <c:v>#N/A</c:v>
                </c:pt>
                <c:pt idx="4">
                  <c:v>6</c:v>
                </c:pt>
                <c:pt idx="5">
                  <c:v>9</c:v>
                </c:pt>
                <c:pt idx="6">
                  <c:v>12</c:v>
                </c:pt>
                <c:pt idx="7">
                  <c:v>12</c:v>
                </c:pt>
                <c:pt idx="8">
                  <c:v>19</c:v>
                </c:pt>
                <c:pt idx="9">
                  <c:v>22</c:v>
                </c:pt>
                <c:pt idx="10">
                  <c:v>26</c:v>
                </c:pt>
                <c:pt idx="11">
                  <c:v>29</c:v>
                </c:pt>
                <c:pt idx="12">
                  <c:v>33</c:v>
                </c:pt>
                <c:pt idx="13">
                  <c:v>37</c:v>
                </c:pt>
                <c:pt idx="14">
                  <c:v>42</c:v>
                </c:pt>
                <c:pt idx="15">
                  <c:v>46</c:v>
                </c:pt>
                <c:pt idx="16">
                  <c:v>50</c:v>
                </c:pt>
                <c:pt idx="17">
                  <c:v>50</c:v>
                </c:pt>
                <c:pt idx="18">
                  <c:v>60</c:v>
                </c:pt>
                <c:pt idx="19">
                  <c:v>65</c:v>
                </c:pt>
                <c:pt idx="20">
                  <c:v>71</c:v>
                </c:pt>
                <c:pt idx="21">
                  <c:v>76</c:v>
                </c:pt>
                <c:pt idx="22">
                  <c:v>77</c:v>
                </c:pt>
                <c:pt idx="23">
                  <c:v>77</c:v>
                </c:pt>
                <c:pt idx="24">
                  <c:v>77</c:v>
                </c:pt>
                <c:pt idx="25">
                  <c:v>91</c:v>
                </c:pt>
                <c:pt idx="26">
                  <c:v>100</c:v>
                </c:pt>
                <c:pt idx="27">
                  <c:v>109</c:v>
                </c:pt>
                <c:pt idx="28">
                  <c:v>117</c:v>
                </c:pt>
                <c:pt idx="29">
                  <c:v>127</c:v>
                </c:pt>
                <c:pt idx="30">
                  <c:v>136</c:v>
                </c:pt>
                <c:pt idx="31">
                  <c:v>146</c:v>
                </c:pt>
                <c:pt idx="32">
                  <c:v>152</c:v>
                </c:pt>
                <c:pt idx="33">
                  <c:v>164</c:v>
                </c:pt>
                <c:pt idx="34">
                  <c:v>164</c:v>
                </c:pt>
                <c:pt idx="35">
                  <c:v>173</c:v>
                </c:pt>
                <c:pt idx="36">
                  <c:v>180</c:v>
                </c:pt>
                <c:pt idx="37">
                  <c:v>185</c:v>
                </c:pt>
                <c:pt idx="38">
                  <c:v>185</c:v>
                </c:pt>
                <c:pt idx="39">
                  <c:v>185</c:v>
                </c:pt>
                <c:pt idx="40">
                  <c:v>#N/A</c:v>
                </c:pt>
                <c:pt idx="41">
                  <c:v>204</c:v>
                </c:pt>
                <c:pt idx="42">
                  <c:v>211</c:v>
                </c:pt>
                <c:pt idx="43">
                  <c:v>219</c:v>
                </c:pt>
                <c:pt idx="44">
                  <c:v>220</c:v>
                </c:pt>
                <c:pt idx="45">
                  <c:v>220</c:v>
                </c:pt>
                <c:pt idx="46">
                  <c:v>237</c:v>
                </c:pt>
                <c:pt idx="47">
                  <c:v>246</c:v>
                </c:pt>
                <c:pt idx="48">
                  <c:v>254</c:v>
                </c:pt>
                <c:pt idx="49">
                  <c:v>254</c:v>
                </c:pt>
                <c:pt idx="50">
                  <c:v>265</c:v>
                </c:pt>
                <c:pt idx="51">
                  <c:v>276</c:v>
                </c:pt>
                <c:pt idx="52">
                  <c:v>278</c:v>
                </c:pt>
                <c:pt idx="53">
                  <c:v>278</c:v>
                </c:pt>
                <c:pt idx="54">
                  <c:v>304</c:v>
                </c:pt>
                <c:pt idx="55">
                  <c:v>318</c:v>
                </c:pt>
                <c:pt idx="56">
                  <c:v>331</c:v>
                </c:pt>
                <c:pt idx="57">
                  <c:v>332</c:v>
                </c:pt>
                <c:pt idx="58">
                  <c:v>332</c:v>
                </c:pt>
                <c:pt idx="59">
                  <c:v>360</c:v>
                </c:pt>
                <c:pt idx="60">
                  <c:v>365</c:v>
                </c:pt>
                <c:pt idx="61">
                  <c:v>365</c:v>
                </c:pt>
                <c:pt idx="62">
                  <c:v>365</c:v>
                </c:pt>
                <c:pt idx="63">
                  <c:v>377</c:v>
                </c:pt>
                <c:pt idx="64">
                  <c:v>377</c:v>
                </c:pt>
                <c:pt idx="65">
                  <c:v>377</c:v>
                </c:pt>
                <c:pt idx="66">
                  <c:v>397</c:v>
                </c:pt>
                <c:pt idx="67">
                  <c:v>430</c:v>
                </c:pt>
                <c:pt idx="68">
                  <c:v>432</c:v>
                </c:pt>
                <c:pt idx="69">
                  <c:v>432</c:v>
                </c:pt>
                <c:pt idx="70">
                  <c:v>432</c:v>
                </c:pt>
                <c:pt idx="71">
                  <c:v>469</c:v>
                </c:pt>
                <c:pt idx="72">
                  <c:v>481</c:v>
                </c:pt>
                <c:pt idx="73">
                  <c:v>492</c:v>
                </c:pt>
                <c:pt idx="74">
                  <c:v>493</c:v>
                </c:pt>
                <c:pt idx="75">
                  <c:v>493</c:v>
                </c:pt>
                <c:pt idx="76">
                  <c:v>514</c:v>
                </c:pt>
                <c:pt idx="77">
                  <c:v>524</c:v>
                </c:pt>
                <c:pt idx="78">
                  <c:v>533</c:v>
                </c:pt>
                <c:pt idx="79">
                  <c:v>542</c:v>
                </c:pt>
                <c:pt idx="80">
                  <c:v>542</c:v>
                </c:pt>
                <c:pt idx="81">
                  <c:v>551</c:v>
                </c:pt>
                <c:pt idx="82">
                  <c:v>551</c:v>
                </c:pt>
                <c:pt idx="83">
                  <c:v>558</c:v>
                </c:pt>
                <c:pt idx="84">
                  <c:v>565</c:v>
                </c:pt>
                <c:pt idx="85">
                  <c:v>572</c:v>
                </c:pt>
                <c:pt idx="86">
                  <c:v>577</c:v>
                </c:pt>
                <c:pt idx="87">
                  <c:v>582</c:v>
                </c:pt>
                <c:pt idx="88">
                  <c:v>586</c:v>
                </c:pt>
                <c:pt idx="89">
                  <c:v>589</c:v>
                </c:pt>
                <c:pt idx="90">
                  <c:v>590</c:v>
                </c:pt>
                <c:pt idx="91">
                  <c:v>591</c:v>
                </c:pt>
                <c:pt idx="92">
                  <c:v>591</c:v>
                </c:pt>
                <c:pt idx="93">
                  <c:v>#N/A</c:v>
                </c:pt>
                <c:pt idx="94">
                  <c:v>594</c:v>
                </c:pt>
                <c:pt idx="95">
                  <c:v>594</c:v>
                </c:pt>
                <c:pt idx="96">
                  <c:v>#N/A</c:v>
                </c:pt>
                <c:pt idx="97">
                  <c:v>#N/A</c:v>
                </c:pt>
                <c:pt idx="98">
                  <c:v>#N/A</c:v>
                </c:pt>
                <c:pt idx="99">
                  <c:v>#N/A</c:v>
                </c:pt>
                <c:pt idx="100">
                  <c:v>#N/A</c:v>
                </c:pt>
                <c:pt idx="101">
                  <c:v>597</c:v>
                </c:pt>
                <c:pt idx="102">
                  <c:v>602</c:v>
                </c:pt>
                <c:pt idx="103">
                  <c:v>606</c:v>
                </c:pt>
                <c:pt idx="104">
                  <c:v>606</c:v>
                </c:pt>
                <c:pt idx="105">
                  <c:v>606</c:v>
                </c:pt>
                <c:pt idx="106">
                  <c:v>615</c:v>
                </c:pt>
                <c:pt idx="107">
                  <c:v>623</c:v>
                </c:pt>
                <c:pt idx="108">
                  <c:v>632</c:v>
                </c:pt>
                <c:pt idx="109">
                  <c:v>642</c:v>
                </c:pt>
                <c:pt idx="110">
                  <c:v>653</c:v>
                </c:pt>
                <c:pt idx="111">
                  <c:v>662</c:v>
                </c:pt>
                <c:pt idx="112">
                  <c:v>662</c:v>
                </c:pt>
                <c:pt idx="113">
                  <c:v>666</c:v>
                </c:pt>
                <c:pt idx="114">
                  <c:v>666</c:v>
                </c:pt>
                <c:pt idx="115">
                  <c:v>#N/A</c:v>
                </c:pt>
                <c:pt idx="116">
                  <c:v>702</c:v>
                </c:pt>
                <c:pt idx="117">
                  <c:v>710</c:v>
                </c:pt>
                <c:pt idx="118">
                  <c:v>710</c:v>
                </c:pt>
                <c:pt idx="119">
                  <c:v>718</c:v>
                </c:pt>
                <c:pt idx="120">
                  <c:v>718</c:v>
                </c:pt>
                <c:pt idx="121">
                  <c:v>727</c:v>
                </c:pt>
                <c:pt idx="122">
                  <c:v>727</c:v>
                </c:pt>
                <c:pt idx="123">
                  <c:v>751</c:v>
                </c:pt>
                <c:pt idx="124">
                  <c:v>761</c:v>
                </c:pt>
                <c:pt idx="125">
                  <c:v>772</c:v>
                </c:pt>
                <c:pt idx="126">
                  <c:v>785</c:v>
                </c:pt>
                <c:pt idx="127">
                  <c:v>794</c:v>
                </c:pt>
                <c:pt idx="128">
                  <c:v>802</c:v>
                </c:pt>
                <c:pt idx="129">
                  <c:v>804</c:v>
                </c:pt>
                <c:pt idx="130">
                  <c:v>804</c:v>
                </c:pt>
                <c:pt idx="131">
                  <c:v>804</c:v>
                </c:pt>
                <c:pt idx="132">
                  <c:v>804</c:v>
                </c:pt>
                <c:pt idx="133">
                  <c:v>834</c:v>
                </c:pt>
                <c:pt idx="134">
                  <c:v>855</c:v>
                </c:pt>
                <c:pt idx="135">
                  <c:v>865</c:v>
                </c:pt>
                <c:pt idx="136">
                  <c:v>874</c:v>
                </c:pt>
                <c:pt idx="137">
                  <c:v>885</c:v>
                </c:pt>
                <c:pt idx="138">
                  <c:v>895</c:v>
                </c:pt>
                <c:pt idx="139">
                  <c:v>905</c:v>
                </c:pt>
                <c:pt idx="140">
                  <c:v>915</c:v>
                </c:pt>
                <c:pt idx="141">
                  <c:v>926</c:v>
                </c:pt>
                <c:pt idx="142">
                  <c:v>926</c:v>
                </c:pt>
                <c:pt idx="143">
                  <c:v>954</c:v>
                </c:pt>
                <c:pt idx="144">
                  <c:v>955</c:v>
                </c:pt>
                <c:pt idx="145">
                  <c:v>955</c:v>
                </c:pt>
                <c:pt idx="146">
                  <c:v>983</c:v>
                </c:pt>
                <c:pt idx="147">
                  <c:v>983</c:v>
                </c:pt>
                <c:pt idx="148">
                  <c:v>996</c:v>
                </c:pt>
                <c:pt idx="149">
                  <c:v>1011</c:v>
                </c:pt>
                <c:pt idx="150">
                  <c:v>1011</c:v>
                </c:pt>
                <c:pt idx="151">
                  <c:v>1027</c:v>
                </c:pt>
                <c:pt idx="152">
                  <c:v>1028</c:v>
                </c:pt>
                <c:pt idx="153">
                  <c:v>1028</c:v>
                </c:pt>
                <c:pt idx="154">
                  <c:v>1057</c:v>
                </c:pt>
                <c:pt idx="155">
                  <c:v>1073</c:v>
                </c:pt>
                <c:pt idx="156">
                  <c:v>1088</c:v>
                </c:pt>
                <c:pt idx="157">
                  <c:v>1102</c:v>
                </c:pt>
                <c:pt idx="158">
                  <c:v>1103</c:v>
                </c:pt>
                <c:pt idx="159">
                  <c:v>1103</c:v>
                </c:pt>
                <c:pt idx="160">
                  <c:v>1132</c:v>
                </c:pt>
                <c:pt idx="161">
                  <c:v>1142</c:v>
                </c:pt>
                <c:pt idx="162">
                  <c:v>1142</c:v>
                </c:pt>
                <c:pt idx="163">
                  <c:v>1151</c:v>
                </c:pt>
                <c:pt idx="164">
                  <c:v>1151</c:v>
                </c:pt>
                <c:pt idx="165">
                  <c:v>1176</c:v>
                </c:pt>
                <c:pt idx="166">
                  <c:v>1191</c:v>
                </c:pt>
                <c:pt idx="167">
                  <c:v>1204</c:v>
                </c:pt>
                <c:pt idx="168">
                  <c:v>1216</c:v>
                </c:pt>
                <c:pt idx="169">
                  <c:v>1216</c:v>
                </c:pt>
                <c:pt idx="170">
                  <c:v>#N/A</c:v>
                </c:pt>
                <c:pt idx="171">
                  <c:v>1239</c:v>
                </c:pt>
                <c:pt idx="172">
                  <c:v>1239</c:v>
                </c:pt>
                <c:pt idx="173">
                  <c:v>1250</c:v>
                </c:pt>
                <c:pt idx="174">
                  <c:v>1252</c:v>
                </c:pt>
                <c:pt idx="175">
                  <c:v>1252</c:v>
                </c:pt>
                <c:pt idx="176">
                  <c:v>1252</c:v>
                </c:pt>
                <c:pt idx="177">
                  <c:v>1271</c:v>
                </c:pt>
                <c:pt idx="178">
                  <c:v>1272</c:v>
                </c:pt>
                <c:pt idx="179">
                  <c:v>1272</c:v>
                </c:pt>
                <c:pt idx="180">
                  <c:v>1291</c:v>
                </c:pt>
                <c:pt idx="181">
                  <c:v>1292</c:v>
                </c:pt>
                <c:pt idx="182">
                  <c:v>1292</c:v>
                </c:pt>
                <c:pt idx="183">
                  <c:v>1310</c:v>
                </c:pt>
                <c:pt idx="184">
                  <c:v>1317</c:v>
                </c:pt>
                <c:pt idx="185">
                  <c:v>1325</c:v>
                </c:pt>
                <c:pt idx="186">
                  <c:v>1332</c:v>
                </c:pt>
                <c:pt idx="187">
                  <c:v>1339</c:v>
                </c:pt>
                <c:pt idx="188">
                  <c:v>1344</c:v>
                </c:pt>
                <c:pt idx="189">
                  <c:v>1349</c:v>
                </c:pt>
                <c:pt idx="190">
                  <c:v>1353</c:v>
                </c:pt>
                <c:pt idx="191">
                  <c:v>1353</c:v>
                </c:pt>
                <c:pt idx="192">
                  <c:v>#N/A</c:v>
                </c:pt>
                <c:pt idx="193">
                  <c:v>1358</c:v>
                </c:pt>
                <c:pt idx="194">
                  <c:v>1359</c:v>
                </c:pt>
                <c:pt idx="195">
                  <c:v>1360</c:v>
                </c:pt>
                <c:pt idx="196">
                  <c:v>#N/A</c:v>
                </c:pt>
                <c:pt idx="197">
                  <c:v>#N/A</c:v>
                </c:pt>
                <c:pt idx="198">
                  <c:v>#N/A</c:v>
                </c:pt>
                <c:pt idx="199">
                  <c:v>#N/A</c:v>
                </c:pt>
                <c:pt idx="200">
                  <c:v>1362</c:v>
                </c:pt>
                <c:pt idx="201">
                  <c:v>1364</c:v>
                </c:pt>
                <c:pt idx="202">
                  <c:v>1364</c:v>
                </c:pt>
                <c:pt idx="203">
                  <c:v>1367</c:v>
                </c:pt>
                <c:pt idx="204">
                  <c:v>1367</c:v>
                </c:pt>
                <c:pt idx="205">
                  <c:v>1375</c:v>
                </c:pt>
                <c:pt idx="206">
                  <c:v>1382</c:v>
                </c:pt>
                <c:pt idx="207">
                  <c:v>1390</c:v>
                </c:pt>
                <c:pt idx="208">
                  <c:v>1399</c:v>
                </c:pt>
                <c:pt idx="209">
                  <c:v>1410</c:v>
                </c:pt>
                <c:pt idx="210">
                  <c:v>1421</c:v>
                </c:pt>
                <c:pt idx="211">
                  <c:v>1433</c:v>
                </c:pt>
                <c:pt idx="212">
                  <c:v>1447</c:v>
                </c:pt>
                <c:pt idx="213">
                  <c:v>1459</c:v>
                </c:pt>
                <c:pt idx="214">
                  <c:v>1472</c:v>
                </c:pt>
                <c:pt idx="215">
                  <c:v>1486</c:v>
                </c:pt>
                <c:pt idx="216">
                  <c:v>1500</c:v>
                </c:pt>
                <c:pt idx="217">
                  <c:v>1515</c:v>
                </c:pt>
                <c:pt idx="218">
                  <c:v>1516</c:v>
                </c:pt>
                <c:pt idx="219">
                  <c:v>1516</c:v>
                </c:pt>
                <c:pt idx="220">
                  <c:v>1544</c:v>
                </c:pt>
                <c:pt idx="221">
                  <c:v>1544</c:v>
                </c:pt>
                <c:pt idx="222">
                  <c:v>1575</c:v>
                </c:pt>
                <c:pt idx="223">
                  <c:v>1577</c:v>
                </c:pt>
                <c:pt idx="224">
                  <c:v>1577</c:v>
                </c:pt>
                <c:pt idx="225">
                  <c:v>1607</c:v>
                </c:pt>
                <c:pt idx="226">
                  <c:v>1607</c:v>
                </c:pt>
                <c:pt idx="227">
                  <c:v>1623</c:v>
                </c:pt>
                <c:pt idx="228">
                  <c:v>1639</c:v>
                </c:pt>
                <c:pt idx="229">
                  <c:v>1655</c:v>
                </c:pt>
                <c:pt idx="230">
                  <c:v>1669</c:v>
                </c:pt>
                <c:pt idx="231">
                  <c:v>1685</c:v>
                </c:pt>
                <c:pt idx="232">
                  <c:v>1701</c:v>
                </c:pt>
                <c:pt idx="233">
                  <c:v>1711</c:v>
                </c:pt>
                <c:pt idx="234">
                  <c:v>1716</c:v>
                </c:pt>
                <c:pt idx="235">
                  <c:v>1716</c:v>
                </c:pt>
                <c:pt idx="236">
                  <c:v>1746</c:v>
                </c:pt>
                <c:pt idx="237">
                  <c:v>1762</c:v>
                </c:pt>
                <c:pt idx="238">
                  <c:v>1762</c:v>
                </c:pt>
                <c:pt idx="239">
                  <c:v>1763</c:v>
                </c:pt>
                <c:pt idx="240">
                  <c:v>1763</c:v>
                </c:pt>
                <c:pt idx="241">
                  <c:v>1792</c:v>
                </c:pt>
                <c:pt idx="242">
                  <c:v>1792</c:v>
                </c:pt>
                <c:pt idx="243">
                  <c:v>#N/A</c:v>
                </c:pt>
                <c:pt idx="244">
                  <c:v>1821</c:v>
                </c:pt>
                <c:pt idx="245">
                  <c:v>1833</c:v>
                </c:pt>
                <c:pt idx="246">
                  <c:v>1846</c:v>
                </c:pt>
                <c:pt idx="247">
                  <c:v>1859</c:v>
                </c:pt>
                <c:pt idx="248">
                  <c:v>1872</c:v>
                </c:pt>
                <c:pt idx="249">
                  <c:v>1883</c:v>
                </c:pt>
                <c:pt idx="250">
                  <c:v>1895</c:v>
                </c:pt>
                <c:pt idx="251">
                  <c:v>1907</c:v>
                </c:pt>
                <c:pt idx="252">
                  <c:v>1917</c:v>
                </c:pt>
                <c:pt idx="253">
                  <c:v>1927</c:v>
                </c:pt>
                <c:pt idx="254">
                  <c:v>1938</c:v>
                </c:pt>
                <c:pt idx="255">
                  <c:v>1946</c:v>
                </c:pt>
                <c:pt idx="256">
                  <c:v>1954</c:v>
                </c:pt>
                <c:pt idx="257">
                  <c:v>1954</c:v>
                </c:pt>
                <c:pt idx="258">
                  <c:v>1962</c:v>
                </c:pt>
                <c:pt idx="259">
                  <c:v>1962</c:v>
                </c:pt>
                <c:pt idx="260">
                  <c:v>1968</c:v>
                </c:pt>
                <c:pt idx="261">
                  <c:v>1973</c:v>
                </c:pt>
                <c:pt idx="262">
                  <c:v>1978</c:v>
                </c:pt>
                <c:pt idx="263">
                  <c:v>1982</c:v>
                </c:pt>
                <c:pt idx="264">
                  <c:v>1985</c:v>
                </c:pt>
                <c:pt idx="265">
                  <c:v>1987</c:v>
                </c:pt>
                <c:pt idx="266">
                  <c:v>1987</c:v>
                </c:pt>
                <c:pt idx="267">
                  <c:v>1990</c:v>
                </c:pt>
                <c:pt idx="268">
                  <c:v>1992</c:v>
                </c:pt>
                <c:pt idx="269">
                  <c:v>1992</c:v>
                </c:pt>
                <c:pt idx="270">
                  <c:v>#N/A</c:v>
                </c:pt>
                <c:pt idx="271">
                  <c:v>1995</c:v>
                </c:pt>
                <c:pt idx="272">
                  <c:v>1995</c:v>
                </c:pt>
                <c:pt idx="273">
                  <c:v>1998</c:v>
                </c:pt>
                <c:pt idx="274">
                  <c:v>2000</c:v>
                </c:pt>
                <c:pt idx="275">
                  <c:v>2001</c:v>
                </c:pt>
                <c:pt idx="276">
                  <c:v>2003</c:v>
                </c:pt>
                <c:pt idx="277">
                  <c:v>2004</c:v>
                </c:pt>
                <c:pt idx="278">
                  <c:v>2004</c:v>
                </c:pt>
                <c:pt idx="279">
                  <c:v>2005</c:v>
                </c:pt>
                <c:pt idx="280">
                  <c:v>2005</c:v>
                </c:pt>
                <c:pt idx="281">
                  <c:v>2005</c:v>
                </c:pt>
                <c:pt idx="282">
                  <c:v>2007</c:v>
                </c:pt>
                <c:pt idx="283">
                  <c:v>#N/A</c:v>
                </c:pt>
                <c:pt idx="284">
                  <c:v>#N/A</c:v>
                </c:pt>
                <c:pt idx="285">
                  <c:v>#N/A</c:v>
                </c:pt>
                <c:pt idx="286">
                  <c:v>#N/A</c:v>
                </c:pt>
                <c:pt idx="287">
                  <c:v>#N/A</c:v>
                </c:pt>
                <c:pt idx="288">
                  <c:v>2010</c:v>
                </c:pt>
                <c:pt idx="289">
                  <c:v>2013</c:v>
                </c:pt>
                <c:pt idx="290">
                  <c:v>2018</c:v>
                </c:pt>
                <c:pt idx="291">
                  <c:v>2024</c:v>
                </c:pt>
                <c:pt idx="292">
                  <c:v>2030</c:v>
                </c:pt>
                <c:pt idx="293">
                  <c:v>2030</c:v>
                </c:pt>
                <c:pt idx="294">
                  <c:v>2030</c:v>
                </c:pt>
                <c:pt idx="295">
                  <c:v>2039</c:v>
                </c:pt>
                <c:pt idx="296">
                  <c:v>2047</c:v>
                </c:pt>
                <c:pt idx="297">
                  <c:v>2059</c:v>
                </c:pt>
                <c:pt idx="298">
                  <c:v>2070</c:v>
                </c:pt>
                <c:pt idx="299">
                  <c:v>2080</c:v>
                </c:pt>
                <c:pt idx="300">
                  <c:v>2093</c:v>
                </c:pt>
                <c:pt idx="301">
                  <c:v>2105</c:v>
                </c:pt>
                <c:pt idx="302">
                  <c:v>2105</c:v>
                </c:pt>
                <c:pt idx="303">
                  <c:v>2132</c:v>
                </c:pt>
                <c:pt idx="304">
                  <c:v>2145</c:v>
                </c:pt>
                <c:pt idx="305">
                  <c:v>2160</c:v>
                </c:pt>
                <c:pt idx="306">
                  <c:v>2160</c:v>
                </c:pt>
                <c:pt idx="307">
                  <c:v>2176</c:v>
                </c:pt>
                <c:pt idx="308">
                  <c:v>2190</c:v>
                </c:pt>
                <c:pt idx="309">
                  <c:v>2204</c:v>
                </c:pt>
                <c:pt idx="310">
                  <c:v>2219</c:v>
                </c:pt>
                <c:pt idx="311">
                  <c:v>2234</c:v>
                </c:pt>
                <c:pt idx="312">
                  <c:v>2250</c:v>
                </c:pt>
                <c:pt idx="313">
                  <c:v>2263</c:v>
                </c:pt>
                <c:pt idx="314">
                  <c:v>2278</c:v>
                </c:pt>
                <c:pt idx="315">
                  <c:v>2280</c:v>
                </c:pt>
                <c:pt idx="316">
                  <c:v>2280</c:v>
                </c:pt>
                <c:pt idx="317">
                  <c:v>2295</c:v>
                </c:pt>
                <c:pt idx="318">
                  <c:v>2295</c:v>
                </c:pt>
                <c:pt idx="319">
                  <c:v>2318</c:v>
                </c:pt>
                <c:pt idx="320">
                  <c:v>2318</c:v>
                </c:pt>
                <c:pt idx="321">
                  <c:v>2325</c:v>
                </c:pt>
                <c:pt idx="322">
                  <c:v>2325</c:v>
                </c:pt>
                <c:pt idx="323">
                  <c:v>2354</c:v>
                </c:pt>
                <c:pt idx="324">
                  <c:v>2370</c:v>
                </c:pt>
                <c:pt idx="325">
                  <c:v>2384</c:v>
                </c:pt>
                <c:pt idx="326">
                  <c:v>2400</c:v>
                </c:pt>
                <c:pt idx="327">
                  <c:v>2413</c:v>
                </c:pt>
                <c:pt idx="328">
                  <c:v>2427</c:v>
                </c:pt>
                <c:pt idx="329">
                  <c:v>2434</c:v>
                </c:pt>
                <c:pt idx="330">
                  <c:v>2434</c:v>
                </c:pt>
                <c:pt idx="331">
                  <c:v>2434</c:v>
                </c:pt>
                <c:pt idx="332">
                  <c:v>2448</c:v>
                </c:pt>
                <c:pt idx="333">
                  <c:v>2448</c:v>
                </c:pt>
                <c:pt idx="334">
                  <c:v>2458</c:v>
                </c:pt>
                <c:pt idx="335">
                  <c:v>2458</c:v>
                </c:pt>
                <c:pt idx="336">
                  <c:v>2458</c:v>
                </c:pt>
                <c:pt idx="337">
                  <c:v>2494</c:v>
                </c:pt>
                <c:pt idx="338">
                  <c:v>2494</c:v>
                </c:pt>
                <c:pt idx="339">
                  <c:v>2506</c:v>
                </c:pt>
                <c:pt idx="340">
                  <c:v>2506</c:v>
                </c:pt>
                <c:pt idx="341">
                  <c:v>2515</c:v>
                </c:pt>
                <c:pt idx="342">
                  <c:v>2515</c:v>
                </c:pt>
                <c:pt idx="343">
                  <c:v>2542</c:v>
                </c:pt>
                <c:pt idx="344">
                  <c:v>2545</c:v>
                </c:pt>
                <c:pt idx="345">
                  <c:v>2545</c:v>
                </c:pt>
                <c:pt idx="346">
                  <c:v>2566</c:v>
                </c:pt>
                <c:pt idx="347">
                  <c:v>2568</c:v>
                </c:pt>
                <c:pt idx="348">
                  <c:v>2568</c:v>
                </c:pt>
                <c:pt idx="349">
                  <c:v>2593</c:v>
                </c:pt>
                <c:pt idx="350">
                  <c:v>2599</c:v>
                </c:pt>
                <c:pt idx="351">
                  <c:v>2599</c:v>
                </c:pt>
                <c:pt idx="352">
                  <c:v>2617</c:v>
                </c:pt>
                <c:pt idx="353">
                  <c:v>2619</c:v>
                </c:pt>
                <c:pt idx="354">
                  <c:v>2619</c:v>
                </c:pt>
                <c:pt idx="355">
                  <c:v>2632</c:v>
                </c:pt>
                <c:pt idx="356">
                  <c:v>2632</c:v>
                </c:pt>
                <c:pt idx="357">
                  <c:v>2645</c:v>
                </c:pt>
                <c:pt idx="358">
                  <c:v>2645</c:v>
                </c:pt>
                <c:pt idx="359">
                  <c:v>2667</c:v>
                </c:pt>
                <c:pt idx="360">
                  <c:v>#N/A</c:v>
                </c:pt>
                <c:pt idx="361">
                  <c:v>2689</c:v>
                </c:pt>
                <c:pt idx="362">
                  <c:v>2693</c:v>
                </c:pt>
                <c:pt idx="363">
                  <c:v>2693</c:v>
                </c:pt>
                <c:pt idx="364">
                  <c:v>2693</c:v>
                </c:pt>
                <c:pt idx="365">
                  <c:v>2693</c:v>
                </c:pt>
                <c:pt idx="366">
                  <c:v>#N/A</c:v>
                </c:pt>
                <c:pt idx="367">
                  <c:v>2719</c:v>
                </c:pt>
                <c:pt idx="368">
                  <c:v>2729</c:v>
                </c:pt>
                <c:pt idx="369">
                  <c:v>2740</c:v>
                </c:pt>
                <c:pt idx="370">
                  <c:v>2750</c:v>
                </c:pt>
                <c:pt idx="371">
                  <c:v>2761</c:v>
                </c:pt>
                <c:pt idx="372">
                  <c:v>2770</c:v>
                </c:pt>
                <c:pt idx="373">
                  <c:v>2781</c:v>
                </c:pt>
                <c:pt idx="374">
                  <c:v>2792</c:v>
                </c:pt>
                <c:pt idx="375">
                  <c:v>2792</c:v>
                </c:pt>
                <c:pt idx="376">
                  <c:v>2813</c:v>
                </c:pt>
                <c:pt idx="377">
                  <c:v>2824</c:v>
                </c:pt>
                <c:pt idx="378">
                  <c:v>2826</c:v>
                </c:pt>
                <c:pt idx="379">
                  <c:v>2826</c:v>
                </c:pt>
                <c:pt idx="380">
                  <c:v>2846</c:v>
                </c:pt>
                <c:pt idx="381">
                  <c:v>2847</c:v>
                </c:pt>
                <c:pt idx="382">
                  <c:v>2847</c:v>
                </c:pt>
                <c:pt idx="383">
                  <c:v>2858</c:v>
                </c:pt>
                <c:pt idx="384">
                  <c:v>2858</c:v>
                </c:pt>
                <c:pt idx="385">
                  <c:v>2868</c:v>
                </c:pt>
                <c:pt idx="386">
                  <c:v>2868</c:v>
                </c:pt>
                <c:pt idx="387">
                  <c:v>2889</c:v>
                </c:pt>
                <c:pt idx="388">
                  <c:v>2900</c:v>
                </c:pt>
                <c:pt idx="389">
                  <c:v>2904</c:v>
                </c:pt>
                <c:pt idx="390">
                  <c:v>2904</c:v>
                </c:pt>
                <c:pt idx="391">
                  <c:v>2904</c:v>
                </c:pt>
                <c:pt idx="392">
                  <c:v>2913</c:v>
                </c:pt>
                <c:pt idx="393">
                  <c:v>2913</c:v>
                </c:pt>
                <c:pt idx="394">
                  <c:v>2913</c:v>
                </c:pt>
                <c:pt idx="395">
                  <c:v>2930</c:v>
                </c:pt>
                <c:pt idx="396">
                  <c:v>2940</c:v>
                </c:pt>
                <c:pt idx="397">
                  <c:v>2949</c:v>
                </c:pt>
                <c:pt idx="398">
                  <c:v>2957</c:v>
                </c:pt>
                <c:pt idx="399">
                  <c:v>2965</c:v>
                </c:pt>
                <c:pt idx="400">
                  <c:v>2973</c:v>
                </c:pt>
                <c:pt idx="401">
                  <c:v>2973</c:v>
                </c:pt>
                <c:pt idx="402">
                  <c:v>2986</c:v>
                </c:pt>
                <c:pt idx="403">
                  <c:v>2992</c:v>
                </c:pt>
                <c:pt idx="404">
                  <c:v>2997</c:v>
                </c:pt>
                <c:pt idx="405">
                  <c:v>2997</c:v>
                </c:pt>
                <c:pt idx="406">
                  <c:v>2999</c:v>
                </c:pt>
                <c:pt idx="407">
                  <c:v>2999</c:v>
                </c:pt>
                <c:pt idx="408">
                  <c:v>3008</c:v>
                </c:pt>
                <c:pt idx="409">
                  <c:v>3013</c:v>
                </c:pt>
                <c:pt idx="410">
                  <c:v>3018</c:v>
                </c:pt>
                <c:pt idx="411">
                  <c:v>3019</c:v>
                </c:pt>
                <c:pt idx="412">
                  <c:v>3019</c:v>
                </c:pt>
                <c:pt idx="413">
                  <c:v>3030</c:v>
                </c:pt>
                <c:pt idx="414">
                  <c:v>3036</c:v>
                </c:pt>
                <c:pt idx="415">
                  <c:v>3042</c:v>
                </c:pt>
                <c:pt idx="416">
                  <c:v>3044</c:v>
                </c:pt>
                <c:pt idx="417">
                  <c:v>3044</c:v>
                </c:pt>
                <c:pt idx="418">
                  <c:v>3051</c:v>
                </c:pt>
                <c:pt idx="419">
                  <c:v>3051</c:v>
                </c:pt>
                <c:pt idx="420">
                  <c:v>3051</c:v>
                </c:pt>
                <c:pt idx="421">
                  <c:v>3065</c:v>
                </c:pt>
                <c:pt idx="422">
                  <c:v>3069</c:v>
                </c:pt>
                <c:pt idx="423">
                  <c:v>3072</c:v>
                </c:pt>
                <c:pt idx="424">
                  <c:v>3072</c:v>
                </c:pt>
                <c:pt idx="425">
                  <c:v>3072</c:v>
                </c:pt>
                <c:pt idx="426">
                  <c:v>3077</c:v>
                </c:pt>
                <c:pt idx="427">
                  <c:v>3077</c:v>
                </c:pt>
                <c:pt idx="428">
                  <c:v>3080</c:v>
                </c:pt>
                <c:pt idx="429">
                  <c:v>#N/A</c:v>
                </c:pt>
                <c:pt idx="430">
                  <c:v>#N/A</c:v>
                </c:pt>
                <c:pt idx="431">
                  <c:v>#N/A</c:v>
                </c:pt>
                <c:pt idx="432">
                  <c:v>3081</c:v>
                </c:pt>
                <c:pt idx="433">
                  <c:v>3081</c:v>
                </c:pt>
                <c:pt idx="434">
                  <c:v>#N/A</c:v>
                </c:pt>
                <c:pt idx="435">
                  <c:v>3084</c:v>
                </c:pt>
                <c:pt idx="436">
                  <c:v>3084</c:v>
                </c:pt>
                <c:pt idx="437">
                  <c:v>3090</c:v>
                </c:pt>
                <c:pt idx="438">
                  <c:v>3090</c:v>
                </c:pt>
                <c:pt idx="439">
                  <c:v>3093</c:v>
                </c:pt>
                <c:pt idx="440">
                  <c:v>3099</c:v>
                </c:pt>
                <c:pt idx="441">
                  <c:v>3106</c:v>
                </c:pt>
                <c:pt idx="442">
                  <c:v>3113</c:v>
                </c:pt>
                <c:pt idx="443">
                  <c:v>3121</c:v>
                </c:pt>
                <c:pt idx="444">
                  <c:v>3121</c:v>
                </c:pt>
                <c:pt idx="445">
                  <c:v>3132</c:v>
                </c:pt>
                <c:pt idx="446">
                  <c:v>3142</c:v>
                </c:pt>
                <c:pt idx="447">
                  <c:v>3149</c:v>
                </c:pt>
                <c:pt idx="448">
                  <c:v>3149</c:v>
                </c:pt>
                <c:pt idx="449">
                  <c:v>3159</c:v>
                </c:pt>
                <c:pt idx="450">
                  <c:v>3159</c:v>
                </c:pt>
                <c:pt idx="451">
                  <c:v>3169</c:v>
                </c:pt>
                <c:pt idx="452">
                  <c:v>3169</c:v>
                </c:pt>
                <c:pt idx="453">
                  <c:v>3186</c:v>
                </c:pt>
                <c:pt idx="454">
                  <c:v>3187</c:v>
                </c:pt>
                <c:pt idx="455">
                  <c:v>3187</c:v>
                </c:pt>
                <c:pt idx="456">
                  <c:v>3205</c:v>
                </c:pt>
                <c:pt idx="457">
                  <c:v>3205</c:v>
                </c:pt>
                <c:pt idx="458">
                  <c:v>3224</c:v>
                </c:pt>
                <c:pt idx="459">
                  <c:v>3224</c:v>
                </c:pt>
                <c:pt idx="460">
                  <c:v>3242</c:v>
                </c:pt>
                <c:pt idx="461">
                  <c:v>3252</c:v>
                </c:pt>
                <c:pt idx="462">
                  <c:v>3261</c:v>
                </c:pt>
                <c:pt idx="463">
                  <c:v>3271</c:v>
                </c:pt>
                <c:pt idx="464">
                  <c:v>3279</c:v>
                </c:pt>
                <c:pt idx="465">
                  <c:v>3288</c:v>
                </c:pt>
                <c:pt idx="466">
                  <c:v>3297</c:v>
                </c:pt>
                <c:pt idx="467">
                  <c:v>3306</c:v>
                </c:pt>
                <c:pt idx="468">
                  <c:v>3315</c:v>
                </c:pt>
                <c:pt idx="469">
                  <c:v>3324</c:v>
                </c:pt>
                <c:pt idx="470">
                  <c:v>3333</c:v>
                </c:pt>
                <c:pt idx="471">
                  <c:v>3342</c:v>
                </c:pt>
                <c:pt idx="472">
                  <c:v>3351</c:v>
                </c:pt>
                <c:pt idx="473">
                  <c:v>3360</c:v>
                </c:pt>
                <c:pt idx="474">
                  <c:v>3370</c:v>
                </c:pt>
                <c:pt idx="475">
                  <c:v>3379</c:v>
                </c:pt>
                <c:pt idx="476">
                  <c:v>3388</c:v>
                </c:pt>
                <c:pt idx="477">
                  <c:v>3388</c:v>
                </c:pt>
                <c:pt idx="478">
                  <c:v>3411</c:v>
                </c:pt>
                <c:pt idx="479">
                  <c:v>3420</c:v>
                </c:pt>
                <c:pt idx="480">
                  <c:v>3425</c:v>
                </c:pt>
                <c:pt idx="481">
                  <c:v>3425</c:v>
                </c:pt>
                <c:pt idx="482">
                  <c:v>3453</c:v>
                </c:pt>
                <c:pt idx="483">
                  <c:v>3453</c:v>
                </c:pt>
                <c:pt idx="484">
                  <c:v>3468</c:v>
                </c:pt>
                <c:pt idx="485">
                  <c:v>3482</c:v>
                </c:pt>
                <c:pt idx="486">
                  <c:v>3497</c:v>
                </c:pt>
                <c:pt idx="487">
                  <c:v>3504</c:v>
                </c:pt>
                <c:pt idx="488">
                  <c:v>3504</c:v>
                </c:pt>
                <c:pt idx="489">
                  <c:v>3527</c:v>
                </c:pt>
                <c:pt idx="490">
                  <c:v>3541</c:v>
                </c:pt>
                <c:pt idx="491">
                  <c:v>3545</c:v>
                </c:pt>
                <c:pt idx="492">
                  <c:v>3545</c:v>
                </c:pt>
                <c:pt idx="493">
                  <c:v>3545</c:v>
                </c:pt>
                <c:pt idx="494">
                  <c:v>3556</c:v>
                </c:pt>
                <c:pt idx="495">
                  <c:v>3556</c:v>
                </c:pt>
                <c:pt idx="496">
                  <c:v>3584</c:v>
                </c:pt>
                <c:pt idx="497">
                  <c:v>3598</c:v>
                </c:pt>
                <c:pt idx="498">
                  <c:v>3610</c:v>
                </c:pt>
                <c:pt idx="499">
                  <c:v>3610</c:v>
                </c:pt>
                <c:pt idx="500">
                  <c:v>#N/A</c:v>
                </c:pt>
                <c:pt idx="501">
                  <c:v>3635</c:v>
                </c:pt>
                <c:pt idx="502">
                  <c:v>3646</c:v>
                </c:pt>
                <c:pt idx="503">
                  <c:v>3646</c:v>
                </c:pt>
                <c:pt idx="504">
                  <c:v>3665</c:v>
                </c:pt>
                <c:pt idx="505">
                  <c:v>3665</c:v>
                </c:pt>
                <c:pt idx="506">
                  <c:v>3682</c:v>
                </c:pt>
                <c:pt idx="507">
                  <c:v>3689</c:v>
                </c:pt>
                <c:pt idx="508">
                  <c:v>3689</c:v>
                </c:pt>
                <c:pt idx="509">
                  <c:v>3696</c:v>
                </c:pt>
                <c:pt idx="510">
                  <c:v>3702</c:v>
                </c:pt>
                <c:pt idx="511">
                  <c:v>3708</c:v>
                </c:pt>
                <c:pt idx="512">
                  <c:v>3713</c:v>
                </c:pt>
                <c:pt idx="513">
                  <c:v>3713</c:v>
                </c:pt>
                <c:pt idx="514">
                  <c:v>3713</c:v>
                </c:pt>
                <c:pt idx="515">
                  <c:v>#N/A</c:v>
                </c:pt>
                <c:pt idx="516">
                  <c:v>3722</c:v>
                </c:pt>
                <c:pt idx="517">
                  <c:v>3725</c:v>
                </c:pt>
                <c:pt idx="518">
                  <c:v>3727</c:v>
                </c:pt>
                <c:pt idx="519">
                  <c:v>3729</c:v>
                </c:pt>
                <c:pt idx="520">
                  <c:v>3730</c:v>
                </c:pt>
                <c:pt idx="521">
                  <c:v>3730</c:v>
                </c:pt>
                <c:pt idx="522">
                  <c:v>3730</c:v>
                </c:pt>
                <c:pt idx="523">
                  <c:v>#N/A</c:v>
                </c:pt>
                <c:pt idx="524">
                  <c:v>3731</c:v>
                </c:pt>
                <c:pt idx="525">
                  <c:v>3731</c:v>
                </c:pt>
                <c:pt idx="526">
                  <c:v>#N/A</c:v>
                </c:pt>
                <c:pt idx="527">
                  <c:v>#N/A</c:v>
                </c:pt>
                <c:pt idx="528">
                  <c:v>3733</c:v>
                </c:pt>
                <c:pt idx="529">
                  <c:v>3733</c:v>
                </c:pt>
                <c:pt idx="530">
                  <c:v>#N/A</c:v>
                </c:pt>
                <c:pt idx="531">
                  <c:v>3741</c:v>
                </c:pt>
                <c:pt idx="532">
                  <c:v>3746</c:v>
                </c:pt>
                <c:pt idx="533">
                  <c:v>3747</c:v>
                </c:pt>
                <c:pt idx="534">
                  <c:v>3747</c:v>
                </c:pt>
                <c:pt idx="535">
                  <c:v>3747</c:v>
                </c:pt>
                <c:pt idx="536">
                  <c:v>3771</c:v>
                </c:pt>
                <c:pt idx="537">
                  <c:v>3781</c:v>
                </c:pt>
                <c:pt idx="538">
                  <c:v>3783</c:v>
                </c:pt>
                <c:pt idx="539">
                  <c:v>3783</c:v>
                </c:pt>
                <c:pt idx="540">
                  <c:v>3783</c:v>
                </c:pt>
                <c:pt idx="541">
                  <c:v>3806</c:v>
                </c:pt>
                <c:pt idx="542">
                  <c:v>3818</c:v>
                </c:pt>
                <c:pt idx="543">
                  <c:v>3832</c:v>
                </c:pt>
                <c:pt idx="544">
                  <c:v>3846</c:v>
                </c:pt>
                <c:pt idx="545">
                  <c:v>3846</c:v>
                </c:pt>
                <c:pt idx="546">
                  <c:v>3863</c:v>
                </c:pt>
                <c:pt idx="547">
                  <c:v>3878</c:v>
                </c:pt>
                <c:pt idx="548">
                  <c:v>3894</c:v>
                </c:pt>
                <c:pt idx="549">
                  <c:v>3909</c:v>
                </c:pt>
                <c:pt idx="550">
                  <c:v>3925</c:v>
                </c:pt>
                <c:pt idx="551">
                  <c:v>3925</c:v>
                </c:pt>
                <c:pt idx="552">
                  <c:v>3959</c:v>
                </c:pt>
                <c:pt idx="553">
                  <c:v>3975</c:v>
                </c:pt>
                <c:pt idx="554">
                  <c:v>3991</c:v>
                </c:pt>
                <c:pt idx="555">
                  <c:v>3996</c:v>
                </c:pt>
                <c:pt idx="556">
                  <c:v>3996</c:v>
                </c:pt>
                <c:pt idx="557">
                  <c:v>3996</c:v>
                </c:pt>
                <c:pt idx="558">
                  <c:v>4043</c:v>
                </c:pt>
                <c:pt idx="559">
                  <c:v>4047</c:v>
                </c:pt>
                <c:pt idx="560">
                  <c:v>4047</c:v>
                </c:pt>
                <c:pt idx="561">
                  <c:v>4047</c:v>
                </c:pt>
                <c:pt idx="562">
                  <c:v>4073</c:v>
                </c:pt>
                <c:pt idx="563">
                  <c:v>4090</c:v>
                </c:pt>
                <c:pt idx="564">
                  <c:v>4090</c:v>
                </c:pt>
                <c:pt idx="565">
                  <c:v>4119</c:v>
                </c:pt>
                <c:pt idx="566">
                  <c:v>4134</c:v>
                </c:pt>
                <c:pt idx="567">
                  <c:v>4147</c:v>
                </c:pt>
                <c:pt idx="568">
                  <c:v>4147</c:v>
                </c:pt>
                <c:pt idx="569">
                  <c:v>4162</c:v>
                </c:pt>
                <c:pt idx="570">
                  <c:v>4165</c:v>
                </c:pt>
                <c:pt idx="571">
                  <c:v>4165</c:v>
                </c:pt>
                <c:pt idx="572">
                  <c:v>4165</c:v>
                </c:pt>
                <c:pt idx="573">
                  <c:v>4187</c:v>
                </c:pt>
                <c:pt idx="574">
                  <c:v>4194</c:v>
                </c:pt>
                <c:pt idx="575">
                  <c:v>4194</c:v>
                </c:pt>
                <c:pt idx="576">
                  <c:v>4194</c:v>
                </c:pt>
                <c:pt idx="577">
                  <c:v>4214</c:v>
                </c:pt>
                <c:pt idx="578">
                  <c:v>4227</c:v>
                </c:pt>
                <c:pt idx="579">
                  <c:v>4242</c:v>
                </c:pt>
                <c:pt idx="580">
                  <c:v>4257</c:v>
                </c:pt>
                <c:pt idx="581">
                  <c:v>4272</c:v>
                </c:pt>
                <c:pt idx="582">
                  <c:v>4287</c:v>
                </c:pt>
                <c:pt idx="583">
                  <c:v>4303</c:v>
                </c:pt>
                <c:pt idx="584">
                  <c:v>4303</c:v>
                </c:pt>
                <c:pt idx="585">
                  <c:v>4321</c:v>
                </c:pt>
                <c:pt idx="586">
                  <c:v>4322</c:v>
                </c:pt>
                <c:pt idx="587">
                  <c:v>4322</c:v>
                </c:pt>
                <c:pt idx="588">
                  <c:v>4322</c:v>
                </c:pt>
                <c:pt idx="589">
                  <c:v>4357</c:v>
                </c:pt>
                <c:pt idx="590">
                  <c:v>4357</c:v>
                </c:pt>
                <c:pt idx="591">
                  <c:v>4374</c:v>
                </c:pt>
                <c:pt idx="592">
                  <c:v>4411</c:v>
                </c:pt>
                <c:pt idx="593">
                  <c:v>4428</c:v>
                </c:pt>
                <c:pt idx="594">
                  <c:v>4446</c:v>
                </c:pt>
                <c:pt idx="595">
                  <c:v>4464</c:v>
                </c:pt>
                <c:pt idx="596">
                  <c:v>4482</c:v>
                </c:pt>
                <c:pt idx="597">
                  <c:v>4501</c:v>
                </c:pt>
                <c:pt idx="598">
                  <c:v>4518</c:v>
                </c:pt>
                <c:pt idx="599">
                  <c:v>4535</c:v>
                </c:pt>
                <c:pt idx="600">
                  <c:v>4554</c:v>
                </c:pt>
                <c:pt idx="601">
                  <c:v>4571</c:v>
                </c:pt>
                <c:pt idx="602">
                  <c:v>4591</c:v>
                </c:pt>
                <c:pt idx="603">
                  <c:v>4608</c:v>
                </c:pt>
                <c:pt idx="604">
                  <c:v>4626</c:v>
                </c:pt>
                <c:pt idx="605">
                  <c:v>4626</c:v>
                </c:pt>
                <c:pt idx="606">
                  <c:v>4646</c:v>
                </c:pt>
                <c:pt idx="607">
                  <c:v>4663</c:v>
                </c:pt>
                <c:pt idx="608">
                  <c:v>4682</c:v>
                </c:pt>
                <c:pt idx="609">
                  <c:v>#N/A</c:v>
                </c:pt>
                <c:pt idx="610">
                  <c:v>4717</c:v>
                </c:pt>
                <c:pt idx="611">
                  <c:v>4717</c:v>
                </c:pt>
                <c:pt idx="612">
                  <c:v>4723</c:v>
                </c:pt>
                <c:pt idx="613">
                  <c:v>4723</c:v>
                </c:pt>
                <c:pt idx="614">
                  <c:v>4754</c:v>
                </c:pt>
                <c:pt idx="615">
                  <c:v>4771</c:v>
                </c:pt>
                <c:pt idx="616">
                  <c:v>4789</c:v>
                </c:pt>
                <c:pt idx="617">
                  <c:v>4789</c:v>
                </c:pt>
                <c:pt idx="618">
                  <c:v>4821</c:v>
                </c:pt>
                <c:pt idx="619">
                  <c:v>4821</c:v>
                </c:pt>
                <c:pt idx="620">
                  <c:v>4839</c:v>
                </c:pt>
                <c:pt idx="621">
                  <c:v>4854</c:v>
                </c:pt>
                <c:pt idx="622">
                  <c:v>4870</c:v>
                </c:pt>
                <c:pt idx="623">
                  <c:v>4885</c:v>
                </c:pt>
                <c:pt idx="624">
                  <c:v>4899</c:v>
                </c:pt>
                <c:pt idx="625">
                  <c:v>4912</c:v>
                </c:pt>
                <c:pt idx="626">
                  <c:v>4912</c:v>
                </c:pt>
                <c:pt idx="627">
                  <c:v>4925</c:v>
                </c:pt>
                <c:pt idx="628">
                  <c:v>4938</c:v>
                </c:pt>
                <c:pt idx="629">
                  <c:v>4951</c:v>
                </c:pt>
                <c:pt idx="630">
                  <c:v>4962</c:v>
                </c:pt>
                <c:pt idx="631">
                  <c:v>4965</c:v>
                </c:pt>
                <c:pt idx="632">
                  <c:v>4965</c:v>
                </c:pt>
                <c:pt idx="633">
                  <c:v>4965</c:v>
                </c:pt>
                <c:pt idx="634">
                  <c:v>4986</c:v>
                </c:pt>
                <c:pt idx="635">
                  <c:v>4996</c:v>
                </c:pt>
                <c:pt idx="636">
                  <c:v>5007</c:v>
                </c:pt>
                <c:pt idx="637">
                  <c:v>5010</c:v>
                </c:pt>
                <c:pt idx="638">
                  <c:v>5010</c:v>
                </c:pt>
                <c:pt idx="639">
                  <c:v>5010</c:v>
                </c:pt>
                <c:pt idx="640">
                  <c:v>5026</c:v>
                </c:pt>
                <c:pt idx="641">
                  <c:v>5036</c:v>
                </c:pt>
                <c:pt idx="642">
                  <c:v>5044</c:v>
                </c:pt>
                <c:pt idx="643">
                  <c:v>5051</c:v>
                </c:pt>
                <c:pt idx="644">
                  <c:v>5051</c:v>
                </c:pt>
                <c:pt idx="645">
                  <c:v>5064</c:v>
                </c:pt>
                <c:pt idx="646">
                  <c:v>5069</c:v>
                </c:pt>
                <c:pt idx="647">
                  <c:v>5072</c:v>
                </c:pt>
                <c:pt idx="648">
                  <c:v>5072</c:v>
                </c:pt>
                <c:pt idx="649">
                  <c:v>5075</c:v>
                </c:pt>
                <c:pt idx="650">
                  <c:v>5076</c:v>
                </c:pt>
                <c:pt idx="651">
                  <c:v>5077</c:v>
                </c:pt>
                <c:pt idx="652">
                  <c:v>5078</c:v>
                </c:pt>
                <c:pt idx="653">
                  <c:v>#N/A</c:v>
                </c:pt>
                <c:pt idx="654">
                  <c:v>#N/A</c:v>
                </c:pt>
                <c:pt idx="655">
                  <c:v>#N/A</c:v>
                </c:pt>
                <c:pt idx="656">
                  <c:v>#N/A</c:v>
                </c:pt>
                <c:pt idx="657">
                  <c:v>#N/A</c:v>
                </c:pt>
                <c:pt idx="658">
                  <c:v>#N/A</c:v>
                </c:pt>
                <c:pt idx="659">
                  <c:v>5080</c:v>
                </c:pt>
                <c:pt idx="660">
                  <c:v>5084</c:v>
                </c:pt>
                <c:pt idx="661">
                  <c:v>5084</c:v>
                </c:pt>
                <c:pt idx="662">
                  <c:v>5088</c:v>
                </c:pt>
                <c:pt idx="663">
                  <c:v>5094</c:v>
                </c:pt>
                <c:pt idx="664">
                  <c:v>5094</c:v>
                </c:pt>
                <c:pt idx="665">
                  <c:v>5101</c:v>
                </c:pt>
                <c:pt idx="666">
                  <c:v>5110</c:v>
                </c:pt>
                <c:pt idx="667">
                  <c:v>5119</c:v>
                </c:pt>
                <c:pt idx="668">
                  <c:v>5127</c:v>
                </c:pt>
                <c:pt idx="669">
                  <c:v>5138</c:v>
                </c:pt>
                <c:pt idx="670">
                  <c:v>5141</c:v>
                </c:pt>
                <c:pt idx="671">
                  <c:v>5141</c:v>
                </c:pt>
                <c:pt idx="672">
                  <c:v>5154</c:v>
                </c:pt>
                <c:pt idx="673">
                  <c:v>5154</c:v>
                </c:pt>
                <c:pt idx="674">
                  <c:v>5168</c:v>
                </c:pt>
                <c:pt idx="675">
                  <c:v>#N/A</c:v>
                </c:pt>
                <c:pt idx="676">
                  <c:v>5181</c:v>
                </c:pt>
                <c:pt idx="677">
                  <c:v>5181</c:v>
                </c:pt>
                <c:pt idx="678">
                  <c:v>5198</c:v>
                </c:pt>
                <c:pt idx="679">
                  <c:v>5205</c:v>
                </c:pt>
                <c:pt idx="680">
                  <c:v>5214</c:v>
                </c:pt>
                <c:pt idx="681">
                  <c:v>5222</c:v>
                </c:pt>
                <c:pt idx="682">
                  <c:v>5230</c:v>
                </c:pt>
                <c:pt idx="683">
                  <c:v>5237</c:v>
                </c:pt>
                <c:pt idx="684">
                  <c:v>5243</c:v>
                </c:pt>
                <c:pt idx="685">
                  <c:v>5243</c:v>
                </c:pt>
                <c:pt idx="686">
                  <c:v>5249</c:v>
                </c:pt>
                <c:pt idx="687">
                  <c:v>5250</c:v>
                </c:pt>
                <c:pt idx="688">
                  <c:v>5250</c:v>
                </c:pt>
                <c:pt idx="689">
                  <c:v>5250</c:v>
                </c:pt>
                <c:pt idx="690">
                  <c:v>5265</c:v>
                </c:pt>
                <c:pt idx="691">
                  <c:v>5270</c:v>
                </c:pt>
                <c:pt idx="692">
                  <c:v>5275</c:v>
                </c:pt>
                <c:pt idx="693">
                  <c:v>5281</c:v>
                </c:pt>
                <c:pt idx="694">
                  <c:v>5286</c:v>
                </c:pt>
                <c:pt idx="695">
                  <c:v>5291</c:v>
                </c:pt>
                <c:pt idx="696">
                  <c:v>5296</c:v>
                </c:pt>
                <c:pt idx="697">
                  <c:v>5301</c:v>
                </c:pt>
                <c:pt idx="698">
                  <c:v>5306</c:v>
                </c:pt>
                <c:pt idx="699">
                  <c:v>5311</c:v>
                </c:pt>
                <c:pt idx="700">
                  <c:v>5316</c:v>
                </c:pt>
                <c:pt idx="701">
                  <c:v>5326</c:v>
                </c:pt>
                <c:pt idx="702">
                  <c:v>5331</c:v>
                </c:pt>
                <c:pt idx="703">
                  <c:v>#N/A</c:v>
                </c:pt>
                <c:pt idx="704">
                  <c:v>5342</c:v>
                </c:pt>
                <c:pt idx="705">
                  <c:v>5342</c:v>
                </c:pt>
                <c:pt idx="706">
                  <c:v>5353</c:v>
                </c:pt>
                <c:pt idx="707">
                  <c:v>5358</c:v>
                </c:pt>
                <c:pt idx="708">
                  <c:v>5358</c:v>
                </c:pt>
                <c:pt idx="709">
                  <c:v>5378</c:v>
                </c:pt>
                <c:pt idx="710">
                  <c:v>5378</c:v>
                </c:pt>
                <c:pt idx="711">
                  <c:v>5386</c:v>
                </c:pt>
                <c:pt idx="712">
                  <c:v>5394</c:v>
                </c:pt>
                <c:pt idx="713">
                  <c:v>5403</c:v>
                </c:pt>
                <c:pt idx="714">
                  <c:v>5404</c:v>
                </c:pt>
                <c:pt idx="715">
                  <c:v>5404</c:v>
                </c:pt>
                <c:pt idx="716">
                  <c:v>5419</c:v>
                </c:pt>
                <c:pt idx="717">
                  <c:v>5419</c:v>
                </c:pt>
                <c:pt idx="718">
                  <c:v>5419</c:v>
                </c:pt>
                <c:pt idx="719">
                  <c:v>5443</c:v>
                </c:pt>
                <c:pt idx="720">
                  <c:v>5446</c:v>
                </c:pt>
                <c:pt idx="721">
                  <c:v>5446</c:v>
                </c:pt>
                <c:pt idx="722">
                  <c:v>5446</c:v>
                </c:pt>
                <c:pt idx="723">
                  <c:v>5474</c:v>
                </c:pt>
                <c:pt idx="724">
                  <c:v>5484</c:v>
                </c:pt>
                <c:pt idx="725">
                  <c:v>5489</c:v>
                </c:pt>
                <c:pt idx="726">
                  <c:v>5489</c:v>
                </c:pt>
                <c:pt idx="727">
                  <c:v>5503</c:v>
                </c:pt>
                <c:pt idx="728">
                  <c:v>5513</c:v>
                </c:pt>
                <c:pt idx="729">
                  <c:v>5522</c:v>
                </c:pt>
                <c:pt idx="730">
                  <c:v>5523</c:v>
                </c:pt>
                <c:pt idx="731">
                  <c:v>5523</c:v>
                </c:pt>
                <c:pt idx="732">
                  <c:v>#N/A</c:v>
                </c:pt>
                <c:pt idx="733">
                  <c:v>5555</c:v>
                </c:pt>
                <c:pt idx="734">
                  <c:v>5567</c:v>
                </c:pt>
                <c:pt idx="735">
                  <c:v>5567</c:v>
                </c:pt>
                <c:pt idx="736">
                  <c:v>5580</c:v>
                </c:pt>
                <c:pt idx="737">
                  <c:v>5596</c:v>
                </c:pt>
                <c:pt idx="738">
                  <c:v>5610</c:v>
                </c:pt>
                <c:pt idx="739">
                  <c:v>5610</c:v>
                </c:pt>
                <c:pt idx="740">
                  <c:v>5625</c:v>
                </c:pt>
                <c:pt idx="741">
                  <c:v>5642</c:v>
                </c:pt>
                <c:pt idx="742">
                  <c:v>5642</c:v>
                </c:pt>
                <c:pt idx="743">
                  <c:v>5659</c:v>
                </c:pt>
                <c:pt idx="744">
                  <c:v>5675</c:v>
                </c:pt>
                <c:pt idx="745">
                  <c:v>5691</c:v>
                </c:pt>
                <c:pt idx="746">
                  <c:v>5692</c:v>
                </c:pt>
                <c:pt idx="747">
                  <c:v>5692</c:v>
                </c:pt>
                <c:pt idx="748">
                  <c:v>5722</c:v>
                </c:pt>
                <c:pt idx="749">
                  <c:v>5723</c:v>
                </c:pt>
                <c:pt idx="750">
                  <c:v>5723</c:v>
                </c:pt>
                <c:pt idx="751">
                  <c:v>5771</c:v>
                </c:pt>
                <c:pt idx="752">
                  <c:v>5785</c:v>
                </c:pt>
                <c:pt idx="753">
                  <c:v>5793</c:v>
                </c:pt>
                <c:pt idx="754">
                  <c:v>5793</c:v>
                </c:pt>
                <c:pt idx="755">
                  <c:v>5793</c:v>
                </c:pt>
                <c:pt idx="756">
                  <c:v>5816</c:v>
                </c:pt>
                <c:pt idx="757">
                  <c:v>5817</c:v>
                </c:pt>
                <c:pt idx="758">
                  <c:v>5817</c:v>
                </c:pt>
                <c:pt idx="759">
                  <c:v>5846</c:v>
                </c:pt>
                <c:pt idx="760">
                  <c:v>5851</c:v>
                </c:pt>
                <c:pt idx="761">
                  <c:v>5851</c:v>
                </c:pt>
                <c:pt idx="762">
                  <c:v>5860</c:v>
                </c:pt>
                <c:pt idx="763">
                  <c:v>5860</c:v>
                </c:pt>
                <c:pt idx="764">
                  <c:v>5884</c:v>
                </c:pt>
                <c:pt idx="765">
                  <c:v>5895</c:v>
                </c:pt>
                <c:pt idx="766">
                  <c:v>5906</c:v>
                </c:pt>
                <c:pt idx="767">
                  <c:v>5916</c:v>
                </c:pt>
                <c:pt idx="768">
                  <c:v>5925</c:v>
                </c:pt>
                <c:pt idx="769">
                  <c:v>5933</c:v>
                </c:pt>
                <c:pt idx="770">
                  <c:v>5940</c:v>
                </c:pt>
                <c:pt idx="771">
                  <c:v>5946</c:v>
                </c:pt>
                <c:pt idx="772">
                  <c:v>5953</c:v>
                </c:pt>
                <c:pt idx="773">
                  <c:v>5958</c:v>
                </c:pt>
                <c:pt idx="774">
                  <c:v>5962</c:v>
                </c:pt>
                <c:pt idx="775">
                  <c:v>5965</c:v>
                </c:pt>
                <c:pt idx="776">
                  <c:v>5967</c:v>
                </c:pt>
                <c:pt idx="777">
                  <c:v>5969</c:v>
                </c:pt>
                <c:pt idx="778">
                  <c:v>5969</c:v>
                </c:pt>
                <c:pt idx="779">
                  <c:v>#N/A</c:v>
                </c:pt>
                <c:pt idx="780">
                  <c:v>#N/A</c:v>
                </c:pt>
                <c:pt idx="781">
                  <c:v>#N/A</c:v>
                </c:pt>
                <c:pt idx="782">
                  <c:v>#N/A</c:v>
                </c:pt>
                <c:pt idx="783">
                  <c:v>#N/A</c:v>
                </c:pt>
                <c:pt idx="784">
                  <c:v>5971</c:v>
                </c:pt>
                <c:pt idx="785">
                  <c:v>5971</c:v>
                </c:pt>
                <c:pt idx="786">
                  <c:v>5971</c:v>
                </c:pt>
                <c:pt idx="787">
                  <c:v>5975</c:v>
                </c:pt>
                <c:pt idx="788">
                  <c:v>#N/A</c:v>
                </c:pt>
                <c:pt idx="789">
                  <c:v>#N/A</c:v>
                </c:pt>
                <c:pt idx="790">
                  <c:v>5982</c:v>
                </c:pt>
                <c:pt idx="791">
                  <c:v>5985</c:v>
                </c:pt>
                <c:pt idx="792">
                  <c:v>5988</c:v>
                </c:pt>
                <c:pt idx="793">
                  <c:v>5992</c:v>
                </c:pt>
                <c:pt idx="794">
                  <c:v>5995</c:v>
                </c:pt>
                <c:pt idx="795">
                  <c:v>5999</c:v>
                </c:pt>
                <c:pt idx="796">
                  <c:v>6002</c:v>
                </c:pt>
                <c:pt idx="797">
                  <c:v>6005</c:v>
                </c:pt>
                <c:pt idx="798">
                  <c:v>6005</c:v>
                </c:pt>
                <c:pt idx="799">
                  <c:v>6008</c:v>
                </c:pt>
                <c:pt idx="800">
                  <c:v>6011</c:v>
                </c:pt>
                <c:pt idx="801">
                  <c:v>6014</c:v>
                </c:pt>
                <c:pt idx="802">
                  <c:v>6019</c:v>
                </c:pt>
                <c:pt idx="803">
                  <c:v>6023</c:v>
                </c:pt>
                <c:pt idx="804">
                  <c:v>6025</c:v>
                </c:pt>
                <c:pt idx="805">
                  <c:v>6025</c:v>
                </c:pt>
                <c:pt idx="806">
                  <c:v>6035</c:v>
                </c:pt>
                <c:pt idx="807">
                  <c:v>6035</c:v>
                </c:pt>
                <c:pt idx="808">
                  <c:v>6043</c:v>
                </c:pt>
                <c:pt idx="809">
                  <c:v>6049</c:v>
                </c:pt>
                <c:pt idx="810">
                  <c:v>6057</c:v>
                </c:pt>
                <c:pt idx="811">
                  <c:v>6065</c:v>
                </c:pt>
                <c:pt idx="812">
                  <c:v>#N/A</c:v>
                </c:pt>
                <c:pt idx="813">
                  <c:v>6081</c:v>
                </c:pt>
                <c:pt idx="814">
                  <c:v>6090</c:v>
                </c:pt>
                <c:pt idx="815">
                  <c:v>6100</c:v>
                </c:pt>
                <c:pt idx="816">
                  <c:v>6109</c:v>
                </c:pt>
                <c:pt idx="817">
                  <c:v>6121</c:v>
                </c:pt>
                <c:pt idx="818">
                  <c:v>6130</c:v>
                </c:pt>
                <c:pt idx="819">
                  <c:v>6142</c:v>
                </c:pt>
                <c:pt idx="820">
                  <c:v>6142</c:v>
                </c:pt>
                <c:pt idx="821">
                  <c:v>6165</c:v>
                </c:pt>
                <c:pt idx="822">
                  <c:v>6177</c:v>
                </c:pt>
                <c:pt idx="823">
                  <c:v>6189</c:v>
                </c:pt>
                <c:pt idx="824">
                  <c:v>6190</c:v>
                </c:pt>
                <c:pt idx="825">
                  <c:v>6190</c:v>
                </c:pt>
                <c:pt idx="826">
                  <c:v>6190</c:v>
                </c:pt>
                <c:pt idx="827">
                  <c:v>6216</c:v>
                </c:pt>
                <c:pt idx="828">
                  <c:v>6227</c:v>
                </c:pt>
                <c:pt idx="829">
                  <c:v>6228</c:v>
                </c:pt>
                <c:pt idx="830">
                  <c:v>6228</c:v>
                </c:pt>
                <c:pt idx="831">
                  <c:v>6252</c:v>
                </c:pt>
                <c:pt idx="832">
                  <c:v>6265</c:v>
                </c:pt>
                <c:pt idx="833">
                  <c:v>6279</c:v>
                </c:pt>
                <c:pt idx="834">
                  <c:v>6290</c:v>
                </c:pt>
                <c:pt idx="835">
                  <c:v>6291</c:v>
                </c:pt>
                <c:pt idx="836">
                  <c:v>6291</c:v>
                </c:pt>
                <c:pt idx="837">
                  <c:v>6310</c:v>
                </c:pt>
                <c:pt idx="838">
                  <c:v>6310</c:v>
                </c:pt>
                <c:pt idx="839">
                  <c:v>6310</c:v>
                </c:pt>
                <c:pt idx="840">
                  <c:v>6321</c:v>
                </c:pt>
                <c:pt idx="841">
                  <c:v>6321</c:v>
                </c:pt>
                <c:pt idx="842">
                  <c:v>6321</c:v>
                </c:pt>
                <c:pt idx="843">
                  <c:v>6341</c:v>
                </c:pt>
                <c:pt idx="844">
                  <c:v>6352</c:v>
                </c:pt>
                <c:pt idx="845">
                  <c:v>6364</c:v>
                </c:pt>
                <c:pt idx="846">
                  <c:v>6364</c:v>
                </c:pt>
                <c:pt idx="847">
                  <c:v>6375</c:v>
                </c:pt>
                <c:pt idx="848">
                  <c:v>6376</c:v>
                </c:pt>
                <c:pt idx="849">
                  <c:v>6376</c:v>
                </c:pt>
                <c:pt idx="850">
                  <c:v>#N/A</c:v>
                </c:pt>
                <c:pt idx="851">
                  <c:v>6408</c:v>
                </c:pt>
                <c:pt idx="852">
                  <c:v>6417</c:v>
                </c:pt>
                <c:pt idx="853">
                  <c:v>6427</c:v>
                </c:pt>
                <c:pt idx="854">
                  <c:v>6436</c:v>
                </c:pt>
                <c:pt idx="855">
                  <c:v>6445</c:v>
                </c:pt>
                <c:pt idx="856">
                  <c:v>6454</c:v>
                </c:pt>
                <c:pt idx="857">
                  <c:v>6461</c:v>
                </c:pt>
                <c:pt idx="858">
                  <c:v>6469</c:v>
                </c:pt>
                <c:pt idx="859">
                  <c:v>6469</c:v>
                </c:pt>
                <c:pt idx="860">
                  <c:v>6475</c:v>
                </c:pt>
                <c:pt idx="861">
                  <c:v>6482</c:v>
                </c:pt>
                <c:pt idx="862">
                  <c:v>6487</c:v>
                </c:pt>
                <c:pt idx="863">
                  <c:v>6492</c:v>
                </c:pt>
                <c:pt idx="864">
                  <c:v>6494</c:v>
                </c:pt>
                <c:pt idx="865">
                  <c:v>6494</c:v>
                </c:pt>
                <c:pt idx="866">
                  <c:v>6497</c:v>
                </c:pt>
                <c:pt idx="867">
                  <c:v>6497</c:v>
                </c:pt>
                <c:pt idx="868">
                  <c:v>6500</c:v>
                </c:pt>
                <c:pt idx="869">
                  <c:v>6500</c:v>
                </c:pt>
                <c:pt idx="870">
                  <c:v>6506</c:v>
                </c:pt>
                <c:pt idx="871">
                  <c:v>6510</c:v>
                </c:pt>
                <c:pt idx="872">
                  <c:v>6513</c:v>
                </c:pt>
                <c:pt idx="873">
                  <c:v>6513</c:v>
                </c:pt>
                <c:pt idx="874">
                  <c:v>6518</c:v>
                </c:pt>
                <c:pt idx="875">
                  <c:v>6518</c:v>
                </c:pt>
                <c:pt idx="876">
                  <c:v>6526</c:v>
                </c:pt>
                <c:pt idx="877">
                  <c:v>6529</c:v>
                </c:pt>
                <c:pt idx="878">
                  <c:v>6529</c:v>
                </c:pt>
                <c:pt idx="879">
                  <c:v>6534</c:v>
                </c:pt>
                <c:pt idx="880">
                  <c:v>6534</c:v>
                </c:pt>
                <c:pt idx="881">
                  <c:v>6538</c:v>
                </c:pt>
                <c:pt idx="882">
                  <c:v>6538</c:v>
                </c:pt>
                <c:pt idx="883">
                  <c:v>6538</c:v>
                </c:pt>
                <c:pt idx="884">
                  <c:v>6545</c:v>
                </c:pt>
                <c:pt idx="885">
                  <c:v>6549</c:v>
                </c:pt>
                <c:pt idx="886">
                  <c:v>6553</c:v>
                </c:pt>
                <c:pt idx="887">
                  <c:v>6553</c:v>
                </c:pt>
                <c:pt idx="888">
                  <c:v>6556</c:v>
                </c:pt>
                <c:pt idx="889">
                  <c:v>6559</c:v>
                </c:pt>
                <c:pt idx="890">
                  <c:v>6562</c:v>
                </c:pt>
                <c:pt idx="891">
                  <c:v>6562</c:v>
                </c:pt>
                <c:pt idx="892">
                  <c:v>#N/A</c:v>
                </c:pt>
                <c:pt idx="893">
                  <c:v>6570</c:v>
                </c:pt>
                <c:pt idx="894">
                  <c:v>6573</c:v>
                </c:pt>
                <c:pt idx="895">
                  <c:v>6573</c:v>
                </c:pt>
                <c:pt idx="896">
                  <c:v>6578</c:v>
                </c:pt>
                <c:pt idx="897">
                  <c:v>6582</c:v>
                </c:pt>
                <c:pt idx="898">
                  <c:v>6586</c:v>
                </c:pt>
                <c:pt idx="899">
                  <c:v>6590</c:v>
                </c:pt>
                <c:pt idx="900">
                  <c:v>6590</c:v>
                </c:pt>
                <c:pt idx="901">
                  <c:v>6591</c:v>
                </c:pt>
                <c:pt idx="902">
                  <c:v>6591</c:v>
                </c:pt>
                <c:pt idx="903">
                  <c:v>6591</c:v>
                </c:pt>
                <c:pt idx="904">
                  <c:v>#N/A</c:v>
                </c:pt>
                <c:pt idx="905">
                  <c:v>#N/A</c:v>
                </c:pt>
                <c:pt idx="906">
                  <c:v>6602</c:v>
                </c:pt>
                <c:pt idx="907">
                  <c:v>6602</c:v>
                </c:pt>
                <c:pt idx="908">
                  <c:v>6606</c:v>
                </c:pt>
                <c:pt idx="909">
                  <c:v>6611</c:v>
                </c:pt>
                <c:pt idx="910">
                  <c:v>6616</c:v>
                </c:pt>
                <c:pt idx="911">
                  <c:v>6621</c:v>
                </c:pt>
                <c:pt idx="912">
                  <c:v>6626</c:v>
                </c:pt>
                <c:pt idx="913">
                  <c:v>6626</c:v>
                </c:pt>
                <c:pt idx="914">
                  <c:v>6632</c:v>
                </c:pt>
                <c:pt idx="915">
                  <c:v>6637</c:v>
                </c:pt>
                <c:pt idx="916">
                  <c:v>6637</c:v>
                </c:pt>
                <c:pt idx="917">
                  <c:v>6643</c:v>
                </c:pt>
                <c:pt idx="918">
                  <c:v>6648</c:v>
                </c:pt>
                <c:pt idx="919">
                  <c:v>6648</c:v>
                </c:pt>
                <c:pt idx="920">
                  <c:v>6654</c:v>
                </c:pt>
                <c:pt idx="921">
                  <c:v>6654</c:v>
                </c:pt>
                <c:pt idx="922">
                  <c:v>6660</c:v>
                </c:pt>
                <c:pt idx="923">
                  <c:v>6665</c:v>
                </c:pt>
                <c:pt idx="924">
                  <c:v>6670</c:v>
                </c:pt>
                <c:pt idx="925">
                  <c:v>6676</c:v>
                </c:pt>
                <c:pt idx="926">
                  <c:v>6681</c:v>
                </c:pt>
                <c:pt idx="927">
                  <c:v>6687</c:v>
                </c:pt>
                <c:pt idx="928">
                  <c:v>6693</c:v>
                </c:pt>
                <c:pt idx="929">
                  <c:v>6698</c:v>
                </c:pt>
                <c:pt idx="930">
                  <c:v>6698</c:v>
                </c:pt>
                <c:pt idx="931">
                  <c:v>6698</c:v>
                </c:pt>
                <c:pt idx="932">
                  <c:v>6709</c:v>
                </c:pt>
                <c:pt idx="933">
                  <c:v>6715</c:v>
                </c:pt>
                <c:pt idx="934">
                  <c:v>6715</c:v>
                </c:pt>
                <c:pt idx="935">
                  <c:v>6722</c:v>
                </c:pt>
                <c:pt idx="936">
                  <c:v>6728</c:v>
                </c:pt>
                <c:pt idx="937">
                  <c:v>6729</c:v>
                </c:pt>
                <c:pt idx="938">
                  <c:v>6729</c:v>
                </c:pt>
                <c:pt idx="939">
                  <c:v>6739</c:v>
                </c:pt>
                <c:pt idx="940">
                  <c:v>6740</c:v>
                </c:pt>
                <c:pt idx="941">
                  <c:v>6740</c:v>
                </c:pt>
                <c:pt idx="942">
                  <c:v>6740</c:v>
                </c:pt>
                <c:pt idx="943">
                  <c:v>6754</c:v>
                </c:pt>
                <c:pt idx="944">
                  <c:v>6758</c:v>
                </c:pt>
                <c:pt idx="945">
                  <c:v>6762</c:v>
                </c:pt>
                <c:pt idx="946">
                  <c:v>6764</c:v>
                </c:pt>
                <c:pt idx="947">
                  <c:v>6766</c:v>
                </c:pt>
                <c:pt idx="948">
                  <c:v>6767</c:v>
                </c:pt>
                <c:pt idx="949">
                  <c:v>6768</c:v>
                </c:pt>
                <c:pt idx="950">
                  <c:v>6769</c:v>
                </c:pt>
                <c:pt idx="951">
                  <c:v>#N/A</c:v>
                </c:pt>
                <c:pt idx="952">
                  <c:v>#N/A</c:v>
                </c:pt>
                <c:pt idx="953">
                  <c:v>6771</c:v>
                </c:pt>
                <c:pt idx="954">
                  <c:v>6771</c:v>
                </c:pt>
                <c:pt idx="955">
                  <c:v>6771</c:v>
                </c:pt>
                <c:pt idx="956">
                  <c:v>#N/A</c:v>
                </c:pt>
                <c:pt idx="957">
                  <c:v>6774</c:v>
                </c:pt>
                <c:pt idx="958">
                  <c:v>6774</c:v>
                </c:pt>
                <c:pt idx="959">
                  <c:v>6784</c:v>
                </c:pt>
                <c:pt idx="960">
                  <c:v>6785</c:v>
                </c:pt>
                <c:pt idx="961">
                  <c:v>6785</c:v>
                </c:pt>
                <c:pt idx="962">
                  <c:v>6799</c:v>
                </c:pt>
                <c:pt idx="963">
                  <c:v>6808</c:v>
                </c:pt>
                <c:pt idx="964">
                  <c:v>6818</c:v>
                </c:pt>
                <c:pt idx="965">
                  <c:v>6828</c:v>
                </c:pt>
                <c:pt idx="966">
                  <c:v>6839</c:v>
                </c:pt>
                <c:pt idx="967">
                  <c:v>6840</c:v>
                </c:pt>
                <c:pt idx="968">
                  <c:v>6840</c:v>
                </c:pt>
                <c:pt idx="969">
                  <c:v>6852</c:v>
                </c:pt>
                <c:pt idx="970">
                  <c:v>6852</c:v>
                </c:pt>
                <c:pt idx="971">
                  <c:v>6879</c:v>
                </c:pt>
                <c:pt idx="972">
                  <c:v>6895</c:v>
                </c:pt>
                <c:pt idx="973">
                  <c:v>6909</c:v>
                </c:pt>
                <c:pt idx="974">
                  <c:v>6909</c:v>
                </c:pt>
                <c:pt idx="975">
                  <c:v>6942</c:v>
                </c:pt>
                <c:pt idx="976">
                  <c:v>6954</c:v>
                </c:pt>
                <c:pt idx="977">
                  <c:v>6954</c:v>
                </c:pt>
                <c:pt idx="978">
                  <c:v>6974</c:v>
                </c:pt>
                <c:pt idx="979">
                  <c:v>6992</c:v>
                </c:pt>
                <c:pt idx="980">
                  <c:v>7009</c:v>
                </c:pt>
                <c:pt idx="981">
                  <c:v>7029</c:v>
                </c:pt>
                <c:pt idx="982">
                  <c:v>7055</c:v>
                </c:pt>
                <c:pt idx="983">
                  <c:v>7062</c:v>
                </c:pt>
                <c:pt idx="984">
                  <c:v>7079</c:v>
                </c:pt>
                <c:pt idx="985">
                  <c:v>7098</c:v>
                </c:pt>
                <c:pt idx="986">
                  <c:v>7113</c:v>
                </c:pt>
                <c:pt idx="987">
                  <c:v>7131</c:v>
                </c:pt>
                <c:pt idx="988">
                  <c:v>7149</c:v>
                </c:pt>
                <c:pt idx="989">
                  <c:v>7149</c:v>
                </c:pt>
                <c:pt idx="990">
                  <c:v>7184</c:v>
                </c:pt>
                <c:pt idx="991">
                  <c:v>7200</c:v>
                </c:pt>
                <c:pt idx="992">
                  <c:v>7204</c:v>
                </c:pt>
                <c:pt idx="993">
                  <c:v>7204</c:v>
                </c:pt>
                <c:pt idx="994">
                  <c:v>7204</c:v>
                </c:pt>
                <c:pt idx="995">
                  <c:v>7232</c:v>
                </c:pt>
                <c:pt idx="996">
                  <c:v>7249</c:v>
                </c:pt>
                <c:pt idx="997">
                  <c:v>7263</c:v>
                </c:pt>
                <c:pt idx="998">
                  <c:v>7277</c:v>
                </c:pt>
                <c:pt idx="999">
                  <c:v>7277</c:v>
                </c:pt>
                <c:pt idx="1000">
                  <c:v>7291</c:v>
                </c:pt>
                <c:pt idx="1001">
                  <c:v>7302</c:v>
                </c:pt>
                <c:pt idx="1002">
                  <c:v>7307</c:v>
                </c:pt>
                <c:pt idx="1003">
                  <c:v>7307</c:v>
                </c:pt>
                <c:pt idx="1004">
                  <c:v>7330</c:v>
                </c:pt>
                <c:pt idx="1005">
                  <c:v>7343</c:v>
                </c:pt>
                <c:pt idx="1006">
                  <c:v>7356</c:v>
                </c:pt>
                <c:pt idx="1007">
                  <c:v>7369</c:v>
                </c:pt>
                <c:pt idx="1008">
                  <c:v>7381</c:v>
                </c:pt>
                <c:pt idx="1009">
                  <c:v>7395</c:v>
                </c:pt>
                <c:pt idx="1010">
                  <c:v>7408</c:v>
                </c:pt>
                <c:pt idx="1011">
                  <c:v>7420</c:v>
                </c:pt>
                <c:pt idx="1012">
                  <c:v>7420</c:v>
                </c:pt>
                <c:pt idx="1013">
                  <c:v>7446</c:v>
                </c:pt>
                <c:pt idx="1014">
                  <c:v>7446</c:v>
                </c:pt>
                <c:pt idx="1015">
                  <c:v>7477</c:v>
                </c:pt>
                <c:pt idx="1016">
                  <c:v>7492</c:v>
                </c:pt>
                <c:pt idx="1017">
                  <c:v>7510</c:v>
                </c:pt>
                <c:pt idx="1018">
                  <c:v>7527</c:v>
                </c:pt>
                <c:pt idx="1019">
                  <c:v>7542</c:v>
                </c:pt>
                <c:pt idx="1020">
                  <c:v>7559</c:v>
                </c:pt>
                <c:pt idx="1021">
                  <c:v>7573</c:v>
                </c:pt>
                <c:pt idx="1022">
                  <c:v>7573</c:v>
                </c:pt>
                <c:pt idx="1023">
                  <c:v>7584</c:v>
                </c:pt>
                <c:pt idx="1024">
                  <c:v>7584</c:v>
                </c:pt>
                <c:pt idx="1025">
                  <c:v>7591</c:v>
                </c:pt>
                <c:pt idx="1026">
                  <c:v>7591</c:v>
                </c:pt>
                <c:pt idx="1027">
                  <c:v>7608</c:v>
                </c:pt>
                <c:pt idx="1028">
                  <c:v>7608</c:v>
                </c:pt>
                <c:pt idx="1029">
                  <c:v>7638</c:v>
                </c:pt>
                <c:pt idx="1030">
                  <c:v>7655</c:v>
                </c:pt>
                <c:pt idx="1031">
                  <c:v>7668</c:v>
                </c:pt>
                <c:pt idx="1032">
                  <c:v>7683</c:v>
                </c:pt>
                <c:pt idx="1033">
                  <c:v>7696</c:v>
                </c:pt>
                <c:pt idx="1034">
                  <c:v>7696</c:v>
                </c:pt>
                <c:pt idx="1035">
                  <c:v>7705</c:v>
                </c:pt>
                <c:pt idx="1036">
                  <c:v>7705</c:v>
                </c:pt>
                <c:pt idx="1037">
                  <c:v>7710</c:v>
                </c:pt>
                <c:pt idx="1038">
                  <c:v>7710</c:v>
                </c:pt>
                <c:pt idx="1039">
                  <c:v>7731</c:v>
                </c:pt>
                <c:pt idx="1040">
                  <c:v>7731</c:v>
                </c:pt>
                <c:pt idx="1041">
                  <c:v>7755</c:v>
                </c:pt>
                <c:pt idx="1042">
                  <c:v>7755</c:v>
                </c:pt>
                <c:pt idx="1043">
                  <c:v>7780</c:v>
                </c:pt>
                <c:pt idx="1044">
                  <c:v>7793</c:v>
                </c:pt>
                <c:pt idx="1045">
                  <c:v>7805</c:v>
                </c:pt>
                <c:pt idx="1046">
                  <c:v>7806</c:v>
                </c:pt>
                <c:pt idx="1047">
                  <c:v>7806</c:v>
                </c:pt>
                <c:pt idx="1048">
                  <c:v>7831</c:v>
                </c:pt>
                <c:pt idx="1049">
                  <c:v>7847</c:v>
                </c:pt>
                <c:pt idx="1050">
                  <c:v>7862</c:v>
                </c:pt>
                <c:pt idx="1051">
                  <c:v>7876</c:v>
                </c:pt>
                <c:pt idx="1052">
                  <c:v>7892</c:v>
                </c:pt>
                <c:pt idx="1053">
                  <c:v>7909</c:v>
                </c:pt>
                <c:pt idx="1054">
                  <c:v>7924</c:v>
                </c:pt>
                <c:pt idx="1055">
                  <c:v>7941</c:v>
                </c:pt>
                <c:pt idx="1056">
                  <c:v>7955</c:v>
                </c:pt>
                <c:pt idx="1057">
                  <c:v>7972</c:v>
                </c:pt>
                <c:pt idx="1058">
                  <c:v>7987</c:v>
                </c:pt>
                <c:pt idx="1059">
                  <c:v>8002</c:v>
                </c:pt>
                <c:pt idx="1060">
                  <c:v>8018</c:v>
                </c:pt>
                <c:pt idx="1061">
                  <c:v>8033</c:v>
                </c:pt>
                <c:pt idx="1062">
                  <c:v>8033</c:v>
                </c:pt>
                <c:pt idx="1063">
                  <c:v>#N/A</c:v>
                </c:pt>
                <c:pt idx="1064">
                  <c:v>8053</c:v>
                </c:pt>
                <c:pt idx="1065">
                  <c:v>8053</c:v>
                </c:pt>
                <c:pt idx="1066">
                  <c:v>8075</c:v>
                </c:pt>
                <c:pt idx="1067">
                  <c:v>8089</c:v>
                </c:pt>
                <c:pt idx="1068">
                  <c:v>8089</c:v>
                </c:pt>
                <c:pt idx="1069">
                  <c:v>8102</c:v>
                </c:pt>
                <c:pt idx="1070">
                  <c:v>8102</c:v>
                </c:pt>
                <c:pt idx="1071">
                  <c:v>8102</c:v>
                </c:pt>
                <c:pt idx="1072">
                  <c:v>8125</c:v>
                </c:pt>
                <c:pt idx="1073">
                  <c:v>8127</c:v>
                </c:pt>
                <c:pt idx="1074">
                  <c:v>8127</c:v>
                </c:pt>
                <c:pt idx="1075">
                  <c:v>8137</c:v>
                </c:pt>
                <c:pt idx="1076">
                  <c:v>8137</c:v>
                </c:pt>
                <c:pt idx="1077">
                  <c:v>8155</c:v>
                </c:pt>
                <c:pt idx="1078">
                  <c:v>8163</c:v>
                </c:pt>
                <c:pt idx="1079">
                  <c:v>8170</c:v>
                </c:pt>
                <c:pt idx="1080">
                  <c:v>8170</c:v>
                </c:pt>
                <c:pt idx="1081">
                  <c:v>#N/A</c:v>
                </c:pt>
                <c:pt idx="1082">
                  <c:v>8182</c:v>
                </c:pt>
                <c:pt idx="1083">
                  <c:v>8187</c:v>
                </c:pt>
                <c:pt idx="1084">
                  <c:v>8191</c:v>
                </c:pt>
                <c:pt idx="1085">
                  <c:v>8193</c:v>
                </c:pt>
                <c:pt idx="1086">
                  <c:v>8196</c:v>
                </c:pt>
                <c:pt idx="1087">
                  <c:v>8198</c:v>
                </c:pt>
                <c:pt idx="1088">
                  <c:v>8199</c:v>
                </c:pt>
                <c:pt idx="1089">
                  <c:v>8200</c:v>
                </c:pt>
                <c:pt idx="1090">
                  <c:v>#N/A</c:v>
                </c:pt>
                <c:pt idx="1091">
                  <c:v>#N/A</c:v>
                </c:pt>
                <c:pt idx="1092">
                  <c:v>#N/A</c:v>
                </c:pt>
                <c:pt idx="1093">
                  <c:v>#N/A</c:v>
                </c:pt>
                <c:pt idx="1094">
                  <c:v>#N/A</c:v>
                </c:pt>
                <c:pt idx="1095">
                  <c:v>8202</c:v>
                </c:pt>
                <c:pt idx="1096">
                  <c:v>8205</c:v>
                </c:pt>
                <c:pt idx="1097">
                  <c:v>8209</c:v>
                </c:pt>
                <c:pt idx="1098">
                  <c:v>8215</c:v>
                </c:pt>
                <c:pt idx="1099">
                  <c:v>8216</c:v>
                </c:pt>
                <c:pt idx="1100">
                  <c:v>8216</c:v>
                </c:pt>
                <c:pt idx="1101">
                  <c:v>8224</c:v>
                </c:pt>
                <c:pt idx="1102">
                  <c:v>8224</c:v>
                </c:pt>
                <c:pt idx="1103">
                  <c:v>8240</c:v>
                </c:pt>
                <c:pt idx="1104">
                  <c:v>8250</c:v>
                </c:pt>
                <c:pt idx="1105">
                  <c:v>8264</c:v>
                </c:pt>
                <c:pt idx="1106">
                  <c:v>8275</c:v>
                </c:pt>
                <c:pt idx="1107">
                  <c:v>8290</c:v>
                </c:pt>
                <c:pt idx="1108">
                  <c:v>8304</c:v>
                </c:pt>
                <c:pt idx="1109">
                  <c:v>8320</c:v>
                </c:pt>
                <c:pt idx="1110">
                  <c:v>8336</c:v>
                </c:pt>
                <c:pt idx="1111">
                  <c:v>8336</c:v>
                </c:pt>
                <c:pt idx="1112">
                  <c:v>8353</c:v>
                </c:pt>
                <c:pt idx="1113">
                  <c:v>8371</c:v>
                </c:pt>
                <c:pt idx="1114">
                  <c:v>8389</c:v>
                </c:pt>
                <c:pt idx="1115">
                  <c:v>8405</c:v>
                </c:pt>
                <c:pt idx="1116">
                  <c:v>8405</c:v>
                </c:pt>
                <c:pt idx="1117">
                  <c:v>8424</c:v>
                </c:pt>
                <c:pt idx="1118">
                  <c:v>8425</c:v>
                </c:pt>
                <c:pt idx="1119">
                  <c:v>8425</c:v>
                </c:pt>
                <c:pt idx="1120">
                  <c:v>8462</c:v>
                </c:pt>
                <c:pt idx="1121">
                  <c:v>8481</c:v>
                </c:pt>
                <c:pt idx="1122">
                  <c:v>8498</c:v>
                </c:pt>
                <c:pt idx="1123">
                  <c:v>8498</c:v>
                </c:pt>
                <c:pt idx="1124">
                  <c:v>8517</c:v>
                </c:pt>
                <c:pt idx="1125">
                  <c:v>8539</c:v>
                </c:pt>
                <c:pt idx="1126">
                  <c:v>8539</c:v>
                </c:pt>
                <c:pt idx="1127">
                  <c:v>8555</c:v>
                </c:pt>
                <c:pt idx="1128">
                  <c:v>8556</c:v>
                </c:pt>
                <c:pt idx="1129">
                  <c:v>8556</c:v>
                </c:pt>
                <c:pt idx="1130">
                  <c:v>8575</c:v>
                </c:pt>
                <c:pt idx="1131">
                  <c:v>8575</c:v>
                </c:pt>
                <c:pt idx="1132">
                  <c:v>8575</c:v>
                </c:pt>
                <c:pt idx="1133">
                  <c:v>8630</c:v>
                </c:pt>
                <c:pt idx="1134">
                  <c:v>8648</c:v>
                </c:pt>
                <c:pt idx="1135">
                  <c:v>8668</c:v>
                </c:pt>
                <c:pt idx="1136">
                  <c:v>8668</c:v>
                </c:pt>
                <c:pt idx="1137">
                  <c:v>8704</c:v>
                </c:pt>
                <c:pt idx="1138">
                  <c:v>8722</c:v>
                </c:pt>
                <c:pt idx="1139">
                  <c:v>8741</c:v>
                </c:pt>
                <c:pt idx="1140">
                  <c:v>8760</c:v>
                </c:pt>
                <c:pt idx="1141">
                  <c:v>8778</c:v>
                </c:pt>
                <c:pt idx="1142">
                  <c:v>8794</c:v>
                </c:pt>
                <c:pt idx="1143">
                  <c:v>8799</c:v>
                </c:pt>
                <c:pt idx="1144">
                  <c:v>8799</c:v>
                </c:pt>
                <c:pt idx="1145">
                  <c:v>8829</c:v>
                </c:pt>
                <c:pt idx="1146">
                  <c:v>8831</c:v>
                </c:pt>
                <c:pt idx="1147">
                  <c:v>8831</c:v>
                </c:pt>
                <c:pt idx="1148">
                  <c:v>8864</c:v>
                </c:pt>
                <c:pt idx="1149">
                  <c:v>8879</c:v>
                </c:pt>
                <c:pt idx="1150">
                  <c:v>8887</c:v>
                </c:pt>
                <c:pt idx="1151">
                  <c:v>8887</c:v>
                </c:pt>
                <c:pt idx="1152">
                  <c:v>8887</c:v>
                </c:pt>
                <c:pt idx="1153">
                  <c:v>8911</c:v>
                </c:pt>
                <c:pt idx="1154">
                  <c:v>8912</c:v>
                </c:pt>
                <c:pt idx="1155">
                  <c:v>8912</c:v>
                </c:pt>
                <c:pt idx="1156">
                  <c:v>8931</c:v>
                </c:pt>
                <c:pt idx="1157">
                  <c:v>8931</c:v>
                </c:pt>
                <c:pt idx="1158">
                  <c:v>8957</c:v>
                </c:pt>
                <c:pt idx="1159">
                  <c:v>8957</c:v>
                </c:pt>
                <c:pt idx="1160">
                  <c:v>8970</c:v>
                </c:pt>
                <c:pt idx="1161">
                  <c:v>8984</c:v>
                </c:pt>
                <c:pt idx="1162">
                  <c:v>8997</c:v>
                </c:pt>
                <c:pt idx="1163">
                  <c:v>9008</c:v>
                </c:pt>
                <c:pt idx="1164">
                  <c:v>9020</c:v>
                </c:pt>
                <c:pt idx="1165">
                  <c:v>9031</c:v>
                </c:pt>
                <c:pt idx="1166">
                  <c:v>9042</c:v>
                </c:pt>
                <c:pt idx="1167">
                  <c:v>9052</c:v>
                </c:pt>
                <c:pt idx="1168">
                  <c:v>9062</c:v>
                </c:pt>
                <c:pt idx="1169">
                  <c:v>9073</c:v>
                </c:pt>
                <c:pt idx="1170">
                  <c:v>9083</c:v>
                </c:pt>
                <c:pt idx="1171">
                  <c:v>9093</c:v>
                </c:pt>
                <c:pt idx="1172">
                  <c:v>9102</c:v>
                </c:pt>
                <c:pt idx="1173">
                  <c:v>9111</c:v>
                </c:pt>
                <c:pt idx="1174">
                  <c:v>9112</c:v>
                </c:pt>
                <c:pt idx="1175">
                  <c:v>9112</c:v>
                </c:pt>
                <c:pt idx="1176">
                  <c:v>9128</c:v>
                </c:pt>
                <c:pt idx="1177">
                  <c:v>9137</c:v>
                </c:pt>
                <c:pt idx="1178">
                  <c:v>9144</c:v>
                </c:pt>
                <c:pt idx="1179">
                  <c:v>9148</c:v>
                </c:pt>
                <c:pt idx="1180">
                  <c:v>9148</c:v>
                </c:pt>
                <c:pt idx="1181">
                  <c:v>9148</c:v>
                </c:pt>
                <c:pt idx="1182">
                  <c:v>9158</c:v>
                </c:pt>
                <c:pt idx="1183">
                  <c:v>9163</c:v>
                </c:pt>
                <c:pt idx="1184">
                  <c:v>9163</c:v>
                </c:pt>
                <c:pt idx="1185">
                  <c:v>9168</c:v>
                </c:pt>
                <c:pt idx="1186">
                  <c:v>9172</c:v>
                </c:pt>
                <c:pt idx="1187">
                  <c:v>9173</c:v>
                </c:pt>
                <c:pt idx="1188">
                  <c:v>9173</c:v>
                </c:pt>
                <c:pt idx="1189">
                  <c:v>#N/A</c:v>
                </c:pt>
                <c:pt idx="1190">
                  <c:v>9179</c:v>
                </c:pt>
                <c:pt idx="1191">
                  <c:v>9179</c:v>
                </c:pt>
                <c:pt idx="1192">
                  <c:v>#N/A</c:v>
                </c:pt>
                <c:pt idx="1193">
                  <c:v>9181</c:v>
                </c:pt>
                <c:pt idx="1194">
                  <c:v>#N/A</c:v>
                </c:pt>
                <c:pt idx="1195">
                  <c:v>#N/A</c:v>
                </c:pt>
                <c:pt idx="1196">
                  <c:v>#N/A</c:v>
                </c:pt>
                <c:pt idx="1197">
                  <c:v>#N/A</c:v>
                </c:pt>
                <c:pt idx="1198">
                  <c:v>9183</c:v>
                </c:pt>
                <c:pt idx="1199">
                  <c:v>9187</c:v>
                </c:pt>
                <c:pt idx="1200">
                  <c:v>9192</c:v>
                </c:pt>
                <c:pt idx="1201">
                  <c:v>9198</c:v>
                </c:pt>
                <c:pt idx="1202">
                  <c:v>9200</c:v>
                </c:pt>
                <c:pt idx="1203">
                  <c:v>9200</c:v>
                </c:pt>
                <c:pt idx="1204">
                  <c:v>9213</c:v>
                </c:pt>
                <c:pt idx="1205">
                  <c:v>9221</c:v>
                </c:pt>
                <c:pt idx="1206">
                  <c:v>9228</c:v>
                </c:pt>
                <c:pt idx="1207">
                  <c:v>9228</c:v>
                </c:pt>
                <c:pt idx="1208">
                  <c:v>9243</c:v>
                </c:pt>
                <c:pt idx="1209">
                  <c:v>9249</c:v>
                </c:pt>
                <c:pt idx="1210">
                  <c:v>9250</c:v>
                </c:pt>
                <c:pt idx="1211">
                  <c:v>9250</c:v>
                </c:pt>
                <c:pt idx="1212">
                  <c:v>9264</c:v>
                </c:pt>
                <c:pt idx="1213">
                  <c:v>9264</c:v>
                </c:pt>
                <c:pt idx="1214">
                  <c:v>9272</c:v>
                </c:pt>
                <c:pt idx="1215">
                  <c:v>9279</c:v>
                </c:pt>
                <c:pt idx="1216">
                  <c:v>9287</c:v>
                </c:pt>
                <c:pt idx="1217">
                  <c:v>9287</c:v>
                </c:pt>
                <c:pt idx="1218">
                  <c:v>9297</c:v>
                </c:pt>
                <c:pt idx="1219">
                  <c:v>9306</c:v>
                </c:pt>
                <c:pt idx="1220">
                  <c:v>9306</c:v>
                </c:pt>
                <c:pt idx="1221">
                  <c:v>#N/A</c:v>
                </c:pt>
                <c:pt idx="1222">
                  <c:v>9329</c:v>
                </c:pt>
                <c:pt idx="1223">
                  <c:v>9341</c:v>
                </c:pt>
                <c:pt idx="1224">
                  <c:v>9343</c:v>
                </c:pt>
                <c:pt idx="1225">
                  <c:v>9343</c:v>
                </c:pt>
                <c:pt idx="1226">
                  <c:v>9370</c:v>
                </c:pt>
                <c:pt idx="1227">
                  <c:v>9384</c:v>
                </c:pt>
                <c:pt idx="1228">
                  <c:v>9400</c:v>
                </c:pt>
                <c:pt idx="1229">
                  <c:v>9414</c:v>
                </c:pt>
                <c:pt idx="1230">
                  <c:v>9430</c:v>
                </c:pt>
                <c:pt idx="1231">
                  <c:v>9447</c:v>
                </c:pt>
                <c:pt idx="1232">
                  <c:v>9463</c:v>
                </c:pt>
                <c:pt idx="1233">
                  <c:v>9480</c:v>
                </c:pt>
                <c:pt idx="1234">
                  <c:v>9495</c:v>
                </c:pt>
                <c:pt idx="1235">
                  <c:v>9511</c:v>
                </c:pt>
                <c:pt idx="1236">
                  <c:v>9511</c:v>
                </c:pt>
                <c:pt idx="1237">
                  <c:v>9529</c:v>
                </c:pt>
                <c:pt idx="1238">
                  <c:v>9545</c:v>
                </c:pt>
                <c:pt idx="1239">
                  <c:v>9561</c:v>
                </c:pt>
                <c:pt idx="1240">
                  <c:v>9577</c:v>
                </c:pt>
                <c:pt idx="1241">
                  <c:v>9577</c:v>
                </c:pt>
                <c:pt idx="1242">
                  <c:v>9594</c:v>
                </c:pt>
                <c:pt idx="1243">
                  <c:v>9595</c:v>
                </c:pt>
                <c:pt idx="1244">
                  <c:v>9595</c:v>
                </c:pt>
                <c:pt idx="1245">
                  <c:v>9627</c:v>
                </c:pt>
                <c:pt idx="1246">
                  <c:v>9638</c:v>
                </c:pt>
                <c:pt idx="1247">
                  <c:v>9638</c:v>
                </c:pt>
                <c:pt idx="1248">
                  <c:v>9649</c:v>
                </c:pt>
                <c:pt idx="1249">
                  <c:v>9649</c:v>
                </c:pt>
                <c:pt idx="1250">
                  <c:v>9676</c:v>
                </c:pt>
                <c:pt idx="1251">
                  <c:v>9693</c:v>
                </c:pt>
                <c:pt idx="1252">
                  <c:v>9694</c:v>
                </c:pt>
                <c:pt idx="1253">
                  <c:v>9694</c:v>
                </c:pt>
                <c:pt idx="1254">
                  <c:v>9694</c:v>
                </c:pt>
                <c:pt idx="1255">
                  <c:v>9739</c:v>
                </c:pt>
                <c:pt idx="1256">
                  <c:v>9752</c:v>
                </c:pt>
                <c:pt idx="1257">
                  <c:v>9767</c:v>
                </c:pt>
                <c:pt idx="1258">
                  <c:v>9781</c:v>
                </c:pt>
                <c:pt idx="1259">
                  <c:v>9794</c:v>
                </c:pt>
                <c:pt idx="1260">
                  <c:v>9807</c:v>
                </c:pt>
                <c:pt idx="1261">
                  <c:v>9820</c:v>
                </c:pt>
                <c:pt idx="1262">
                  <c:v>9832</c:v>
                </c:pt>
                <c:pt idx="1263">
                  <c:v>9844</c:v>
                </c:pt>
                <c:pt idx="1264">
                  <c:v>9850</c:v>
                </c:pt>
                <c:pt idx="1265">
                  <c:v>9850</c:v>
                </c:pt>
                <c:pt idx="1266">
                  <c:v>9850</c:v>
                </c:pt>
                <c:pt idx="1267">
                  <c:v>9867</c:v>
                </c:pt>
                <c:pt idx="1268">
                  <c:v>9878</c:v>
                </c:pt>
                <c:pt idx="1269">
                  <c:v>9882</c:v>
                </c:pt>
                <c:pt idx="1270">
                  <c:v>9882</c:v>
                </c:pt>
                <c:pt idx="1271">
                  <c:v>9899</c:v>
                </c:pt>
                <c:pt idx="1272">
                  <c:v>9910</c:v>
                </c:pt>
                <c:pt idx="1273">
                  <c:v>9918</c:v>
                </c:pt>
                <c:pt idx="1274">
                  <c:v>9927</c:v>
                </c:pt>
                <c:pt idx="1275">
                  <c:v>9935</c:v>
                </c:pt>
                <c:pt idx="1276">
                  <c:v>9943</c:v>
                </c:pt>
                <c:pt idx="1277">
                  <c:v>9949</c:v>
                </c:pt>
                <c:pt idx="1278">
                  <c:v>9955</c:v>
                </c:pt>
                <c:pt idx="1279">
                  <c:v>9959</c:v>
                </c:pt>
                <c:pt idx="1280">
                  <c:v>9962</c:v>
                </c:pt>
                <c:pt idx="1281">
                  <c:v>9964</c:v>
                </c:pt>
                <c:pt idx="1282">
                  <c:v>9965</c:v>
                </c:pt>
                <c:pt idx="1283">
                  <c:v>9966</c:v>
                </c:pt>
                <c:pt idx="1284">
                  <c:v>#N/A</c:v>
                </c:pt>
                <c:pt idx="1285">
                  <c:v>#N/A</c:v>
                </c:pt>
                <c:pt idx="1286">
                  <c:v>#N/A</c:v>
                </c:pt>
                <c:pt idx="1287">
                  <c:v>9967</c:v>
                </c:pt>
                <c:pt idx="1288">
                  <c:v>#N/A</c:v>
                </c:pt>
                <c:pt idx="1289">
                  <c:v>9974</c:v>
                </c:pt>
                <c:pt idx="1290">
                  <c:v>9977</c:v>
                </c:pt>
                <c:pt idx="1291">
                  <c:v>9977</c:v>
                </c:pt>
                <c:pt idx="1292">
                  <c:v>9985</c:v>
                </c:pt>
                <c:pt idx="1293">
                  <c:v>9985</c:v>
                </c:pt>
                <c:pt idx="1294">
                  <c:v>#N/A</c:v>
                </c:pt>
                <c:pt idx="1295">
                  <c:v>10000</c:v>
                </c:pt>
                <c:pt idx="1296">
                  <c:v>10000</c:v>
                </c:pt>
                <c:pt idx="1297">
                  <c:v>10010</c:v>
                </c:pt>
                <c:pt idx="1298">
                  <c:v>10021</c:v>
                </c:pt>
                <c:pt idx="1299">
                  <c:v>10032</c:v>
                </c:pt>
                <c:pt idx="1300">
                  <c:v>10046</c:v>
                </c:pt>
                <c:pt idx="1301">
                  <c:v>10058</c:v>
                </c:pt>
                <c:pt idx="1302">
                  <c:v>10072</c:v>
                </c:pt>
                <c:pt idx="1303">
                  <c:v>10087</c:v>
                </c:pt>
                <c:pt idx="1304">
                  <c:v>10087</c:v>
                </c:pt>
                <c:pt idx="1305">
                  <c:v>10117</c:v>
                </c:pt>
                <c:pt idx="1306">
                  <c:v>10119</c:v>
                </c:pt>
                <c:pt idx="1307">
                  <c:v>10119</c:v>
                </c:pt>
                <c:pt idx="1308">
                  <c:v>10149</c:v>
                </c:pt>
                <c:pt idx="1309">
                  <c:v>10165</c:v>
                </c:pt>
                <c:pt idx="1310">
                  <c:v>10181</c:v>
                </c:pt>
                <c:pt idx="1311">
                  <c:v>10200</c:v>
                </c:pt>
                <c:pt idx="1312">
                  <c:v>10216</c:v>
                </c:pt>
                <c:pt idx="1313">
                  <c:v>10235</c:v>
                </c:pt>
                <c:pt idx="1314">
                  <c:v>10252</c:v>
                </c:pt>
                <c:pt idx="1315">
                  <c:v>10270</c:v>
                </c:pt>
                <c:pt idx="1316">
                  <c:v>10273</c:v>
                </c:pt>
                <c:pt idx="1317">
                  <c:v>10273</c:v>
                </c:pt>
                <c:pt idx="1318">
                  <c:v>10307</c:v>
                </c:pt>
                <c:pt idx="1319">
                  <c:v>10308</c:v>
                </c:pt>
                <c:pt idx="1320">
                  <c:v>10308</c:v>
                </c:pt>
                <c:pt idx="1321">
                  <c:v>10344</c:v>
                </c:pt>
                <c:pt idx="1322">
                  <c:v>10363</c:v>
                </c:pt>
                <c:pt idx="1323">
                  <c:v>10379</c:v>
                </c:pt>
                <c:pt idx="1324">
                  <c:v>10398</c:v>
                </c:pt>
                <c:pt idx="1325">
                  <c:v>10416</c:v>
                </c:pt>
                <c:pt idx="1326">
                  <c:v>10433</c:v>
                </c:pt>
                <c:pt idx="1327">
                  <c:v>10436</c:v>
                </c:pt>
                <c:pt idx="1328">
                  <c:v>10436</c:v>
                </c:pt>
                <c:pt idx="1329">
                  <c:v>10464</c:v>
                </c:pt>
                <c:pt idx="1330">
                  <c:v>10473</c:v>
                </c:pt>
                <c:pt idx="1331">
                  <c:v>10473</c:v>
                </c:pt>
                <c:pt idx="1332">
                  <c:v>10473</c:v>
                </c:pt>
                <c:pt idx="1333">
                  <c:v>10499</c:v>
                </c:pt>
                <c:pt idx="1334">
                  <c:v>10515</c:v>
                </c:pt>
                <c:pt idx="1335">
                  <c:v>10529</c:v>
                </c:pt>
                <c:pt idx="1336">
                  <c:v>10530</c:v>
                </c:pt>
                <c:pt idx="1337">
                  <c:v>10530</c:v>
                </c:pt>
                <c:pt idx="1338">
                  <c:v>10556</c:v>
                </c:pt>
                <c:pt idx="1339">
                  <c:v>10568</c:v>
                </c:pt>
                <c:pt idx="1340">
                  <c:v>10568</c:v>
                </c:pt>
                <c:pt idx="1341">
                  <c:v>10583</c:v>
                </c:pt>
                <c:pt idx="1342">
                  <c:v>10595</c:v>
                </c:pt>
                <c:pt idx="1343">
                  <c:v>10609</c:v>
                </c:pt>
                <c:pt idx="1344">
                  <c:v>10621</c:v>
                </c:pt>
                <c:pt idx="1345">
                  <c:v>10621</c:v>
                </c:pt>
                <c:pt idx="1346">
                  <c:v>10648</c:v>
                </c:pt>
                <c:pt idx="1347">
                  <c:v>10661</c:v>
                </c:pt>
                <c:pt idx="1348">
                  <c:v>10674</c:v>
                </c:pt>
                <c:pt idx="1349">
                  <c:v>10688</c:v>
                </c:pt>
                <c:pt idx="1350">
                  <c:v>10702</c:v>
                </c:pt>
                <c:pt idx="1351">
                  <c:v>10702</c:v>
                </c:pt>
                <c:pt idx="1352">
                  <c:v>10716</c:v>
                </c:pt>
                <c:pt idx="1353">
                  <c:v>10732</c:v>
                </c:pt>
                <c:pt idx="1354">
                  <c:v>10747</c:v>
                </c:pt>
                <c:pt idx="1355">
                  <c:v>10764</c:v>
                </c:pt>
                <c:pt idx="1356">
                  <c:v>10765</c:v>
                </c:pt>
                <c:pt idx="1357">
                  <c:v>10765</c:v>
                </c:pt>
                <c:pt idx="1358">
                  <c:v>10765</c:v>
                </c:pt>
                <c:pt idx="1359">
                  <c:v>10765</c:v>
                </c:pt>
                <c:pt idx="1360">
                  <c:v>10810</c:v>
                </c:pt>
                <c:pt idx="1361">
                  <c:v>10810</c:v>
                </c:pt>
                <c:pt idx="1362">
                  <c:v>10810</c:v>
                </c:pt>
                <c:pt idx="1363">
                  <c:v>10838</c:v>
                </c:pt>
                <c:pt idx="1364">
                  <c:v>10855</c:v>
                </c:pt>
                <c:pt idx="1365">
                  <c:v>10872</c:v>
                </c:pt>
                <c:pt idx="1366">
                  <c:v>10890</c:v>
                </c:pt>
                <c:pt idx="1367">
                  <c:v>10890</c:v>
                </c:pt>
                <c:pt idx="1368">
                  <c:v>10918</c:v>
                </c:pt>
                <c:pt idx="1369">
                  <c:v>10925</c:v>
                </c:pt>
                <c:pt idx="1370">
                  <c:v>10925</c:v>
                </c:pt>
                <c:pt idx="1371">
                  <c:v>10925</c:v>
                </c:pt>
                <c:pt idx="1372">
                  <c:v>10974</c:v>
                </c:pt>
                <c:pt idx="1373">
                  <c:v>10987</c:v>
                </c:pt>
                <c:pt idx="1374">
                  <c:v>11001</c:v>
                </c:pt>
                <c:pt idx="1375">
                  <c:v>11013</c:v>
                </c:pt>
                <c:pt idx="1376">
                  <c:v>11013</c:v>
                </c:pt>
                <c:pt idx="1377">
                  <c:v>11027</c:v>
                </c:pt>
                <c:pt idx="1378">
                  <c:v>11039</c:v>
                </c:pt>
                <c:pt idx="1379">
                  <c:v>11050</c:v>
                </c:pt>
                <c:pt idx="1380">
                  <c:v>11050</c:v>
                </c:pt>
                <c:pt idx="1381">
                  <c:v>11074</c:v>
                </c:pt>
                <c:pt idx="1382">
                  <c:v>11074</c:v>
                </c:pt>
                <c:pt idx="1383">
                  <c:v>#N/A</c:v>
                </c:pt>
                <c:pt idx="1384">
                  <c:v>11094</c:v>
                </c:pt>
                <c:pt idx="1385">
                  <c:v>11094</c:v>
                </c:pt>
                <c:pt idx="1386">
                  <c:v>11104</c:v>
                </c:pt>
                <c:pt idx="1387">
                  <c:v>11105</c:v>
                </c:pt>
                <c:pt idx="1388">
                  <c:v>11105</c:v>
                </c:pt>
                <c:pt idx="1389">
                  <c:v>11122</c:v>
                </c:pt>
                <c:pt idx="1390">
                  <c:v>11131</c:v>
                </c:pt>
                <c:pt idx="1391">
                  <c:v>11137</c:v>
                </c:pt>
                <c:pt idx="1392">
                  <c:v>11138</c:v>
                </c:pt>
                <c:pt idx="1393">
                  <c:v>11138</c:v>
                </c:pt>
                <c:pt idx="1394">
                  <c:v>11150</c:v>
                </c:pt>
                <c:pt idx="1395">
                  <c:v>11150</c:v>
                </c:pt>
                <c:pt idx="1396">
                  <c:v>11155</c:v>
                </c:pt>
                <c:pt idx="1397">
                  <c:v>11160</c:v>
                </c:pt>
                <c:pt idx="1398">
                  <c:v>11162</c:v>
                </c:pt>
                <c:pt idx="1399">
                  <c:v>11162</c:v>
                </c:pt>
                <c:pt idx="1400">
                  <c:v>11169</c:v>
                </c:pt>
                <c:pt idx="1401">
                  <c:v>11172</c:v>
                </c:pt>
                <c:pt idx="1402">
                  <c:v>11172</c:v>
                </c:pt>
                <c:pt idx="1403">
                  <c:v>11174</c:v>
                </c:pt>
                <c:pt idx="1404">
                  <c:v>11175</c:v>
                </c:pt>
                <c:pt idx="1405">
                  <c:v>11176</c:v>
                </c:pt>
                <c:pt idx="1406">
                  <c:v>11176</c:v>
                </c:pt>
                <c:pt idx="1407">
                  <c:v>11177</c:v>
                </c:pt>
                <c:pt idx="1408">
                  <c:v>11177</c:v>
                </c:pt>
                <c:pt idx="1409">
                  <c:v>#N/A</c:v>
                </c:pt>
                <c:pt idx="1410">
                  <c:v>#N/A</c:v>
                </c:pt>
                <c:pt idx="1411">
                  <c:v>#N/A</c:v>
                </c:pt>
                <c:pt idx="1412">
                  <c:v>#N/A</c:v>
                </c:pt>
                <c:pt idx="1413">
                  <c:v>11180</c:v>
                </c:pt>
                <c:pt idx="1414">
                  <c:v>11180</c:v>
                </c:pt>
                <c:pt idx="1415">
                  <c:v>11184</c:v>
                </c:pt>
                <c:pt idx="1416">
                  <c:v>11188</c:v>
                </c:pt>
                <c:pt idx="1417">
                  <c:v>11195</c:v>
                </c:pt>
                <c:pt idx="1418">
                  <c:v>11199</c:v>
                </c:pt>
                <c:pt idx="1419">
                  <c:v>11199</c:v>
                </c:pt>
                <c:pt idx="1420">
                  <c:v>11199</c:v>
                </c:pt>
                <c:pt idx="1421">
                  <c:v>11221</c:v>
                </c:pt>
                <c:pt idx="1422">
                  <c:v>11221</c:v>
                </c:pt>
                <c:pt idx="1423">
                  <c:v>11222</c:v>
                </c:pt>
                <c:pt idx="1424">
                  <c:v>11222</c:v>
                </c:pt>
                <c:pt idx="1425">
                  <c:v>11242</c:v>
                </c:pt>
                <c:pt idx="1426">
                  <c:v>11242</c:v>
                </c:pt>
                <c:pt idx="1427">
                  <c:v>11257</c:v>
                </c:pt>
                <c:pt idx="1428">
                  <c:v>11270</c:v>
                </c:pt>
                <c:pt idx="1429">
                  <c:v>11283</c:v>
                </c:pt>
                <c:pt idx="1430">
                  <c:v>11298</c:v>
                </c:pt>
                <c:pt idx="1431">
                  <c:v>11311</c:v>
                </c:pt>
                <c:pt idx="1432">
                  <c:v>11311</c:v>
                </c:pt>
                <c:pt idx="1433">
                  <c:v>11312</c:v>
                </c:pt>
                <c:pt idx="1434">
                  <c:v>11312</c:v>
                </c:pt>
                <c:pt idx="1435">
                  <c:v>11340</c:v>
                </c:pt>
                <c:pt idx="1436">
                  <c:v>11355</c:v>
                </c:pt>
                <c:pt idx="1437">
                  <c:v>11370</c:v>
                </c:pt>
                <c:pt idx="1438">
                  <c:v>11385</c:v>
                </c:pt>
                <c:pt idx="1439">
                  <c:v>11389</c:v>
                </c:pt>
                <c:pt idx="1440">
                  <c:v>11389</c:v>
                </c:pt>
                <c:pt idx="1441">
                  <c:v>11389</c:v>
                </c:pt>
                <c:pt idx="1442">
                  <c:v>11412</c:v>
                </c:pt>
                <c:pt idx="1443">
                  <c:v>11426</c:v>
                </c:pt>
                <c:pt idx="1444">
                  <c:v>11431</c:v>
                </c:pt>
                <c:pt idx="1445">
                  <c:v>11431</c:v>
                </c:pt>
                <c:pt idx="1446">
                  <c:v>11431</c:v>
                </c:pt>
                <c:pt idx="1447">
                  <c:v>11463</c:v>
                </c:pt>
                <c:pt idx="1448">
                  <c:v>11463</c:v>
                </c:pt>
                <c:pt idx="1449">
                  <c:v>11494</c:v>
                </c:pt>
                <c:pt idx="1450">
                  <c:v>11494</c:v>
                </c:pt>
                <c:pt idx="1451">
                  <c:v>11499</c:v>
                </c:pt>
                <c:pt idx="1452">
                  <c:v>11499</c:v>
                </c:pt>
                <c:pt idx="1453">
                  <c:v>11518</c:v>
                </c:pt>
                <c:pt idx="1454">
                  <c:v>11529</c:v>
                </c:pt>
                <c:pt idx="1455">
                  <c:v>11538</c:v>
                </c:pt>
                <c:pt idx="1456">
                  <c:v>11546</c:v>
                </c:pt>
                <c:pt idx="1457">
                  <c:v>11554</c:v>
                </c:pt>
                <c:pt idx="1458">
                  <c:v>11561</c:v>
                </c:pt>
                <c:pt idx="1459">
                  <c:v>11561</c:v>
                </c:pt>
                <c:pt idx="1460">
                  <c:v>11573</c:v>
                </c:pt>
                <c:pt idx="1461">
                  <c:v>#N/A</c:v>
                </c:pt>
                <c:pt idx="1462">
                  <c:v>#N/A</c:v>
                </c:pt>
                <c:pt idx="1463">
                  <c:v>11584</c:v>
                </c:pt>
                <c:pt idx="1464">
                  <c:v>11590</c:v>
                </c:pt>
                <c:pt idx="1465">
                  <c:v>11595</c:v>
                </c:pt>
                <c:pt idx="1466">
                  <c:v>11601</c:v>
                </c:pt>
                <c:pt idx="1467">
                  <c:v>11601</c:v>
                </c:pt>
                <c:pt idx="1468">
                  <c:v>#N/A</c:v>
                </c:pt>
                <c:pt idx="1469">
                  <c:v>11613</c:v>
                </c:pt>
                <c:pt idx="1470">
                  <c:v>11613</c:v>
                </c:pt>
                <c:pt idx="1471">
                  <c:v>11618</c:v>
                </c:pt>
                <c:pt idx="1472">
                  <c:v>11624</c:v>
                </c:pt>
                <c:pt idx="1473">
                  <c:v>11630</c:v>
                </c:pt>
                <c:pt idx="1474">
                  <c:v>11636</c:v>
                </c:pt>
                <c:pt idx="1475">
                  <c:v>11641</c:v>
                </c:pt>
                <c:pt idx="1476">
                  <c:v>11646</c:v>
                </c:pt>
                <c:pt idx="1477">
                  <c:v>11652</c:v>
                </c:pt>
                <c:pt idx="1478">
                  <c:v>11657</c:v>
                </c:pt>
                <c:pt idx="1479">
                  <c:v>11657</c:v>
                </c:pt>
                <c:pt idx="1480">
                  <c:v>#N/A</c:v>
                </c:pt>
                <c:pt idx="1481">
                  <c:v>11667</c:v>
                </c:pt>
                <c:pt idx="1482">
                  <c:v>11672</c:v>
                </c:pt>
                <c:pt idx="1483">
                  <c:v>11678</c:v>
                </c:pt>
                <c:pt idx="1484">
                  <c:v>11682</c:v>
                </c:pt>
                <c:pt idx="1485">
                  <c:v>11688</c:v>
                </c:pt>
                <c:pt idx="1486">
                  <c:v>11693</c:v>
                </c:pt>
                <c:pt idx="1487">
                  <c:v>11693</c:v>
                </c:pt>
                <c:pt idx="1488">
                  <c:v>11698</c:v>
                </c:pt>
                <c:pt idx="1489">
                  <c:v>11703</c:v>
                </c:pt>
                <c:pt idx="1490">
                  <c:v>11705</c:v>
                </c:pt>
                <c:pt idx="1491">
                  <c:v>11705</c:v>
                </c:pt>
                <c:pt idx="1492">
                  <c:v>11708</c:v>
                </c:pt>
                <c:pt idx="1493">
                  <c:v>11708</c:v>
                </c:pt>
                <c:pt idx="1494">
                  <c:v>11716</c:v>
                </c:pt>
                <c:pt idx="1495">
                  <c:v>11720</c:v>
                </c:pt>
                <c:pt idx="1496">
                  <c:v>11720</c:v>
                </c:pt>
                <c:pt idx="1497">
                  <c:v>11726</c:v>
                </c:pt>
                <c:pt idx="1498">
                  <c:v>11731</c:v>
                </c:pt>
                <c:pt idx="1499">
                  <c:v>11731</c:v>
                </c:pt>
                <c:pt idx="1500">
                  <c:v>11742</c:v>
                </c:pt>
                <c:pt idx="1501">
                  <c:v>11747</c:v>
                </c:pt>
                <c:pt idx="1502">
                  <c:v>11747</c:v>
                </c:pt>
                <c:pt idx="1503">
                  <c:v>11750</c:v>
                </c:pt>
                <c:pt idx="1504">
                  <c:v>11750</c:v>
                </c:pt>
                <c:pt idx="1505">
                  <c:v>11758</c:v>
                </c:pt>
                <c:pt idx="1506">
                  <c:v>11758</c:v>
                </c:pt>
                <c:pt idx="1507">
                  <c:v>11764</c:v>
                </c:pt>
                <c:pt idx="1508">
                  <c:v>11764</c:v>
                </c:pt>
                <c:pt idx="1509">
                  <c:v>11766</c:v>
                </c:pt>
                <c:pt idx="1510">
                  <c:v>11766</c:v>
                </c:pt>
                <c:pt idx="1511">
                  <c:v>11776</c:v>
                </c:pt>
                <c:pt idx="1512">
                  <c:v>11782</c:v>
                </c:pt>
                <c:pt idx="1513">
                  <c:v>11788</c:v>
                </c:pt>
                <c:pt idx="1514">
                  <c:v>11793</c:v>
                </c:pt>
                <c:pt idx="1515">
                  <c:v>11797</c:v>
                </c:pt>
                <c:pt idx="1516">
                  <c:v>11798</c:v>
                </c:pt>
                <c:pt idx="1517">
                  <c:v>11798</c:v>
                </c:pt>
                <c:pt idx="1518">
                  <c:v>11798</c:v>
                </c:pt>
                <c:pt idx="1519">
                  <c:v>11807</c:v>
                </c:pt>
                <c:pt idx="1520">
                  <c:v>11811</c:v>
                </c:pt>
                <c:pt idx="1521">
                  <c:v>11814</c:v>
                </c:pt>
                <c:pt idx="1522">
                  <c:v>11814</c:v>
                </c:pt>
                <c:pt idx="1523">
                  <c:v>11819</c:v>
                </c:pt>
                <c:pt idx="1524">
                  <c:v>11824</c:v>
                </c:pt>
                <c:pt idx="1525">
                  <c:v>11825</c:v>
                </c:pt>
                <c:pt idx="1526">
                  <c:v>11832</c:v>
                </c:pt>
                <c:pt idx="1527">
                  <c:v>11836</c:v>
                </c:pt>
                <c:pt idx="1528">
                  <c:v>11840</c:v>
                </c:pt>
                <c:pt idx="1529">
                  <c:v>11844</c:v>
                </c:pt>
                <c:pt idx="1530">
                  <c:v>11849</c:v>
                </c:pt>
                <c:pt idx="1531">
                  <c:v>11920</c:v>
                </c:pt>
                <c:pt idx="1532">
                  <c:v>11920</c:v>
                </c:pt>
                <c:pt idx="1533">
                  <c:v>11920</c:v>
                </c:pt>
                <c:pt idx="1534">
                  <c:v>11920</c:v>
                </c:pt>
                <c:pt idx="1535">
                  <c:v>11920</c:v>
                </c:pt>
                <c:pt idx="1536">
                  <c:v>11920</c:v>
                </c:pt>
                <c:pt idx="1537">
                  <c:v>11920</c:v>
                </c:pt>
                <c:pt idx="1538">
                  <c:v>11920</c:v>
                </c:pt>
                <c:pt idx="1539">
                  <c:v>11920</c:v>
                </c:pt>
                <c:pt idx="1540">
                  <c:v>11920</c:v>
                </c:pt>
                <c:pt idx="1541">
                  <c:v>11920</c:v>
                </c:pt>
                <c:pt idx="1542">
                  <c:v>11920</c:v>
                </c:pt>
                <c:pt idx="1543">
                  <c:v>11920</c:v>
                </c:pt>
                <c:pt idx="1544">
                  <c:v>11920</c:v>
                </c:pt>
                <c:pt idx="1545">
                  <c:v>11920</c:v>
                </c:pt>
                <c:pt idx="1546">
                  <c:v>11920</c:v>
                </c:pt>
                <c:pt idx="1547">
                  <c:v>11920</c:v>
                </c:pt>
                <c:pt idx="1548">
                  <c:v>11920</c:v>
                </c:pt>
                <c:pt idx="1549">
                  <c:v>11920</c:v>
                </c:pt>
                <c:pt idx="1550">
                  <c:v>11920</c:v>
                </c:pt>
                <c:pt idx="1551">
                  <c:v>11920</c:v>
                </c:pt>
                <c:pt idx="1552">
                  <c:v>11920</c:v>
                </c:pt>
                <c:pt idx="1553">
                  <c:v>11920</c:v>
                </c:pt>
                <c:pt idx="1554">
                  <c:v>11920</c:v>
                </c:pt>
                <c:pt idx="1555">
                  <c:v>11920</c:v>
                </c:pt>
                <c:pt idx="1556">
                  <c:v>11920</c:v>
                </c:pt>
                <c:pt idx="1557">
                  <c:v>11920</c:v>
                </c:pt>
                <c:pt idx="1558">
                  <c:v>11920</c:v>
                </c:pt>
                <c:pt idx="1559">
                  <c:v>11920</c:v>
                </c:pt>
                <c:pt idx="1560">
                  <c:v>11920</c:v>
                </c:pt>
                <c:pt idx="1561">
                  <c:v>11920</c:v>
                </c:pt>
                <c:pt idx="1562">
                  <c:v>11920</c:v>
                </c:pt>
                <c:pt idx="1563">
                  <c:v>11920</c:v>
                </c:pt>
                <c:pt idx="1564">
                  <c:v>11920</c:v>
                </c:pt>
                <c:pt idx="1565">
                  <c:v>11920</c:v>
                </c:pt>
                <c:pt idx="1566">
                  <c:v>11920</c:v>
                </c:pt>
                <c:pt idx="1567">
                  <c:v>11920</c:v>
                </c:pt>
                <c:pt idx="1568">
                  <c:v>11920</c:v>
                </c:pt>
                <c:pt idx="1569">
                  <c:v>11920</c:v>
                </c:pt>
                <c:pt idx="1570">
                  <c:v>11920</c:v>
                </c:pt>
                <c:pt idx="1571">
                  <c:v>11920</c:v>
                </c:pt>
                <c:pt idx="1572">
                  <c:v>11920</c:v>
                </c:pt>
                <c:pt idx="1573">
                  <c:v>11920</c:v>
                </c:pt>
                <c:pt idx="1574">
                  <c:v>11920</c:v>
                </c:pt>
                <c:pt idx="1575">
                  <c:v>11920</c:v>
                </c:pt>
                <c:pt idx="1576">
                  <c:v>11920</c:v>
                </c:pt>
                <c:pt idx="1577">
                  <c:v>11920</c:v>
                </c:pt>
                <c:pt idx="1578">
                  <c:v>11920</c:v>
                </c:pt>
                <c:pt idx="1579">
                  <c:v>11920</c:v>
                </c:pt>
                <c:pt idx="1580">
                  <c:v>11920</c:v>
                </c:pt>
                <c:pt idx="1581">
                  <c:v>11920</c:v>
                </c:pt>
                <c:pt idx="1582">
                  <c:v>11920</c:v>
                </c:pt>
                <c:pt idx="1583">
                  <c:v>11920</c:v>
                </c:pt>
                <c:pt idx="1584">
                  <c:v>11920</c:v>
                </c:pt>
                <c:pt idx="1585">
                  <c:v>11920</c:v>
                </c:pt>
                <c:pt idx="1586">
                  <c:v>11920</c:v>
                </c:pt>
                <c:pt idx="1587">
                  <c:v>11920</c:v>
                </c:pt>
                <c:pt idx="1588">
                  <c:v>11920</c:v>
                </c:pt>
                <c:pt idx="1589">
                  <c:v>11920</c:v>
                </c:pt>
                <c:pt idx="1590">
                  <c:v>11920</c:v>
                </c:pt>
                <c:pt idx="1591">
                  <c:v>11920</c:v>
                </c:pt>
                <c:pt idx="1592">
                  <c:v>11920</c:v>
                </c:pt>
                <c:pt idx="1593">
                  <c:v>11920</c:v>
                </c:pt>
                <c:pt idx="1594">
                  <c:v>11920</c:v>
                </c:pt>
                <c:pt idx="1595">
                  <c:v>11920</c:v>
                </c:pt>
                <c:pt idx="1596">
                  <c:v>11920</c:v>
                </c:pt>
                <c:pt idx="1597">
                  <c:v>11920</c:v>
                </c:pt>
                <c:pt idx="1598">
                  <c:v>11920</c:v>
                </c:pt>
                <c:pt idx="1599">
                  <c:v>11920</c:v>
                </c:pt>
                <c:pt idx="1600">
                  <c:v>11920</c:v>
                </c:pt>
                <c:pt idx="1601">
                  <c:v>11920</c:v>
                </c:pt>
                <c:pt idx="1602">
                  <c:v>11920</c:v>
                </c:pt>
                <c:pt idx="1603">
                  <c:v>11920</c:v>
                </c:pt>
                <c:pt idx="1604">
                  <c:v>11920</c:v>
                </c:pt>
                <c:pt idx="1605">
                  <c:v>11920</c:v>
                </c:pt>
                <c:pt idx="1606">
                  <c:v>11920</c:v>
                </c:pt>
                <c:pt idx="1607">
                  <c:v>11920</c:v>
                </c:pt>
                <c:pt idx="1608">
                  <c:v>11920</c:v>
                </c:pt>
                <c:pt idx="1609">
                  <c:v>11920</c:v>
                </c:pt>
                <c:pt idx="1610">
                  <c:v>11920</c:v>
                </c:pt>
                <c:pt idx="1611">
                  <c:v>11920</c:v>
                </c:pt>
                <c:pt idx="1612">
                  <c:v>11920</c:v>
                </c:pt>
                <c:pt idx="1613">
                  <c:v>11920</c:v>
                </c:pt>
                <c:pt idx="1614">
                  <c:v>11920</c:v>
                </c:pt>
                <c:pt idx="1615">
                  <c:v>11920</c:v>
                </c:pt>
                <c:pt idx="1616">
                  <c:v>11920</c:v>
                </c:pt>
                <c:pt idx="1617">
                  <c:v>11920</c:v>
                </c:pt>
                <c:pt idx="1618">
                  <c:v>11920</c:v>
                </c:pt>
                <c:pt idx="1619">
                  <c:v>11920</c:v>
                </c:pt>
                <c:pt idx="1620">
                  <c:v>11920</c:v>
                </c:pt>
                <c:pt idx="1621">
                  <c:v>11920</c:v>
                </c:pt>
                <c:pt idx="1622">
                  <c:v>11920</c:v>
                </c:pt>
                <c:pt idx="1623">
                  <c:v>11920</c:v>
                </c:pt>
                <c:pt idx="1624">
                  <c:v>11920</c:v>
                </c:pt>
                <c:pt idx="1625">
                  <c:v>11920</c:v>
                </c:pt>
                <c:pt idx="1626">
                  <c:v>11920</c:v>
                </c:pt>
                <c:pt idx="1627">
                  <c:v>11920</c:v>
                </c:pt>
                <c:pt idx="1628">
                  <c:v>11920</c:v>
                </c:pt>
                <c:pt idx="1629">
                  <c:v>11920</c:v>
                </c:pt>
                <c:pt idx="1630">
                  <c:v>11920</c:v>
                </c:pt>
                <c:pt idx="1631">
                  <c:v>11920</c:v>
                </c:pt>
                <c:pt idx="1632">
                  <c:v>11920</c:v>
                </c:pt>
                <c:pt idx="1633">
                  <c:v>11920</c:v>
                </c:pt>
                <c:pt idx="1634">
                  <c:v>11920</c:v>
                </c:pt>
                <c:pt idx="1635">
                  <c:v>11920</c:v>
                </c:pt>
                <c:pt idx="1636">
                  <c:v>11920</c:v>
                </c:pt>
                <c:pt idx="1637">
                  <c:v>11920</c:v>
                </c:pt>
                <c:pt idx="1638">
                  <c:v>11920</c:v>
                </c:pt>
                <c:pt idx="1639">
                  <c:v>11920</c:v>
                </c:pt>
                <c:pt idx="1640">
                  <c:v>11920</c:v>
                </c:pt>
                <c:pt idx="1641">
                  <c:v>11920</c:v>
                </c:pt>
                <c:pt idx="1642">
                  <c:v>11920</c:v>
                </c:pt>
                <c:pt idx="1643">
                  <c:v>11920</c:v>
                </c:pt>
                <c:pt idx="1644">
                  <c:v>11920</c:v>
                </c:pt>
                <c:pt idx="1645">
                  <c:v>11920</c:v>
                </c:pt>
                <c:pt idx="1646">
                  <c:v>11920</c:v>
                </c:pt>
                <c:pt idx="1647">
                  <c:v>11920</c:v>
                </c:pt>
                <c:pt idx="1648">
                  <c:v>11920</c:v>
                </c:pt>
                <c:pt idx="1649">
                  <c:v>11920</c:v>
                </c:pt>
                <c:pt idx="1650">
                  <c:v>11920</c:v>
                </c:pt>
                <c:pt idx="1651">
                  <c:v>11920</c:v>
                </c:pt>
                <c:pt idx="1652">
                  <c:v>11920</c:v>
                </c:pt>
                <c:pt idx="1653">
                  <c:v>11920</c:v>
                </c:pt>
                <c:pt idx="1654">
                  <c:v>11920</c:v>
                </c:pt>
                <c:pt idx="1655">
                  <c:v>11920</c:v>
                </c:pt>
                <c:pt idx="1656">
                  <c:v>11920</c:v>
                </c:pt>
                <c:pt idx="1657">
                  <c:v>11920</c:v>
                </c:pt>
                <c:pt idx="1658">
                  <c:v>11920</c:v>
                </c:pt>
                <c:pt idx="1659">
                  <c:v>11920</c:v>
                </c:pt>
                <c:pt idx="1660">
                  <c:v>11920</c:v>
                </c:pt>
                <c:pt idx="1661">
                  <c:v>11920</c:v>
                </c:pt>
                <c:pt idx="1662">
                  <c:v>11920</c:v>
                </c:pt>
                <c:pt idx="1663">
                  <c:v>11920</c:v>
                </c:pt>
                <c:pt idx="1664">
                  <c:v>11920</c:v>
                </c:pt>
                <c:pt idx="1665">
                  <c:v>11920</c:v>
                </c:pt>
                <c:pt idx="1666">
                  <c:v>11920</c:v>
                </c:pt>
                <c:pt idx="1667">
                  <c:v>11920</c:v>
                </c:pt>
                <c:pt idx="1668">
                  <c:v>11920</c:v>
                </c:pt>
                <c:pt idx="1669">
                  <c:v>11920</c:v>
                </c:pt>
                <c:pt idx="1670">
                  <c:v>11920</c:v>
                </c:pt>
                <c:pt idx="1671">
                  <c:v>11920</c:v>
                </c:pt>
                <c:pt idx="1672">
                  <c:v>11920</c:v>
                </c:pt>
                <c:pt idx="1673">
                  <c:v>11920</c:v>
                </c:pt>
                <c:pt idx="1674">
                  <c:v>11920</c:v>
                </c:pt>
                <c:pt idx="1675">
                  <c:v>11920</c:v>
                </c:pt>
                <c:pt idx="1676">
                  <c:v>11920</c:v>
                </c:pt>
                <c:pt idx="1677">
                  <c:v>11920</c:v>
                </c:pt>
                <c:pt idx="1678">
                  <c:v>11920</c:v>
                </c:pt>
                <c:pt idx="1679">
                  <c:v>11920</c:v>
                </c:pt>
                <c:pt idx="1680">
                  <c:v>11920</c:v>
                </c:pt>
                <c:pt idx="1681">
                  <c:v>11920</c:v>
                </c:pt>
                <c:pt idx="1682">
                  <c:v>11920</c:v>
                </c:pt>
                <c:pt idx="1683">
                  <c:v>11920</c:v>
                </c:pt>
                <c:pt idx="1684">
                  <c:v>11920</c:v>
                </c:pt>
                <c:pt idx="1685">
                  <c:v>11920</c:v>
                </c:pt>
                <c:pt idx="1686">
                  <c:v>11920</c:v>
                </c:pt>
                <c:pt idx="1687">
                  <c:v>11920</c:v>
                </c:pt>
                <c:pt idx="1688">
                  <c:v>11920</c:v>
                </c:pt>
                <c:pt idx="1689">
                  <c:v>11920</c:v>
                </c:pt>
                <c:pt idx="1690">
                  <c:v>11920</c:v>
                </c:pt>
                <c:pt idx="1691">
                  <c:v>11920</c:v>
                </c:pt>
                <c:pt idx="1692">
                  <c:v>11920</c:v>
                </c:pt>
                <c:pt idx="1693">
                  <c:v>11920</c:v>
                </c:pt>
                <c:pt idx="1694">
                  <c:v>11920</c:v>
                </c:pt>
                <c:pt idx="1695">
                  <c:v>11920</c:v>
                </c:pt>
                <c:pt idx="1696">
                  <c:v>11920</c:v>
                </c:pt>
                <c:pt idx="1697">
                  <c:v>11920</c:v>
                </c:pt>
                <c:pt idx="1698">
                  <c:v>11920</c:v>
                </c:pt>
                <c:pt idx="1699">
                  <c:v>11920</c:v>
                </c:pt>
                <c:pt idx="1700">
                  <c:v>11920</c:v>
                </c:pt>
                <c:pt idx="1701">
                  <c:v>11920</c:v>
                </c:pt>
                <c:pt idx="1702">
                  <c:v>11920</c:v>
                </c:pt>
                <c:pt idx="1703">
                  <c:v>11920</c:v>
                </c:pt>
                <c:pt idx="1704">
                  <c:v>11920</c:v>
                </c:pt>
                <c:pt idx="1705">
                  <c:v>11920</c:v>
                </c:pt>
                <c:pt idx="1706">
                  <c:v>11920</c:v>
                </c:pt>
                <c:pt idx="1707">
                  <c:v>11920</c:v>
                </c:pt>
                <c:pt idx="1708">
                  <c:v>11920</c:v>
                </c:pt>
                <c:pt idx="1709">
                  <c:v>11920</c:v>
                </c:pt>
                <c:pt idx="1710">
                  <c:v>11920</c:v>
                </c:pt>
                <c:pt idx="1711">
                  <c:v>11920</c:v>
                </c:pt>
                <c:pt idx="1712">
                  <c:v>11920</c:v>
                </c:pt>
                <c:pt idx="1713">
                  <c:v>11920</c:v>
                </c:pt>
                <c:pt idx="1714">
                  <c:v>11920</c:v>
                </c:pt>
                <c:pt idx="1715">
                  <c:v>11920</c:v>
                </c:pt>
                <c:pt idx="1716">
                  <c:v>11920</c:v>
                </c:pt>
                <c:pt idx="1717">
                  <c:v>11920</c:v>
                </c:pt>
                <c:pt idx="1718">
                  <c:v>11920</c:v>
                </c:pt>
                <c:pt idx="1719">
                  <c:v>11920</c:v>
                </c:pt>
                <c:pt idx="1720">
                  <c:v>11920</c:v>
                </c:pt>
                <c:pt idx="1721">
                  <c:v>11920</c:v>
                </c:pt>
                <c:pt idx="1722">
                  <c:v>11920</c:v>
                </c:pt>
                <c:pt idx="1723">
                  <c:v>11920</c:v>
                </c:pt>
                <c:pt idx="1724">
                  <c:v>11920</c:v>
                </c:pt>
                <c:pt idx="1725">
                  <c:v>11920</c:v>
                </c:pt>
                <c:pt idx="1726">
                  <c:v>11920</c:v>
                </c:pt>
                <c:pt idx="1727">
                  <c:v>11920</c:v>
                </c:pt>
                <c:pt idx="1728">
                  <c:v>11920</c:v>
                </c:pt>
                <c:pt idx="1729">
                  <c:v>11920</c:v>
                </c:pt>
                <c:pt idx="1730">
                  <c:v>11920</c:v>
                </c:pt>
                <c:pt idx="1731">
                  <c:v>11920</c:v>
                </c:pt>
                <c:pt idx="1732">
                  <c:v>11920</c:v>
                </c:pt>
                <c:pt idx="1733">
                  <c:v>11920</c:v>
                </c:pt>
                <c:pt idx="1734">
                  <c:v>11920</c:v>
                </c:pt>
                <c:pt idx="1735">
                  <c:v>11920</c:v>
                </c:pt>
                <c:pt idx="1736">
                  <c:v>11920</c:v>
                </c:pt>
                <c:pt idx="1737">
                  <c:v>11920</c:v>
                </c:pt>
                <c:pt idx="1738">
                  <c:v>11920</c:v>
                </c:pt>
                <c:pt idx="1739">
                  <c:v>11920</c:v>
                </c:pt>
                <c:pt idx="1740">
                  <c:v>11920</c:v>
                </c:pt>
                <c:pt idx="1741">
                  <c:v>11920</c:v>
                </c:pt>
                <c:pt idx="1742">
                  <c:v>11920</c:v>
                </c:pt>
                <c:pt idx="1743">
                  <c:v>11920</c:v>
                </c:pt>
                <c:pt idx="1744">
                  <c:v>11920</c:v>
                </c:pt>
                <c:pt idx="1745">
                  <c:v>11920</c:v>
                </c:pt>
                <c:pt idx="1746">
                  <c:v>11920</c:v>
                </c:pt>
                <c:pt idx="1747">
                  <c:v>11920</c:v>
                </c:pt>
                <c:pt idx="1748">
                  <c:v>11920</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11920</c:v>
                </c:pt>
                <c:pt idx="1818">
                  <c:v>11920</c:v>
                </c:pt>
                <c:pt idx="1819">
                  <c:v>11920</c:v>
                </c:pt>
                <c:pt idx="1820">
                  <c:v>11920</c:v>
                </c:pt>
                <c:pt idx="1821">
                  <c:v>11920</c:v>
                </c:pt>
                <c:pt idx="1822">
                  <c:v>11920</c:v>
                </c:pt>
                <c:pt idx="1823">
                  <c:v>11920</c:v>
                </c:pt>
                <c:pt idx="1824">
                  <c:v>11920</c:v>
                </c:pt>
                <c:pt idx="1825">
                  <c:v>11920</c:v>
                </c:pt>
                <c:pt idx="1826">
                  <c:v>11920</c:v>
                </c:pt>
                <c:pt idx="1827">
                  <c:v>11920</c:v>
                </c:pt>
                <c:pt idx="1828">
                  <c:v>11920</c:v>
                </c:pt>
                <c:pt idx="1829">
                  <c:v>11920</c:v>
                </c:pt>
                <c:pt idx="1830">
                  <c:v>11920</c:v>
                </c:pt>
                <c:pt idx="1831">
                  <c:v>11920</c:v>
                </c:pt>
                <c:pt idx="1832">
                  <c:v>11920</c:v>
                </c:pt>
                <c:pt idx="1833">
                  <c:v>11920</c:v>
                </c:pt>
                <c:pt idx="1834">
                  <c:v>11920</c:v>
                </c:pt>
                <c:pt idx="1835">
                  <c:v>11920</c:v>
                </c:pt>
                <c:pt idx="1836">
                  <c:v>11920</c:v>
                </c:pt>
                <c:pt idx="1837">
                  <c:v>11920</c:v>
                </c:pt>
                <c:pt idx="1838">
                  <c:v>11920</c:v>
                </c:pt>
                <c:pt idx="1839">
                  <c:v>11920</c:v>
                </c:pt>
                <c:pt idx="1840">
                  <c:v>11920</c:v>
                </c:pt>
                <c:pt idx="1841">
                  <c:v>11920</c:v>
                </c:pt>
                <c:pt idx="1842">
                  <c:v>11920</c:v>
                </c:pt>
                <c:pt idx="1843">
                  <c:v>11920</c:v>
                </c:pt>
                <c:pt idx="1844">
                  <c:v>11920</c:v>
                </c:pt>
                <c:pt idx="1845">
                  <c:v>11920</c:v>
                </c:pt>
                <c:pt idx="1846">
                  <c:v>11920</c:v>
                </c:pt>
                <c:pt idx="1847">
                  <c:v>11920</c:v>
                </c:pt>
                <c:pt idx="1848">
                  <c:v>11920</c:v>
                </c:pt>
                <c:pt idx="1849">
                  <c:v>11920</c:v>
                </c:pt>
                <c:pt idx="1850">
                  <c:v>11920</c:v>
                </c:pt>
                <c:pt idx="1851">
                  <c:v>11920</c:v>
                </c:pt>
                <c:pt idx="1852">
                  <c:v>11920</c:v>
                </c:pt>
                <c:pt idx="1853">
                  <c:v>11920</c:v>
                </c:pt>
                <c:pt idx="1854">
                  <c:v>11920</c:v>
                </c:pt>
                <c:pt idx="1855">
                  <c:v>11920</c:v>
                </c:pt>
                <c:pt idx="1856">
                  <c:v>11920</c:v>
                </c:pt>
                <c:pt idx="1857">
                  <c:v>11920</c:v>
                </c:pt>
                <c:pt idx="1858">
                  <c:v>11920</c:v>
                </c:pt>
                <c:pt idx="1859">
                  <c:v>11920</c:v>
                </c:pt>
                <c:pt idx="1860">
                  <c:v>11920</c:v>
                </c:pt>
                <c:pt idx="1861">
                  <c:v>11920</c:v>
                </c:pt>
                <c:pt idx="1862">
                  <c:v>11920</c:v>
                </c:pt>
                <c:pt idx="1863">
                  <c:v>11920</c:v>
                </c:pt>
                <c:pt idx="1864">
                  <c:v>11920</c:v>
                </c:pt>
                <c:pt idx="1865">
                  <c:v>11920</c:v>
                </c:pt>
                <c:pt idx="1866">
                  <c:v>11920</c:v>
                </c:pt>
                <c:pt idx="1867">
                  <c:v>11920</c:v>
                </c:pt>
                <c:pt idx="1868">
                  <c:v>11920</c:v>
                </c:pt>
                <c:pt idx="1869">
                  <c:v>11920</c:v>
                </c:pt>
                <c:pt idx="1870">
                  <c:v>11920</c:v>
                </c:pt>
                <c:pt idx="1871">
                  <c:v>11920</c:v>
                </c:pt>
                <c:pt idx="1872">
                  <c:v>11920</c:v>
                </c:pt>
                <c:pt idx="1873">
                  <c:v>11920</c:v>
                </c:pt>
                <c:pt idx="1874">
                  <c:v>11920</c:v>
                </c:pt>
                <c:pt idx="1875">
                  <c:v>11920</c:v>
                </c:pt>
                <c:pt idx="1876">
                  <c:v>11920</c:v>
                </c:pt>
                <c:pt idx="1877">
                  <c:v>11920</c:v>
                </c:pt>
                <c:pt idx="1878">
                  <c:v>11920</c:v>
                </c:pt>
                <c:pt idx="1879">
                  <c:v>11920</c:v>
                </c:pt>
                <c:pt idx="1880">
                  <c:v>11920</c:v>
                </c:pt>
                <c:pt idx="1881">
                  <c:v>11920</c:v>
                </c:pt>
                <c:pt idx="1882">
                  <c:v>11920</c:v>
                </c:pt>
                <c:pt idx="1883">
                  <c:v>11920</c:v>
                </c:pt>
                <c:pt idx="1884">
                  <c:v>11920</c:v>
                </c:pt>
                <c:pt idx="1885">
                  <c:v>11920</c:v>
                </c:pt>
                <c:pt idx="1886">
                  <c:v>11920</c:v>
                </c:pt>
                <c:pt idx="1887">
                  <c:v>11920</c:v>
                </c:pt>
                <c:pt idx="1888">
                  <c:v>11920</c:v>
                </c:pt>
                <c:pt idx="1889">
                  <c:v>11920</c:v>
                </c:pt>
                <c:pt idx="1890">
                  <c:v>11920</c:v>
                </c:pt>
                <c:pt idx="1891">
                  <c:v>11920</c:v>
                </c:pt>
                <c:pt idx="1892">
                  <c:v>11920</c:v>
                </c:pt>
                <c:pt idx="1893">
                  <c:v>11920</c:v>
                </c:pt>
                <c:pt idx="1894">
                  <c:v>11920</c:v>
                </c:pt>
                <c:pt idx="1895">
                  <c:v>11920</c:v>
                </c:pt>
                <c:pt idx="1896">
                  <c:v>11920</c:v>
                </c:pt>
                <c:pt idx="1897">
                  <c:v>11920</c:v>
                </c:pt>
                <c:pt idx="1898">
                  <c:v>11920</c:v>
                </c:pt>
                <c:pt idx="1899">
                  <c:v>11920</c:v>
                </c:pt>
                <c:pt idx="1900">
                  <c:v>11920</c:v>
                </c:pt>
                <c:pt idx="1901">
                  <c:v>11920</c:v>
                </c:pt>
                <c:pt idx="1902">
                  <c:v>11920</c:v>
                </c:pt>
                <c:pt idx="1903">
                  <c:v>11920</c:v>
                </c:pt>
                <c:pt idx="1904">
                  <c:v>11920</c:v>
                </c:pt>
                <c:pt idx="1905">
                  <c:v>11920</c:v>
                </c:pt>
                <c:pt idx="1906">
                  <c:v>11920</c:v>
                </c:pt>
                <c:pt idx="1907">
                  <c:v>11920</c:v>
                </c:pt>
                <c:pt idx="1908">
                  <c:v>11920</c:v>
                </c:pt>
                <c:pt idx="1909">
                  <c:v>11920</c:v>
                </c:pt>
                <c:pt idx="1910">
                  <c:v>11920</c:v>
                </c:pt>
                <c:pt idx="1911">
                  <c:v>11920</c:v>
                </c:pt>
                <c:pt idx="1912">
                  <c:v>11920</c:v>
                </c:pt>
                <c:pt idx="1913">
                  <c:v>11920</c:v>
                </c:pt>
                <c:pt idx="1914">
                  <c:v>11920</c:v>
                </c:pt>
                <c:pt idx="1915">
                  <c:v>11920</c:v>
                </c:pt>
                <c:pt idx="1916">
                  <c:v>11920</c:v>
                </c:pt>
                <c:pt idx="1917">
                  <c:v>11920</c:v>
                </c:pt>
                <c:pt idx="1918">
                  <c:v>11920</c:v>
                </c:pt>
                <c:pt idx="1919">
                  <c:v>11920</c:v>
                </c:pt>
                <c:pt idx="1920">
                  <c:v>11920</c:v>
                </c:pt>
                <c:pt idx="1921">
                  <c:v>11920</c:v>
                </c:pt>
                <c:pt idx="1922">
                  <c:v>11920</c:v>
                </c:pt>
                <c:pt idx="1923">
                  <c:v>11920</c:v>
                </c:pt>
                <c:pt idx="1924">
                  <c:v>11920</c:v>
                </c:pt>
                <c:pt idx="1925">
                  <c:v>11920</c:v>
                </c:pt>
                <c:pt idx="1926">
                  <c:v>11920</c:v>
                </c:pt>
                <c:pt idx="1927">
                  <c:v>11920</c:v>
                </c:pt>
                <c:pt idx="1928">
                  <c:v>11920</c:v>
                </c:pt>
                <c:pt idx="1929">
                  <c:v>11920</c:v>
                </c:pt>
                <c:pt idx="1930">
                  <c:v>11920</c:v>
                </c:pt>
                <c:pt idx="1931">
                  <c:v>11920</c:v>
                </c:pt>
                <c:pt idx="1932">
                  <c:v>11920</c:v>
                </c:pt>
                <c:pt idx="1933">
                  <c:v>11920</c:v>
                </c:pt>
                <c:pt idx="1934">
                  <c:v>11920</c:v>
                </c:pt>
                <c:pt idx="1935">
                  <c:v>11920</c:v>
                </c:pt>
                <c:pt idx="1936">
                  <c:v>11920</c:v>
                </c:pt>
                <c:pt idx="1937">
                  <c:v>11920</c:v>
                </c:pt>
                <c:pt idx="1938">
                  <c:v>11920</c:v>
                </c:pt>
                <c:pt idx="1939">
                  <c:v>11920</c:v>
                </c:pt>
                <c:pt idx="1940">
                  <c:v>11920</c:v>
                </c:pt>
                <c:pt idx="1941">
                  <c:v>11920</c:v>
                </c:pt>
                <c:pt idx="1942">
                  <c:v>11920</c:v>
                </c:pt>
                <c:pt idx="1943">
                  <c:v>11920</c:v>
                </c:pt>
                <c:pt idx="1944">
                  <c:v>11920</c:v>
                </c:pt>
                <c:pt idx="1945">
                  <c:v>11920</c:v>
                </c:pt>
                <c:pt idx="1946">
                  <c:v>11920</c:v>
                </c:pt>
                <c:pt idx="1947">
                  <c:v>11920</c:v>
                </c:pt>
                <c:pt idx="1948">
                  <c:v>11920</c:v>
                </c:pt>
                <c:pt idx="1949">
                  <c:v>11920</c:v>
                </c:pt>
                <c:pt idx="1950">
                  <c:v>11920</c:v>
                </c:pt>
                <c:pt idx="1951">
                  <c:v>11920</c:v>
                </c:pt>
                <c:pt idx="1952">
                  <c:v>11920</c:v>
                </c:pt>
                <c:pt idx="1953">
                  <c:v>11920</c:v>
                </c:pt>
                <c:pt idx="1954">
                  <c:v>11920</c:v>
                </c:pt>
                <c:pt idx="1955">
                  <c:v>11920</c:v>
                </c:pt>
                <c:pt idx="1956">
                  <c:v>11920</c:v>
                </c:pt>
                <c:pt idx="1957">
                  <c:v>11920</c:v>
                </c:pt>
                <c:pt idx="1958">
                  <c:v>11920</c:v>
                </c:pt>
                <c:pt idx="1959">
                  <c:v>11920</c:v>
                </c:pt>
                <c:pt idx="1960">
                  <c:v>11920</c:v>
                </c:pt>
                <c:pt idx="1961">
                  <c:v>11920</c:v>
                </c:pt>
                <c:pt idx="1962">
                  <c:v>11920</c:v>
                </c:pt>
                <c:pt idx="1963">
                  <c:v>11920</c:v>
                </c:pt>
                <c:pt idx="1964">
                  <c:v>11920</c:v>
                </c:pt>
                <c:pt idx="1965">
                  <c:v>11920</c:v>
                </c:pt>
                <c:pt idx="1966">
                  <c:v>11920</c:v>
                </c:pt>
                <c:pt idx="1967">
                  <c:v>11920</c:v>
                </c:pt>
                <c:pt idx="1968">
                  <c:v>11920</c:v>
                </c:pt>
                <c:pt idx="1969">
                  <c:v>11920</c:v>
                </c:pt>
                <c:pt idx="1970">
                  <c:v>11920</c:v>
                </c:pt>
                <c:pt idx="1971">
                  <c:v>11920</c:v>
                </c:pt>
                <c:pt idx="1972">
                  <c:v>11920</c:v>
                </c:pt>
                <c:pt idx="1973">
                  <c:v>11920</c:v>
                </c:pt>
                <c:pt idx="1974">
                  <c:v>11920</c:v>
                </c:pt>
                <c:pt idx="1975">
                  <c:v>11920</c:v>
                </c:pt>
                <c:pt idx="1976">
                  <c:v>11920</c:v>
                </c:pt>
                <c:pt idx="1977">
                  <c:v>11920</c:v>
                </c:pt>
                <c:pt idx="1978">
                  <c:v>11920</c:v>
                </c:pt>
                <c:pt idx="1979">
                  <c:v>11920</c:v>
                </c:pt>
                <c:pt idx="1980">
                  <c:v>11920</c:v>
                </c:pt>
                <c:pt idx="1981">
                  <c:v>11920</c:v>
                </c:pt>
                <c:pt idx="1982">
                  <c:v>11920</c:v>
                </c:pt>
                <c:pt idx="1983">
                  <c:v>11920</c:v>
                </c:pt>
                <c:pt idx="1984">
                  <c:v>11920</c:v>
                </c:pt>
                <c:pt idx="1985">
                  <c:v>11920</c:v>
                </c:pt>
                <c:pt idx="1986">
                  <c:v>11920</c:v>
                </c:pt>
                <c:pt idx="1987">
                  <c:v>11920</c:v>
                </c:pt>
                <c:pt idx="1988">
                  <c:v>11920</c:v>
                </c:pt>
                <c:pt idx="1989">
                  <c:v>11920</c:v>
                </c:pt>
                <c:pt idx="1990">
                  <c:v>11920</c:v>
                </c:pt>
                <c:pt idx="1991">
                  <c:v>11920</c:v>
                </c:pt>
                <c:pt idx="1992">
                  <c:v>11920</c:v>
                </c:pt>
                <c:pt idx="1993">
                  <c:v>11920</c:v>
                </c:pt>
                <c:pt idx="1994">
                  <c:v>11920</c:v>
                </c:pt>
                <c:pt idx="1995">
                  <c:v>11920</c:v>
                </c:pt>
                <c:pt idx="1996">
                  <c:v>11920</c:v>
                </c:pt>
                <c:pt idx="1997">
                  <c:v>11920</c:v>
                </c:pt>
                <c:pt idx="1998">
                  <c:v>11920</c:v>
                </c:pt>
              </c:numCache>
            </c:numRef>
          </c:xVal>
          <c:yVal>
            <c:numRef>
              <c:f>Calculations!$M$2:$M$2000</c:f>
              <c:numCache>
                <c:formatCode>General</c:formatCode>
                <c:ptCount val="1999"/>
                <c:pt idx="0">
                  <c:v>1.9299999995999999</c:v>
                </c:pt>
                <c:pt idx="1">
                  <c:v>1.9299999995999999</c:v>
                </c:pt>
                <c:pt idx="2">
                  <c:v>4.9799999988000003</c:v>
                </c:pt>
                <c:pt idx="3">
                  <c:v>6.8000000003999999</c:v>
                </c:pt>
                <c:pt idx="4">
                  <c:v>8.1600000012000002</c:v>
                </c:pt>
                <c:pt idx="5">
                  <c:v>10.1599999992</c:v>
                </c:pt>
                <c:pt idx="6">
                  <c:v>11.16</c:v>
                </c:pt>
                <c:pt idx="7">
                  <c:v>11.16</c:v>
                </c:pt>
                <c:pt idx="8">
                  <c:v>12.4999999992</c:v>
                </c:pt>
                <c:pt idx="9">
                  <c:v>12.290000000399999</c:v>
                </c:pt>
                <c:pt idx="10">
                  <c:v>12.1600000008</c:v>
                </c:pt>
                <c:pt idx="11">
                  <c:v>12.269999998799999</c:v>
                </c:pt>
                <c:pt idx="12">
                  <c:v>13.129999999200001</c:v>
                </c:pt>
                <c:pt idx="13">
                  <c:v>14.109999998399999</c:v>
                </c:pt>
                <c:pt idx="14">
                  <c:v>14.9100000012</c:v>
                </c:pt>
                <c:pt idx="15">
                  <c:v>15.630000001200001</c:v>
                </c:pt>
                <c:pt idx="16">
                  <c:v>16.1600000004</c:v>
                </c:pt>
                <c:pt idx="17">
                  <c:v>16.1600000004</c:v>
                </c:pt>
                <c:pt idx="18">
                  <c:v>17.470000000800002</c:v>
                </c:pt>
                <c:pt idx="19">
                  <c:v>18.299999998800001</c:v>
                </c:pt>
                <c:pt idx="20">
                  <c:v>19.059999998399999</c:v>
                </c:pt>
                <c:pt idx="21">
                  <c:v>19.850000000400001</c:v>
                </c:pt>
                <c:pt idx="22">
                  <c:v>22.209999998400001</c:v>
                </c:pt>
                <c:pt idx="23">
                  <c:v>22.209999998400001</c:v>
                </c:pt>
                <c:pt idx="24">
                  <c:v>22.209999998400001</c:v>
                </c:pt>
                <c:pt idx="25">
                  <c:v>26.989999999200002</c:v>
                </c:pt>
                <c:pt idx="26">
                  <c:v>29.530000000800001</c:v>
                </c:pt>
                <c:pt idx="27">
                  <c:v>31.020000001200003</c:v>
                </c:pt>
                <c:pt idx="28">
                  <c:v>32.479999999200004</c:v>
                </c:pt>
                <c:pt idx="29">
                  <c:v>33.850000000800001</c:v>
                </c:pt>
                <c:pt idx="30">
                  <c:v>33.630000001200003</c:v>
                </c:pt>
                <c:pt idx="31">
                  <c:v>33.270000001200003</c:v>
                </c:pt>
                <c:pt idx="32">
                  <c:v>32.870000001599998</c:v>
                </c:pt>
                <c:pt idx="33">
                  <c:v>32.500000000800007</c:v>
                </c:pt>
                <c:pt idx="34">
                  <c:v>32.500000000800007</c:v>
                </c:pt>
                <c:pt idx="35">
                  <c:v>30.880000000799999</c:v>
                </c:pt>
                <c:pt idx="36">
                  <c:v>29.639999998799997</c:v>
                </c:pt>
                <c:pt idx="37">
                  <c:v>28.450000000799999</c:v>
                </c:pt>
                <c:pt idx="38">
                  <c:v>28.450000000799999</c:v>
                </c:pt>
                <c:pt idx="39">
                  <c:v>28.450000000799999</c:v>
                </c:pt>
                <c:pt idx="40">
                  <c:v>27.5900000004</c:v>
                </c:pt>
                <c:pt idx="41">
                  <c:v>27.780000001200001</c:v>
                </c:pt>
                <c:pt idx="42">
                  <c:v>28.220000000399999</c:v>
                </c:pt>
                <c:pt idx="43">
                  <c:v>28.950000001199999</c:v>
                </c:pt>
                <c:pt idx="44">
                  <c:v>29.689999999199998</c:v>
                </c:pt>
                <c:pt idx="45">
                  <c:v>29.689999999199998</c:v>
                </c:pt>
                <c:pt idx="46">
                  <c:v>30.499999999199996</c:v>
                </c:pt>
                <c:pt idx="47">
                  <c:v>31.179999999600003</c:v>
                </c:pt>
                <c:pt idx="48">
                  <c:v>32.230000000799997</c:v>
                </c:pt>
                <c:pt idx="49">
                  <c:v>32.230000000799997</c:v>
                </c:pt>
                <c:pt idx="50">
                  <c:v>35.880000001200003</c:v>
                </c:pt>
                <c:pt idx="51">
                  <c:v>40.489999992000001</c:v>
                </c:pt>
                <c:pt idx="52">
                  <c:v>45.020000015999997</c:v>
                </c:pt>
                <c:pt idx="53">
                  <c:v>45.020000015999997</c:v>
                </c:pt>
                <c:pt idx="54">
                  <c:v>48.87</c:v>
                </c:pt>
                <c:pt idx="55">
                  <c:v>50.109999983999998</c:v>
                </c:pt>
                <c:pt idx="56">
                  <c:v>50.429999987999999</c:v>
                </c:pt>
                <c:pt idx="57">
                  <c:v>50.749999992000006</c:v>
                </c:pt>
                <c:pt idx="58">
                  <c:v>50.749999992000006</c:v>
                </c:pt>
                <c:pt idx="59">
                  <c:v>51.130000008000003</c:v>
                </c:pt>
                <c:pt idx="60">
                  <c:v>51.429999995999999</c:v>
                </c:pt>
                <c:pt idx="61">
                  <c:v>51.429999995999999</c:v>
                </c:pt>
                <c:pt idx="62">
                  <c:v>51.429999995999999</c:v>
                </c:pt>
                <c:pt idx="63">
                  <c:v>51.800000004000005</c:v>
                </c:pt>
                <c:pt idx="64">
                  <c:v>51.800000004000005</c:v>
                </c:pt>
                <c:pt idx="65">
                  <c:v>51.800000004000005</c:v>
                </c:pt>
                <c:pt idx="66">
                  <c:v>51.519999996000003</c:v>
                </c:pt>
                <c:pt idx="67">
                  <c:v>50.699999988000002</c:v>
                </c:pt>
                <c:pt idx="68">
                  <c:v>48.309999984000001</c:v>
                </c:pt>
                <c:pt idx="69">
                  <c:v>48.309999984000001</c:v>
                </c:pt>
                <c:pt idx="70">
                  <c:v>48.309999984000001</c:v>
                </c:pt>
                <c:pt idx="71">
                  <c:v>45.979999992000003</c:v>
                </c:pt>
                <c:pt idx="72">
                  <c:v>43.830000000000005</c:v>
                </c:pt>
                <c:pt idx="73">
                  <c:v>41.630000003999996</c:v>
                </c:pt>
                <c:pt idx="74">
                  <c:v>39.750000012000001</c:v>
                </c:pt>
                <c:pt idx="75">
                  <c:v>39.750000012000001</c:v>
                </c:pt>
                <c:pt idx="76">
                  <c:v>38.049999984000003</c:v>
                </c:pt>
                <c:pt idx="77">
                  <c:v>36.500000004</c:v>
                </c:pt>
                <c:pt idx="78">
                  <c:v>34.92</c:v>
                </c:pt>
                <c:pt idx="79">
                  <c:v>33.2499999996</c:v>
                </c:pt>
                <c:pt idx="80">
                  <c:v>33.2499999996</c:v>
                </c:pt>
                <c:pt idx="81">
                  <c:v>30.9999999996</c:v>
                </c:pt>
                <c:pt idx="82">
                  <c:v>30.9999999996</c:v>
                </c:pt>
                <c:pt idx="83">
                  <c:v>28.419999998400002</c:v>
                </c:pt>
                <c:pt idx="84">
                  <c:v>26.669999998800002</c:v>
                </c:pt>
                <c:pt idx="85">
                  <c:v>24.789999999599999</c:v>
                </c:pt>
                <c:pt idx="86">
                  <c:v>22.330000000799998</c:v>
                </c:pt>
                <c:pt idx="87">
                  <c:v>19.350000000000001</c:v>
                </c:pt>
                <c:pt idx="88">
                  <c:v>15.800000000400003</c:v>
                </c:pt>
                <c:pt idx="89">
                  <c:v>11.540000001600001</c:v>
                </c:pt>
                <c:pt idx="90">
                  <c:v>8.0600000004000005</c:v>
                </c:pt>
                <c:pt idx="91">
                  <c:v>5.1800000003999997</c:v>
                </c:pt>
                <c:pt idx="92">
                  <c:v>5.1800000003999997</c:v>
                </c:pt>
                <c:pt idx="93">
                  <c:v>1.3600000008000002</c:v>
                </c:pt>
                <c:pt idx="94">
                  <c:v>0.56000000160000007</c:v>
                </c:pt>
                <c:pt idx="95">
                  <c:v>0.56000000160000007</c:v>
                </c:pt>
                <c:pt idx="96">
                  <c:v>0.1299999996</c:v>
                </c:pt>
                <c:pt idx="97">
                  <c:v>0</c:v>
                </c:pt>
                <c:pt idx="98">
                  <c:v>0.11999999880000001</c:v>
                </c:pt>
                <c:pt idx="99">
                  <c:v>0.11999999880000001</c:v>
                </c:pt>
                <c:pt idx="100">
                  <c:v>4.2999999983999997</c:v>
                </c:pt>
                <c:pt idx="101">
                  <c:v>8.9399999988000012</c:v>
                </c:pt>
                <c:pt idx="102">
                  <c:v>13.8300000012</c:v>
                </c:pt>
                <c:pt idx="103">
                  <c:v>18.420000001199998</c:v>
                </c:pt>
                <c:pt idx="104">
                  <c:v>18.420000001199998</c:v>
                </c:pt>
                <c:pt idx="105">
                  <c:v>18.420000001199998</c:v>
                </c:pt>
                <c:pt idx="106">
                  <c:v>22.449999999599999</c:v>
                </c:pt>
                <c:pt idx="107">
                  <c:v>27.519999998400003</c:v>
                </c:pt>
                <c:pt idx="108">
                  <c:v>32.04</c:v>
                </c:pt>
                <c:pt idx="109">
                  <c:v>35.200000000800003</c:v>
                </c:pt>
                <c:pt idx="110">
                  <c:v>38.469999996000006</c:v>
                </c:pt>
                <c:pt idx="111">
                  <c:v>41.569999992</c:v>
                </c:pt>
                <c:pt idx="112">
                  <c:v>41.569999992</c:v>
                </c:pt>
                <c:pt idx="113">
                  <c:v>42.879999996000002</c:v>
                </c:pt>
                <c:pt idx="114">
                  <c:v>42.879999996000002</c:v>
                </c:pt>
                <c:pt idx="115">
                  <c:v>43.710000012000002</c:v>
                </c:pt>
                <c:pt idx="116">
                  <c:v>44.46</c:v>
                </c:pt>
                <c:pt idx="117">
                  <c:v>45.230000003999997</c:v>
                </c:pt>
                <c:pt idx="118">
                  <c:v>45.230000003999997</c:v>
                </c:pt>
                <c:pt idx="119">
                  <c:v>45.110000016000001</c:v>
                </c:pt>
                <c:pt idx="120">
                  <c:v>45.110000016000001</c:v>
                </c:pt>
                <c:pt idx="121">
                  <c:v>44.730000000000004</c:v>
                </c:pt>
                <c:pt idx="122">
                  <c:v>44.730000000000004</c:v>
                </c:pt>
                <c:pt idx="123">
                  <c:v>42.450000011999997</c:v>
                </c:pt>
                <c:pt idx="124">
                  <c:v>40.520000015999997</c:v>
                </c:pt>
                <c:pt idx="125">
                  <c:v>39.489999984000001</c:v>
                </c:pt>
                <c:pt idx="126">
                  <c:v>38.630000016000004</c:v>
                </c:pt>
                <c:pt idx="127">
                  <c:v>37.810000008000003</c:v>
                </c:pt>
                <c:pt idx="128">
                  <c:v>37.26</c:v>
                </c:pt>
                <c:pt idx="129">
                  <c:v>36.860000004</c:v>
                </c:pt>
                <c:pt idx="130">
                  <c:v>36.860000004</c:v>
                </c:pt>
                <c:pt idx="131">
                  <c:v>36.860000004</c:v>
                </c:pt>
                <c:pt idx="132">
                  <c:v>36.860000004</c:v>
                </c:pt>
                <c:pt idx="133">
                  <c:v>36.299999988000003</c:v>
                </c:pt>
                <c:pt idx="134">
                  <c:v>36.380000016000004</c:v>
                </c:pt>
                <c:pt idx="135">
                  <c:v>36.389999988000007</c:v>
                </c:pt>
                <c:pt idx="136">
                  <c:v>36.450000000000003</c:v>
                </c:pt>
                <c:pt idx="137">
                  <c:v>36.460000008000002</c:v>
                </c:pt>
                <c:pt idx="138">
                  <c:v>36.330000011999999</c:v>
                </c:pt>
                <c:pt idx="139">
                  <c:v>36.249999983999999</c:v>
                </c:pt>
                <c:pt idx="140">
                  <c:v>36.630000000000003</c:v>
                </c:pt>
                <c:pt idx="141">
                  <c:v>39.669999984</c:v>
                </c:pt>
                <c:pt idx="142">
                  <c:v>39.669999984</c:v>
                </c:pt>
                <c:pt idx="143">
                  <c:v>48.129999984000001</c:v>
                </c:pt>
                <c:pt idx="144">
                  <c:v>49.799999988000003</c:v>
                </c:pt>
                <c:pt idx="145">
                  <c:v>49.799999988000003</c:v>
                </c:pt>
                <c:pt idx="146">
                  <c:v>51.170000004000002</c:v>
                </c:pt>
                <c:pt idx="147">
                  <c:v>51.170000004000002</c:v>
                </c:pt>
                <c:pt idx="148">
                  <c:v>52.490000016000003</c:v>
                </c:pt>
                <c:pt idx="149">
                  <c:v>53.499999996</c:v>
                </c:pt>
                <c:pt idx="150">
                  <c:v>53.499999996</c:v>
                </c:pt>
                <c:pt idx="151">
                  <c:v>54.54</c:v>
                </c:pt>
                <c:pt idx="152">
                  <c:v>54.479999987999996</c:v>
                </c:pt>
                <c:pt idx="153">
                  <c:v>54.479999987999996</c:v>
                </c:pt>
                <c:pt idx="154">
                  <c:v>54.569999987999999</c:v>
                </c:pt>
                <c:pt idx="155">
                  <c:v>54</c:v>
                </c:pt>
                <c:pt idx="156">
                  <c:v>53.780000004000001</c:v>
                </c:pt>
                <c:pt idx="157">
                  <c:v>53.750000016000001</c:v>
                </c:pt>
                <c:pt idx="158">
                  <c:v>53.759999988000004</c:v>
                </c:pt>
                <c:pt idx="159">
                  <c:v>53.759999988000004</c:v>
                </c:pt>
                <c:pt idx="160">
                  <c:v>53.719999991999998</c:v>
                </c:pt>
                <c:pt idx="161">
                  <c:v>53.859999995999999</c:v>
                </c:pt>
                <c:pt idx="162">
                  <c:v>53.859999995999999</c:v>
                </c:pt>
                <c:pt idx="163">
                  <c:v>53.420000004000002</c:v>
                </c:pt>
                <c:pt idx="164">
                  <c:v>53.420000004000002</c:v>
                </c:pt>
                <c:pt idx="165">
                  <c:v>52.530000012000002</c:v>
                </c:pt>
                <c:pt idx="166">
                  <c:v>51.019999992000002</c:v>
                </c:pt>
                <c:pt idx="167">
                  <c:v>48.790000008</c:v>
                </c:pt>
                <c:pt idx="168">
                  <c:v>46.53</c:v>
                </c:pt>
                <c:pt idx="169">
                  <c:v>46.53</c:v>
                </c:pt>
                <c:pt idx="170">
                  <c:v>44.210000016000002</c:v>
                </c:pt>
                <c:pt idx="171">
                  <c:v>42.099999984</c:v>
                </c:pt>
                <c:pt idx="172">
                  <c:v>42.099999984</c:v>
                </c:pt>
                <c:pt idx="173">
                  <c:v>40.650000012</c:v>
                </c:pt>
                <c:pt idx="174">
                  <c:v>38.940000011999999</c:v>
                </c:pt>
                <c:pt idx="175">
                  <c:v>38.940000011999999</c:v>
                </c:pt>
                <c:pt idx="176">
                  <c:v>38.940000011999999</c:v>
                </c:pt>
                <c:pt idx="177">
                  <c:v>38.000000016000001</c:v>
                </c:pt>
                <c:pt idx="178">
                  <c:v>37.190000016000006</c:v>
                </c:pt>
                <c:pt idx="179">
                  <c:v>37.190000016000006</c:v>
                </c:pt>
                <c:pt idx="180">
                  <c:v>35.809999999200002</c:v>
                </c:pt>
                <c:pt idx="181">
                  <c:v>34.179999998400007</c:v>
                </c:pt>
                <c:pt idx="182">
                  <c:v>34.179999998400007</c:v>
                </c:pt>
                <c:pt idx="183">
                  <c:v>31.809999999599999</c:v>
                </c:pt>
                <c:pt idx="184">
                  <c:v>29.649999999599999</c:v>
                </c:pt>
                <c:pt idx="185">
                  <c:v>28.019999998799999</c:v>
                </c:pt>
                <c:pt idx="186">
                  <c:v>26.7500000016</c:v>
                </c:pt>
                <c:pt idx="187">
                  <c:v>25.369999999200001</c:v>
                </c:pt>
                <c:pt idx="188">
                  <c:v>22.539999999599999</c:v>
                </c:pt>
                <c:pt idx="189">
                  <c:v>19.469999998799999</c:v>
                </c:pt>
                <c:pt idx="190">
                  <c:v>15.609999999600001</c:v>
                </c:pt>
                <c:pt idx="191">
                  <c:v>15.609999999600001</c:v>
                </c:pt>
                <c:pt idx="192">
                  <c:v>11.720000001600001</c:v>
                </c:pt>
                <c:pt idx="193">
                  <c:v>8.2000000007999994</c:v>
                </c:pt>
                <c:pt idx="194">
                  <c:v>4.7300000004000005</c:v>
                </c:pt>
                <c:pt idx="195">
                  <c:v>1.2999999996</c:v>
                </c:pt>
                <c:pt idx="196">
                  <c:v>0.15000000119999998</c:v>
                </c:pt>
                <c:pt idx="197">
                  <c:v>0</c:v>
                </c:pt>
                <c:pt idx="198">
                  <c:v>1.5099999984000001</c:v>
                </c:pt>
                <c:pt idx="199">
                  <c:v>1.5099999984000001</c:v>
                </c:pt>
                <c:pt idx="200">
                  <c:v>6.1800000011999998</c:v>
                </c:pt>
                <c:pt idx="201">
                  <c:v>10.1599999992</c:v>
                </c:pt>
                <c:pt idx="202">
                  <c:v>10.1599999992</c:v>
                </c:pt>
                <c:pt idx="203">
                  <c:v>14.360000000400001</c:v>
                </c:pt>
                <c:pt idx="204">
                  <c:v>14.360000000400001</c:v>
                </c:pt>
                <c:pt idx="205">
                  <c:v>18.309999999600002</c:v>
                </c:pt>
                <c:pt idx="206">
                  <c:v>21.899999998799998</c:v>
                </c:pt>
                <c:pt idx="207">
                  <c:v>26.1</c:v>
                </c:pt>
                <c:pt idx="208">
                  <c:v>30.219999998399999</c:v>
                </c:pt>
                <c:pt idx="209">
                  <c:v>34.409999998800004</c:v>
                </c:pt>
                <c:pt idx="210">
                  <c:v>38.549999988000003</c:v>
                </c:pt>
                <c:pt idx="211">
                  <c:v>42.170000004000002</c:v>
                </c:pt>
                <c:pt idx="212">
                  <c:v>44.920000008000002</c:v>
                </c:pt>
                <c:pt idx="213">
                  <c:v>46.869999983999996</c:v>
                </c:pt>
                <c:pt idx="214">
                  <c:v>48.290000004000007</c:v>
                </c:pt>
                <c:pt idx="215">
                  <c:v>49.830000011999999</c:v>
                </c:pt>
                <c:pt idx="216">
                  <c:v>51.329999987999997</c:v>
                </c:pt>
                <c:pt idx="217">
                  <c:v>52.070000004000001</c:v>
                </c:pt>
                <c:pt idx="218">
                  <c:v>52.840000007999997</c:v>
                </c:pt>
                <c:pt idx="219">
                  <c:v>52.840000007999997</c:v>
                </c:pt>
                <c:pt idx="220">
                  <c:v>53.560000008000003</c:v>
                </c:pt>
                <c:pt idx="221">
                  <c:v>53.560000008000003</c:v>
                </c:pt>
                <c:pt idx="222">
                  <c:v>55.069999992</c:v>
                </c:pt>
                <c:pt idx="223">
                  <c:v>55.839999996000003</c:v>
                </c:pt>
                <c:pt idx="224">
                  <c:v>55.839999996000003</c:v>
                </c:pt>
                <c:pt idx="225">
                  <c:v>56.840000004000004</c:v>
                </c:pt>
                <c:pt idx="226">
                  <c:v>56.840000004000004</c:v>
                </c:pt>
                <c:pt idx="227">
                  <c:v>57.099999996000001</c:v>
                </c:pt>
                <c:pt idx="228">
                  <c:v>56.940000011999999</c:v>
                </c:pt>
                <c:pt idx="229">
                  <c:v>56.649999995999998</c:v>
                </c:pt>
                <c:pt idx="230">
                  <c:v>56.400000012</c:v>
                </c:pt>
                <c:pt idx="231">
                  <c:v>56.260000008000006</c:v>
                </c:pt>
                <c:pt idx="232">
                  <c:v>55.940000004000005</c:v>
                </c:pt>
                <c:pt idx="233">
                  <c:v>55.680000012000001</c:v>
                </c:pt>
                <c:pt idx="234">
                  <c:v>55.580000003999999</c:v>
                </c:pt>
                <c:pt idx="235">
                  <c:v>55.580000003999999</c:v>
                </c:pt>
                <c:pt idx="236">
                  <c:v>55.320000012000001</c:v>
                </c:pt>
                <c:pt idx="237">
                  <c:v>54.609999983999998</c:v>
                </c:pt>
                <c:pt idx="238">
                  <c:v>54.609999983999998</c:v>
                </c:pt>
                <c:pt idx="239">
                  <c:v>53.949999996000003</c:v>
                </c:pt>
                <c:pt idx="240">
                  <c:v>53.949999996000003</c:v>
                </c:pt>
                <c:pt idx="241">
                  <c:v>53.01</c:v>
                </c:pt>
                <c:pt idx="242">
                  <c:v>53.01</c:v>
                </c:pt>
                <c:pt idx="243">
                  <c:v>51.509999988000004</c:v>
                </c:pt>
                <c:pt idx="244">
                  <c:v>50.270000004000003</c:v>
                </c:pt>
                <c:pt idx="245">
                  <c:v>48.890000016000002</c:v>
                </c:pt>
                <c:pt idx="246">
                  <c:v>47.890000008000001</c:v>
                </c:pt>
                <c:pt idx="247">
                  <c:v>46.919999988000001</c:v>
                </c:pt>
                <c:pt idx="248">
                  <c:v>45.309999995999995</c:v>
                </c:pt>
                <c:pt idx="249">
                  <c:v>43.689999995999997</c:v>
                </c:pt>
                <c:pt idx="250">
                  <c:v>42.760000008000006</c:v>
                </c:pt>
                <c:pt idx="251">
                  <c:v>41.540000004000007</c:v>
                </c:pt>
                <c:pt idx="252">
                  <c:v>39.849999984</c:v>
                </c:pt>
                <c:pt idx="253">
                  <c:v>38.149999992000005</c:v>
                </c:pt>
                <c:pt idx="254">
                  <c:v>35.979999998400004</c:v>
                </c:pt>
                <c:pt idx="255">
                  <c:v>32.900000000400006</c:v>
                </c:pt>
                <c:pt idx="256">
                  <c:v>30.859999999200003</c:v>
                </c:pt>
                <c:pt idx="257">
                  <c:v>30.859999999200003</c:v>
                </c:pt>
                <c:pt idx="258">
                  <c:v>27.870000001199998</c:v>
                </c:pt>
                <c:pt idx="259">
                  <c:v>27.870000001199998</c:v>
                </c:pt>
                <c:pt idx="260">
                  <c:v>24.400000000799999</c:v>
                </c:pt>
                <c:pt idx="261">
                  <c:v>21.200000000400003</c:v>
                </c:pt>
                <c:pt idx="262">
                  <c:v>18.2300000004</c:v>
                </c:pt>
                <c:pt idx="263">
                  <c:v>15.120000000000001</c:v>
                </c:pt>
                <c:pt idx="264">
                  <c:v>12.0800000016</c:v>
                </c:pt>
                <c:pt idx="265">
                  <c:v>10.280000001600001</c:v>
                </c:pt>
                <c:pt idx="266">
                  <c:v>10.280000001600001</c:v>
                </c:pt>
                <c:pt idx="267">
                  <c:v>9.1500000012000005</c:v>
                </c:pt>
                <c:pt idx="268">
                  <c:v>8.1399999996000005</c:v>
                </c:pt>
                <c:pt idx="269">
                  <c:v>8.1399999996000005</c:v>
                </c:pt>
                <c:pt idx="270">
                  <c:v>7.1399999988000005</c:v>
                </c:pt>
                <c:pt idx="271">
                  <c:v>6.39</c:v>
                </c:pt>
                <c:pt idx="272">
                  <c:v>6.39</c:v>
                </c:pt>
                <c:pt idx="273">
                  <c:v>5.1000000012000006</c:v>
                </c:pt>
                <c:pt idx="274">
                  <c:v>4.8399999984000006</c:v>
                </c:pt>
                <c:pt idx="275">
                  <c:v>5.1000000012000006</c:v>
                </c:pt>
                <c:pt idx="276">
                  <c:v>5.2899999984000008</c:v>
                </c:pt>
                <c:pt idx="277">
                  <c:v>5.5000000008000001</c:v>
                </c:pt>
                <c:pt idx="278">
                  <c:v>5.5000000008000001</c:v>
                </c:pt>
                <c:pt idx="279">
                  <c:v>4.6699999991999999</c:v>
                </c:pt>
                <c:pt idx="280">
                  <c:v>4.6699999991999999</c:v>
                </c:pt>
                <c:pt idx="281">
                  <c:v>4.6699999991999999</c:v>
                </c:pt>
                <c:pt idx="282">
                  <c:v>0.60999999839999997</c:v>
                </c:pt>
                <c:pt idx="283">
                  <c:v>0.50000000039999992</c:v>
                </c:pt>
                <c:pt idx="284">
                  <c:v>0.50000000039999992</c:v>
                </c:pt>
                <c:pt idx="285">
                  <c:v>0</c:v>
                </c:pt>
                <c:pt idx="286">
                  <c:v>2.5599999996</c:v>
                </c:pt>
                <c:pt idx="287">
                  <c:v>2.5599999996</c:v>
                </c:pt>
                <c:pt idx="288">
                  <c:v>6.8100000011999997</c:v>
                </c:pt>
                <c:pt idx="289">
                  <c:v>10.730000001600001</c:v>
                </c:pt>
                <c:pt idx="290">
                  <c:v>14.860000000799999</c:v>
                </c:pt>
                <c:pt idx="291">
                  <c:v>18.9799999992</c:v>
                </c:pt>
                <c:pt idx="292">
                  <c:v>22.849999999200001</c:v>
                </c:pt>
                <c:pt idx="293">
                  <c:v>22.849999999200001</c:v>
                </c:pt>
                <c:pt idx="294">
                  <c:v>22.849999999200001</c:v>
                </c:pt>
                <c:pt idx="295">
                  <c:v>26.799999998400001</c:v>
                </c:pt>
                <c:pt idx="296">
                  <c:v>31.280000000399998</c:v>
                </c:pt>
                <c:pt idx="297">
                  <c:v>34.790000000400006</c:v>
                </c:pt>
                <c:pt idx="298">
                  <c:v>38.570000004000001</c:v>
                </c:pt>
                <c:pt idx="299">
                  <c:v>40.569999983999999</c:v>
                </c:pt>
                <c:pt idx="300">
                  <c:v>42.739999992000001</c:v>
                </c:pt>
                <c:pt idx="301">
                  <c:v>44.880000012000004</c:v>
                </c:pt>
                <c:pt idx="302">
                  <c:v>44.880000012000004</c:v>
                </c:pt>
                <c:pt idx="303">
                  <c:v>48.250000008000001</c:v>
                </c:pt>
                <c:pt idx="304">
                  <c:v>49.470000012000007</c:v>
                </c:pt>
                <c:pt idx="305">
                  <c:v>50.4</c:v>
                </c:pt>
                <c:pt idx="306">
                  <c:v>50.4</c:v>
                </c:pt>
                <c:pt idx="307">
                  <c:v>51.320000016000002</c:v>
                </c:pt>
                <c:pt idx="308">
                  <c:v>52.220000016</c:v>
                </c:pt>
                <c:pt idx="309">
                  <c:v>52.779999996000001</c:v>
                </c:pt>
                <c:pt idx="310">
                  <c:v>53.28</c:v>
                </c:pt>
                <c:pt idx="311">
                  <c:v>53.510000003999998</c:v>
                </c:pt>
                <c:pt idx="312">
                  <c:v>53.830000007999999</c:v>
                </c:pt>
                <c:pt idx="313">
                  <c:v>53.920000008000002</c:v>
                </c:pt>
                <c:pt idx="314">
                  <c:v>54.050000004000005</c:v>
                </c:pt>
                <c:pt idx="315">
                  <c:v>54.240000012000003</c:v>
                </c:pt>
                <c:pt idx="316">
                  <c:v>54.240000012000003</c:v>
                </c:pt>
                <c:pt idx="317">
                  <c:v>54.54</c:v>
                </c:pt>
                <c:pt idx="318">
                  <c:v>54.54</c:v>
                </c:pt>
                <c:pt idx="319">
                  <c:v>54.650000016</c:v>
                </c:pt>
                <c:pt idx="320">
                  <c:v>54.650000016</c:v>
                </c:pt>
                <c:pt idx="321">
                  <c:v>54.81</c:v>
                </c:pt>
                <c:pt idx="322">
                  <c:v>54.81</c:v>
                </c:pt>
                <c:pt idx="323">
                  <c:v>54.519999983999995</c:v>
                </c:pt>
                <c:pt idx="324">
                  <c:v>54.010000008000006</c:v>
                </c:pt>
                <c:pt idx="325">
                  <c:v>53.880000012000004</c:v>
                </c:pt>
                <c:pt idx="326">
                  <c:v>53.709999984</c:v>
                </c:pt>
                <c:pt idx="327">
                  <c:v>53.480000016000005</c:v>
                </c:pt>
                <c:pt idx="328">
                  <c:v>52.999999992000006</c:v>
                </c:pt>
                <c:pt idx="329">
                  <c:v>52.300000007999998</c:v>
                </c:pt>
                <c:pt idx="330">
                  <c:v>52.300000007999998</c:v>
                </c:pt>
                <c:pt idx="331">
                  <c:v>52.300000007999998</c:v>
                </c:pt>
                <c:pt idx="332">
                  <c:v>51.549999984000003</c:v>
                </c:pt>
                <c:pt idx="333">
                  <c:v>51.549999984000003</c:v>
                </c:pt>
                <c:pt idx="334">
                  <c:v>51.159999995999996</c:v>
                </c:pt>
                <c:pt idx="335">
                  <c:v>51.159999995999996</c:v>
                </c:pt>
                <c:pt idx="336">
                  <c:v>51.159999995999996</c:v>
                </c:pt>
                <c:pt idx="337">
                  <c:v>50.510000015999999</c:v>
                </c:pt>
                <c:pt idx="338">
                  <c:v>50.510000015999999</c:v>
                </c:pt>
                <c:pt idx="339">
                  <c:v>50.339999988000002</c:v>
                </c:pt>
                <c:pt idx="340">
                  <c:v>50.339999988000002</c:v>
                </c:pt>
                <c:pt idx="341">
                  <c:v>49.759999992000004</c:v>
                </c:pt>
                <c:pt idx="342">
                  <c:v>49.759999992000004</c:v>
                </c:pt>
                <c:pt idx="343">
                  <c:v>48.87</c:v>
                </c:pt>
                <c:pt idx="344">
                  <c:v>48.200000004000003</c:v>
                </c:pt>
                <c:pt idx="345">
                  <c:v>48.200000004000003</c:v>
                </c:pt>
                <c:pt idx="346">
                  <c:v>47.670000012000003</c:v>
                </c:pt>
                <c:pt idx="347">
                  <c:v>47.199999996000003</c:v>
                </c:pt>
                <c:pt idx="348">
                  <c:v>47.199999996000003</c:v>
                </c:pt>
                <c:pt idx="349">
                  <c:v>46.770000012000004</c:v>
                </c:pt>
                <c:pt idx="350">
                  <c:v>46.26</c:v>
                </c:pt>
                <c:pt idx="351">
                  <c:v>46.26</c:v>
                </c:pt>
                <c:pt idx="352">
                  <c:v>46.479999996000004</c:v>
                </c:pt>
                <c:pt idx="353">
                  <c:v>46.119999996000004</c:v>
                </c:pt>
                <c:pt idx="354">
                  <c:v>46.119999996000004</c:v>
                </c:pt>
                <c:pt idx="355">
                  <c:v>45.849999996000001</c:v>
                </c:pt>
                <c:pt idx="356">
                  <c:v>45.849999996000001</c:v>
                </c:pt>
                <c:pt idx="357">
                  <c:v>44.390000016000002</c:v>
                </c:pt>
                <c:pt idx="358">
                  <c:v>44.390000016000002</c:v>
                </c:pt>
                <c:pt idx="359">
                  <c:v>42.699999996000003</c:v>
                </c:pt>
                <c:pt idx="360">
                  <c:v>41.289999984000005</c:v>
                </c:pt>
                <c:pt idx="361">
                  <c:v>39.120000012000006</c:v>
                </c:pt>
                <c:pt idx="362">
                  <c:v>37.080000000000005</c:v>
                </c:pt>
                <c:pt idx="363">
                  <c:v>37.080000000000005</c:v>
                </c:pt>
                <c:pt idx="364">
                  <c:v>37.080000000000005</c:v>
                </c:pt>
                <c:pt idx="365">
                  <c:v>37.080000000000005</c:v>
                </c:pt>
                <c:pt idx="366">
                  <c:v>36.219999996000006</c:v>
                </c:pt>
                <c:pt idx="367">
                  <c:v>36.269999999999996</c:v>
                </c:pt>
                <c:pt idx="368">
                  <c:v>36.200000016000004</c:v>
                </c:pt>
                <c:pt idx="369">
                  <c:v>36.249999983999999</c:v>
                </c:pt>
                <c:pt idx="370">
                  <c:v>36.510000011999999</c:v>
                </c:pt>
                <c:pt idx="371">
                  <c:v>36.9</c:v>
                </c:pt>
                <c:pt idx="372">
                  <c:v>37.130000003999996</c:v>
                </c:pt>
                <c:pt idx="373">
                  <c:v>37.900000007999999</c:v>
                </c:pt>
                <c:pt idx="374">
                  <c:v>38.310000011999996</c:v>
                </c:pt>
                <c:pt idx="375">
                  <c:v>38.310000011999996</c:v>
                </c:pt>
                <c:pt idx="376">
                  <c:v>39.039999984000005</c:v>
                </c:pt>
                <c:pt idx="377">
                  <c:v>39.020000004000003</c:v>
                </c:pt>
                <c:pt idx="378">
                  <c:v>39.06</c:v>
                </c:pt>
                <c:pt idx="379">
                  <c:v>39.06</c:v>
                </c:pt>
                <c:pt idx="380">
                  <c:v>39.030000012000002</c:v>
                </c:pt>
                <c:pt idx="381">
                  <c:v>38.940000011999999</c:v>
                </c:pt>
                <c:pt idx="382">
                  <c:v>38.940000011999999</c:v>
                </c:pt>
                <c:pt idx="383">
                  <c:v>38.909999988000003</c:v>
                </c:pt>
                <c:pt idx="384">
                  <c:v>38.909999988000003</c:v>
                </c:pt>
                <c:pt idx="385">
                  <c:v>38.909999988000003</c:v>
                </c:pt>
                <c:pt idx="386">
                  <c:v>38.909999988000003</c:v>
                </c:pt>
                <c:pt idx="387">
                  <c:v>38.620000008000005</c:v>
                </c:pt>
                <c:pt idx="388">
                  <c:v>38.319999983999999</c:v>
                </c:pt>
                <c:pt idx="389">
                  <c:v>38.009999988000004</c:v>
                </c:pt>
                <c:pt idx="390">
                  <c:v>38.009999988000004</c:v>
                </c:pt>
                <c:pt idx="391">
                  <c:v>38.009999988000004</c:v>
                </c:pt>
                <c:pt idx="392">
                  <c:v>37.249999992000006</c:v>
                </c:pt>
                <c:pt idx="393">
                  <c:v>37.249999992000006</c:v>
                </c:pt>
                <c:pt idx="394">
                  <c:v>37.249999992000006</c:v>
                </c:pt>
                <c:pt idx="395">
                  <c:v>36.290000016</c:v>
                </c:pt>
                <c:pt idx="396">
                  <c:v>34.980000001200004</c:v>
                </c:pt>
                <c:pt idx="397">
                  <c:v>33.080000000399998</c:v>
                </c:pt>
                <c:pt idx="398">
                  <c:v>30.8400000012</c:v>
                </c:pt>
                <c:pt idx="399">
                  <c:v>29.199999999599999</c:v>
                </c:pt>
                <c:pt idx="400">
                  <c:v>28.149999998400002</c:v>
                </c:pt>
                <c:pt idx="401">
                  <c:v>28.149999998400002</c:v>
                </c:pt>
                <c:pt idx="402">
                  <c:v>24.860000001600003</c:v>
                </c:pt>
                <c:pt idx="403">
                  <c:v>22.8899999988</c:v>
                </c:pt>
                <c:pt idx="404">
                  <c:v>20.869999999200001</c:v>
                </c:pt>
                <c:pt idx="405">
                  <c:v>20.869999999200001</c:v>
                </c:pt>
                <c:pt idx="406">
                  <c:v>18.900000000000002</c:v>
                </c:pt>
                <c:pt idx="407">
                  <c:v>18.900000000000002</c:v>
                </c:pt>
                <c:pt idx="408">
                  <c:v>18.439999999200001</c:v>
                </c:pt>
                <c:pt idx="409">
                  <c:v>18.2300000004</c:v>
                </c:pt>
                <c:pt idx="410">
                  <c:v>18.5900000004</c:v>
                </c:pt>
                <c:pt idx="411">
                  <c:v>19.389999999600001</c:v>
                </c:pt>
                <c:pt idx="412">
                  <c:v>19.389999999600001</c:v>
                </c:pt>
                <c:pt idx="413">
                  <c:v>20.300000000400001</c:v>
                </c:pt>
                <c:pt idx="414">
                  <c:v>21.099999999599998</c:v>
                </c:pt>
                <c:pt idx="415">
                  <c:v>21.700000000799999</c:v>
                </c:pt>
                <c:pt idx="416">
                  <c:v>21.8199999996</c:v>
                </c:pt>
                <c:pt idx="417">
                  <c:v>21.8199999996</c:v>
                </c:pt>
                <c:pt idx="418">
                  <c:v>21.6</c:v>
                </c:pt>
                <c:pt idx="419">
                  <c:v>21.6</c:v>
                </c:pt>
                <c:pt idx="420">
                  <c:v>21.6</c:v>
                </c:pt>
                <c:pt idx="421">
                  <c:v>19.140000001200001</c:v>
                </c:pt>
                <c:pt idx="422">
                  <c:v>17.039999998799999</c:v>
                </c:pt>
                <c:pt idx="423">
                  <c:v>14.460000001200001</c:v>
                </c:pt>
                <c:pt idx="424">
                  <c:v>14.460000001200001</c:v>
                </c:pt>
                <c:pt idx="425">
                  <c:v>14.460000001200001</c:v>
                </c:pt>
                <c:pt idx="426">
                  <c:v>8.6199999983999991</c:v>
                </c:pt>
                <c:pt idx="427">
                  <c:v>8.6199999983999991</c:v>
                </c:pt>
                <c:pt idx="428">
                  <c:v>3.2799999995999998</c:v>
                </c:pt>
                <c:pt idx="429">
                  <c:v>0.78999999840000001</c:v>
                </c:pt>
                <c:pt idx="430">
                  <c:v>0.38999999880000003</c:v>
                </c:pt>
                <c:pt idx="431">
                  <c:v>0.38999999880000003</c:v>
                </c:pt>
                <c:pt idx="432">
                  <c:v>0.88999999919999995</c:v>
                </c:pt>
                <c:pt idx="433">
                  <c:v>0.88999999919999995</c:v>
                </c:pt>
                <c:pt idx="434">
                  <c:v>3.06</c:v>
                </c:pt>
                <c:pt idx="435">
                  <c:v>7.1600000004000002</c:v>
                </c:pt>
                <c:pt idx="436">
                  <c:v>7.1600000004000002</c:v>
                </c:pt>
                <c:pt idx="437">
                  <c:v>12.6</c:v>
                </c:pt>
                <c:pt idx="438">
                  <c:v>12.6</c:v>
                </c:pt>
                <c:pt idx="439">
                  <c:v>17.960000000400001</c:v>
                </c:pt>
                <c:pt idx="440">
                  <c:v>19.720000000800002</c:v>
                </c:pt>
                <c:pt idx="441">
                  <c:v>22.690000000800001</c:v>
                </c:pt>
                <c:pt idx="442">
                  <c:v>26.200000000799999</c:v>
                </c:pt>
                <c:pt idx="443">
                  <c:v>29.400000001199999</c:v>
                </c:pt>
                <c:pt idx="444">
                  <c:v>29.400000001199999</c:v>
                </c:pt>
                <c:pt idx="445">
                  <c:v>32.709999999600001</c:v>
                </c:pt>
                <c:pt idx="446">
                  <c:v>33.689999998799998</c:v>
                </c:pt>
                <c:pt idx="447">
                  <c:v>33.410000001599997</c:v>
                </c:pt>
                <c:pt idx="448">
                  <c:v>33.410000001599997</c:v>
                </c:pt>
                <c:pt idx="449">
                  <c:v>33.339999999600003</c:v>
                </c:pt>
                <c:pt idx="450">
                  <c:v>33.339999999600003</c:v>
                </c:pt>
                <c:pt idx="451">
                  <c:v>32.910000001200004</c:v>
                </c:pt>
                <c:pt idx="452">
                  <c:v>32.910000001200004</c:v>
                </c:pt>
                <c:pt idx="453">
                  <c:v>32.870000001599998</c:v>
                </c:pt>
                <c:pt idx="454">
                  <c:v>32.979999999600004</c:v>
                </c:pt>
                <c:pt idx="455">
                  <c:v>32.979999999600004</c:v>
                </c:pt>
                <c:pt idx="456">
                  <c:v>32.979999999600004</c:v>
                </c:pt>
                <c:pt idx="457">
                  <c:v>32.979999999600004</c:v>
                </c:pt>
                <c:pt idx="458">
                  <c:v>34.120000000800005</c:v>
                </c:pt>
                <c:pt idx="459">
                  <c:v>34.120000000800005</c:v>
                </c:pt>
                <c:pt idx="460">
                  <c:v>33.909999998400004</c:v>
                </c:pt>
                <c:pt idx="461">
                  <c:v>33.940000000799998</c:v>
                </c:pt>
                <c:pt idx="462">
                  <c:v>33.310000000800002</c:v>
                </c:pt>
                <c:pt idx="463">
                  <c:v>32.919999998400002</c:v>
                </c:pt>
                <c:pt idx="464">
                  <c:v>32.5699999992</c:v>
                </c:pt>
                <c:pt idx="465">
                  <c:v>32.230000000799997</c:v>
                </c:pt>
                <c:pt idx="466">
                  <c:v>32.289999998400006</c:v>
                </c:pt>
                <c:pt idx="467">
                  <c:v>32.280000001200001</c:v>
                </c:pt>
                <c:pt idx="468">
                  <c:v>32.109999998399999</c:v>
                </c:pt>
                <c:pt idx="469">
                  <c:v>32.090000000400003</c:v>
                </c:pt>
                <c:pt idx="470">
                  <c:v>32.199999998400003</c:v>
                </c:pt>
                <c:pt idx="471">
                  <c:v>32.339999998799996</c:v>
                </c:pt>
                <c:pt idx="472">
                  <c:v>32.49</c:v>
                </c:pt>
                <c:pt idx="473">
                  <c:v>32.770000000800003</c:v>
                </c:pt>
                <c:pt idx="474">
                  <c:v>33.170000000400002</c:v>
                </c:pt>
                <c:pt idx="475">
                  <c:v>33.419999998800002</c:v>
                </c:pt>
                <c:pt idx="476">
                  <c:v>33.919999999200002</c:v>
                </c:pt>
                <c:pt idx="477">
                  <c:v>33.919999999200002</c:v>
                </c:pt>
                <c:pt idx="478">
                  <c:v>40.970000016</c:v>
                </c:pt>
                <c:pt idx="479">
                  <c:v>45.399999995999998</c:v>
                </c:pt>
                <c:pt idx="480">
                  <c:v>47.7</c:v>
                </c:pt>
                <c:pt idx="481">
                  <c:v>47.7</c:v>
                </c:pt>
                <c:pt idx="482">
                  <c:v>51.540000012</c:v>
                </c:pt>
                <c:pt idx="483">
                  <c:v>51.540000012</c:v>
                </c:pt>
                <c:pt idx="484">
                  <c:v>52.080000011999999</c:v>
                </c:pt>
                <c:pt idx="485">
                  <c:v>52.409999988000003</c:v>
                </c:pt>
                <c:pt idx="486">
                  <c:v>52.819999992</c:v>
                </c:pt>
                <c:pt idx="487">
                  <c:v>52.940000016000006</c:v>
                </c:pt>
                <c:pt idx="488">
                  <c:v>52.940000016000006</c:v>
                </c:pt>
                <c:pt idx="489">
                  <c:v>52.959999996000001</c:v>
                </c:pt>
                <c:pt idx="490">
                  <c:v>52.840000007999997</c:v>
                </c:pt>
                <c:pt idx="491">
                  <c:v>52.729999992000003</c:v>
                </c:pt>
                <c:pt idx="492">
                  <c:v>52.729999992000003</c:v>
                </c:pt>
                <c:pt idx="493">
                  <c:v>52.729999992000003</c:v>
                </c:pt>
                <c:pt idx="494">
                  <c:v>52.549999992000004</c:v>
                </c:pt>
                <c:pt idx="495">
                  <c:v>52.549999992000004</c:v>
                </c:pt>
                <c:pt idx="496">
                  <c:v>51.000000012000001</c:v>
                </c:pt>
                <c:pt idx="497">
                  <c:v>49.190000004000005</c:v>
                </c:pt>
                <c:pt idx="498">
                  <c:v>47.720000016</c:v>
                </c:pt>
                <c:pt idx="499">
                  <c:v>47.720000016</c:v>
                </c:pt>
                <c:pt idx="500">
                  <c:v>46.540000008</c:v>
                </c:pt>
                <c:pt idx="501">
                  <c:v>44.200000007999996</c:v>
                </c:pt>
                <c:pt idx="502">
                  <c:v>41.280000012000002</c:v>
                </c:pt>
                <c:pt idx="503">
                  <c:v>41.280000012000002</c:v>
                </c:pt>
                <c:pt idx="504">
                  <c:v>35.060000000400002</c:v>
                </c:pt>
                <c:pt idx="505">
                  <c:v>35.060000000400002</c:v>
                </c:pt>
                <c:pt idx="506">
                  <c:v>29.509999999200001</c:v>
                </c:pt>
                <c:pt idx="507">
                  <c:v>27.439999999200001</c:v>
                </c:pt>
                <c:pt idx="508">
                  <c:v>27.439999999200001</c:v>
                </c:pt>
                <c:pt idx="509">
                  <c:v>25.11</c:v>
                </c:pt>
                <c:pt idx="510">
                  <c:v>23.079999999600002</c:v>
                </c:pt>
                <c:pt idx="511">
                  <c:v>21.179999998800003</c:v>
                </c:pt>
                <c:pt idx="512">
                  <c:v>19.98</c:v>
                </c:pt>
                <c:pt idx="513">
                  <c:v>19.98</c:v>
                </c:pt>
                <c:pt idx="514">
                  <c:v>19.98</c:v>
                </c:pt>
                <c:pt idx="515">
                  <c:v>18.119999998800001</c:v>
                </c:pt>
                <c:pt idx="516">
                  <c:v>15.630000001200001</c:v>
                </c:pt>
                <c:pt idx="517">
                  <c:v>12.6</c:v>
                </c:pt>
                <c:pt idx="518">
                  <c:v>9.7999999992000006</c:v>
                </c:pt>
                <c:pt idx="519">
                  <c:v>6.9699999995999997</c:v>
                </c:pt>
                <c:pt idx="520">
                  <c:v>3.8300000004000001</c:v>
                </c:pt>
                <c:pt idx="521">
                  <c:v>3.8300000004000001</c:v>
                </c:pt>
                <c:pt idx="522">
                  <c:v>3.8300000004000001</c:v>
                </c:pt>
                <c:pt idx="523">
                  <c:v>1.4500000008</c:v>
                </c:pt>
                <c:pt idx="524">
                  <c:v>0.46000000080000003</c:v>
                </c:pt>
                <c:pt idx="525">
                  <c:v>0.46000000080000003</c:v>
                </c:pt>
                <c:pt idx="526">
                  <c:v>2.1399999984</c:v>
                </c:pt>
                <c:pt idx="527">
                  <c:v>2.1399999984</c:v>
                </c:pt>
                <c:pt idx="528">
                  <c:v>5.7600000000000007</c:v>
                </c:pt>
                <c:pt idx="529">
                  <c:v>5.7600000000000007</c:v>
                </c:pt>
                <c:pt idx="530">
                  <c:v>10.199999998800001</c:v>
                </c:pt>
                <c:pt idx="531">
                  <c:v>14.0000000004</c:v>
                </c:pt>
                <c:pt idx="532">
                  <c:v>18.380000001599999</c:v>
                </c:pt>
                <c:pt idx="533">
                  <c:v>22.41</c:v>
                </c:pt>
                <c:pt idx="534">
                  <c:v>22.41</c:v>
                </c:pt>
                <c:pt idx="535">
                  <c:v>22.41</c:v>
                </c:pt>
                <c:pt idx="536">
                  <c:v>31.0899999996</c:v>
                </c:pt>
                <c:pt idx="537">
                  <c:v>35.550000000000004</c:v>
                </c:pt>
                <c:pt idx="538">
                  <c:v>39.719999987999998</c:v>
                </c:pt>
                <c:pt idx="539">
                  <c:v>39.719999987999998</c:v>
                </c:pt>
                <c:pt idx="540">
                  <c:v>39.719999987999998</c:v>
                </c:pt>
                <c:pt idx="541">
                  <c:v>43.220000016</c:v>
                </c:pt>
                <c:pt idx="542">
                  <c:v>45.889999992</c:v>
                </c:pt>
                <c:pt idx="543">
                  <c:v>48.51</c:v>
                </c:pt>
                <c:pt idx="544">
                  <c:v>50.659999992000003</c:v>
                </c:pt>
                <c:pt idx="545">
                  <c:v>50.659999992000003</c:v>
                </c:pt>
                <c:pt idx="546">
                  <c:v>52.880000003999996</c:v>
                </c:pt>
                <c:pt idx="547">
                  <c:v>55.199999988000002</c:v>
                </c:pt>
                <c:pt idx="548">
                  <c:v>56.949999984000002</c:v>
                </c:pt>
                <c:pt idx="549">
                  <c:v>57.710000016000002</c:v>
                </c:pt>
                <c:pt idx="550">
                  <c:v>58.29999998400001</c:v>
                </c:pt>
                <c:pt idx="551">
                  <c:v>58.29999998400001</c:v>
                </c:pt>
                <c:pt idx="552">
                  <c:v>59.259999996000005</c:v>
                </c:pt>
                <c:pt idx="553">
                  <c:v>59.450000004000003</c:v>
                </c:pt>
                <c:pt idx="554">
                  <c:v>59.810000003999995</c:v>
                </c:pt>
                <c:pt idx="555">
                  <c:v>60.009999983999997</c:v>
                </c:pt>
                <c:pt idx="556">
                  <c:v>60.009999983999997</c:v>
                </c:pt>
                <c:pt idx="557">
                  <c:v>60.009999983999997</c:v>
                </c:pt>
                <c:pt idx="558">
                  <c:v>59.370000012000006</c:v>
                </c:pt>
                <c:pt idx="559">
                  <c:v>58.830000011999999</c:v>
                </c:pt>
                <c:pt idx="560">
                  <c:v>58.830000011999999</c:v>
                </c:pt>
                <c:pt idx="561">
                  <c:v>58.830000011999999</c:v>
                </c:pt>
                <c:pt idx="562">
                  <c:v>58.259999988000004</c:v>
                </c:pt>
                <c:pt idx="563">
                  <c:v>56.549999988000003</c:v>
                </c:pt>
                <c:pt idx="564">
                  <c:v>56.549999988000003</c:v>
                </c:pt>
                <c:pt idx="565">
                  <c:v>53.849999988</c:v>
                </c:pt>
                <c:pt idx="566">
                  <c:v>52.2</c:v>
                </c:pt>
                <c:pt idx="567">
                  <c:v>51.069999996</c:v>
                </c:pt>
                <c:pt idx="568">
                  <c:v>51.069999996</c:v>
                </c:pt>
                <c:pt idx="569">
                  <c:v>49.970000016</c:v>
                </c:pt>
                <c:pt idx="570">
                  <c:v>48.170000015999996</c:v>
                </c:pt>
                <c:pt idx="571">
                  <c:v>48.170000015999996</c:v>
                </c:pt>
                <c:pt idx="572">
                  <c:v>48.170000015999996</c:v>
                </c:pt>
                <c:pt idx="573">
                  <c:v>47.180000016000001</c:v>
                </c:pt>
                <c:pt idx="574">
                  <c:v>46.940000004000005</c:v>
                </c:pt>
                <c:pt idx="575">
                  <c:v>46.940000004000005</c:v>
                </c:pt>
                <c:pt idx="576">
                  <c:v>46.940000004000005</c:v>
                </c:pt>
                <c:pt idx="577">
                  <c:v>47.409999984000002</c:v>
                </c:pt>
                <c:pt idx="578">
                  <c:v>48.650000004000006</c:v>
                </c:pt>
                <c:pt idx="579">
                  <c:v>49.719999996000006</c:v>
                </c:pt>
                <c:pt idx="580">
                  <c:v>50.820000012000001</c:v>
                </c:pt>
                <c:pt idx="581">
                  <c:v>53.250000012000001</c:v>
                </c:pt>
                <c:pt idx="582">
                  <c:v>56.229999984000003</c:v>
                </c:pt>
                <c:pt idx="583">
                  <c:v>58.830000011999999</c:v>
                </c:pt>
                <c:pt idx="584">
                  <c:v>58.830000011999999</c:v>
                </c:pt>
                <c:pt idx="585">
                  <c:v>61.430000004000007</c:v>
                </c:pt>
                <c:pt idx="586">
                  <c:v>62.650000008000006</c:v>
                </c:pt>
                <c:pt idx="587">
                  <c:v>62.650000008000006</c:v>
                </c:pt>
                <c:pt idx="588">
                  <c:v>62.650000008000006</c:v>
                </c:pt>
                <c:pt idx="589">
                  <c:v>63.879999983999994</c:v>
                </c:pt>
                <c:pt idx="590">
                  <c:v>63.879999983999994</c:v>
                </c:pt>
                <c:pt idx="591">
                  <c:v>64.260000000000005</c:v>
                </c:pt>
                <c:pt idx="592">
                  <c:v>64.829999987999997</c:v>
                </c:pt>
                <c:pt idx="593">
                  <c:v>65.000000016000001</c:v>
                </c:pt>
                <c:pt idx="594">
                  <c:v>65.189999988000011</c:v>
                </c:pt>
                <c:pt idx="595">
                  <c:v>65.109999995999999</c:v>
                </c:pt>
                <c:pt idx="596">
                  <c:v>64.760000003999991</c:v>
                </c:pt>
                <c:pt idx="597">
                  <c:v>64.779999984</c:v>
                </c:pt>
                <c:pt idx="598">
                  <c:v>64.89</c:v>
                </c:pt>
                <c:pt idx="599">
                  <c:v>65.030000004000001</c:v>
                </c:pt>
                <c:pt idx="600">
                  <c:v>65.180000015999994</c:v>
                </c:pt>
                <c:pt idx="601">
                  <c:v>65.189999988000011</c:v>
                </c:pt>
                <c:pt idx="602">
                  <c:v>65.409999983999995</c:v>
                </c:pt>
                <c:pt idx="603">
                  <c:v>65.490000011999996</c:v>
                </c:pt>
                <c:pt idx="604">
                  <c:v>65.580000011999999</c:v>
                </c:pt>
                <c:pt idx="605">
                  <c:v>65.580000011999999</c:v>
                </c:pt>
                <c:pt idx="606">
                  <c:v>65.800000008000012</c:v>
                </c:pt>
                <c:pt idx="607">
                  <c:v>65.769999984000009</c:v>
                </c:pt>
                <c:pt idx="608">
                  <c:v>65.750000004</c:v>
                </c:pt>
                <c:pt idx="609">
                  <c:v>65.980000008000005</c:v>
                </c:pt>
                <c:pt idx="610">
                  <c:v>65.459999988000007</c:v>
                </c:pt>
                <c:pt idx="611">
                  <c:v>65.459999988000007</c:v>
                </c:pt>
                <c:pt idx="612">
                  <c:v>65.180000015999994</c:v>
                </c:pt>
                <c:pt idx="613">
                  <c:v>65.180000015999994</c:v>
                </c:pt>
                <c:pt idx="614">
                  <c:v>64.509999984000004</c:v>
                </c:pt>
                <c:pt idx="615">
                  <c:v>63.050000004000005</c:v>
                </c:pt>
                <c:pt idx="616">
                  <c:v>62.200000008000004</c:v>
                </c:pt>
                <c:pt idx="617">
                  <c:v>62.200000008000004</c:v>
                </c:pt>
                <c:pt idx="618">
                  <c:v>60.249999996</c:v>
                </c:pt>
                <c:pt idx="619">
                  <c:v>60.249999996</c:v>
                </c:pt>
                <c:pt idx="620">
                  <c:v>59.119999991999997</c:v>
                </c:pt>
                <c:pt idx="621">
                  <c:v>58.029999984</c:v>
                </c:pt>
                <c:pt idx="622">
                  <c:v>56.589999984000002</c:v>
                </c:pt>
                <c:pt idx="623">
                  <c:v>54.110000016000001</c:v>
                </c:pt>
                <c:pt idx="624">
                  <c:v>51.930000000000007</c:v>
                </c:pt>
                <c:pt idx="625">
                  <c:v>50.010000011999999</c:v>
                </c:pt>
                <c:pt idx="626">
                  <c:v>50.010000011999999</c:v>
                </c:pt>
                <c:pt idx="627">
                  <c:v>48.380000003999996</c:v>
                </c:pt>
                <c:pt idx="628">
                  <c:v>46.860000012</c:v>
                </c:pt>
                <c:pt idx="629">
                  <c:v>45.140000004000001</c:v>
                </c:pt>
                <c:pt idx="630">
                  <c:v>43.350000012000002</c:v>
                </c:pt>
                <c:pt idx="631">
                  <c:v>41.879999988000002</c:v>
                </c:pt>
                <c:pt idx="632">
                  <c:v>41.879999988000002</c:v>
                </c:pt>
                <c:pt idx="633">
                  <c:v>41.879999988000002</c:v>
                </c:pt>
                <c:pt idx="634">
                  <c:v>40.700000016000004</c:v>
                </c:pt>
                <c:pt idx="635">
                  <c:v>39.530000016000002</c:v>
                </c:pt>
                <c:pt idx="636">
                  <c:v>38.639999988000007</c:v>
                </c:pt>
                <c:pt idx="637">
                  <c:v>37.569999996</c:v>
                </c:pt>
                <c:pt idx="638">
                  <c:v>37.569999996</c:v>
                </c:pt>
                <c:pt idx="639">
                  <c:v>37.569999996</c:v>
                </c:pt>
                <c:pt idx="640">
                  <c:v>36.249999983999999</c:v>
                </c:pt>
                <c:pt idx="641">
                  <c:v>34.449999998400003</c:v>
                </c:pt>
                <c:pt idx="642">
                  <c:v>31.960000000800001</c:v>
                </c:pt>
                <c:pt idx="643">
                  <c:v>29.180000001600003</c:v>
                </c:pt>
                <c:pt idx="644">
                  <c:v>29.180000001600003</c:v>
                </c:pt>
                <c:pt idx="645">
                  <c:v>21.7500000012</c:v>
                </c:pt>
                <c:pt idx="646">
                  <c:v>18.870000001199998</c:v>
                </c:pt>
                <c:pt idx="647">
                  <c:v>15.03</c:v>
                </c:pt>
                <c:pt idx="648">
                  <c:v>15.03</c:v>
                </c:pt>
                <c:pt idx="649">
                  <c:v>11.109999999600001</c:v>
                </c:pt>
                <c:pt idx="650">
                  <c:v>6.8900000004000006</c:v>
                </c:pt>
                <c:pt idx="651">
                  <c:v>3.2799999995999998</c:v>
                </c:pt>
                <c:pt idx="652">
                  <c:v>0.87000000119999998</c:v>
                </c:pt>
                <c:pt idx="653">
                  <c:v>0.54</c:v>
                </c:pt>
                <c:pt idx="654">
                  <c:v>0.54</c:v>
                </c:pt>
                <c:pt idx="655">
                  <c:v>0</c:v>
                </c:pt>
                <c:pt idx="656">
                  <c:v>1.9100000016000003</c:v>
                </c:pt>
                <c:pt idx="657">
                  <c:v>1.9100000016000003</c:v>
                </c:pt>
                <c:pt idx="658">
                  <c:v>1.9100000016000003</c:v>
                </c:pt>
                <c:pt idx="659">
                  <c:v>6.0699999996000003</c:v>
                </c:pt>
                <c:pt idx="660">
                  <c:v>10.170000000000002</c:v>
                </c:pt>
                <c:pt idx="661">
                  <c:v>10.170000000000002</c:v>
                </c:pt>
                <c:pt idx="662">
                  <c:v>14.519999998799999</c:v>
                </c:pt>
                <c:pt idx="663">
                  <c:v>18.600000001200002</c:v>
                </c:pt>
                <c:pt idx="664">
                  <c:v>18.600000001200002</c:v>
                </c:pt>
                <c:pt idx="665">
                  <c:v>22.8899999988</c:v>
                </c:pt>
                <c:pt idx="666">
                  <c:v>27.039999999599999</c:v>
                </c:pt>
                <c:pt idx="667">
                  <c:v>31.309999999200002</c:v>
                </c:pt>
                <c:pt idx="668">
                  <c:v>34.019999999999996</c:v>
                </c:pt>
                <c:pt idx="669">
                  <c:v>34.940000001600005</c:v>
                </c:pt>
                <c:pt idx="670">
                  <c:v>35.6799999996</c:v>
                </c:pt>
                <c:pt idx="671">
                  <c:v>35.6799999996</c:v>
                </c:pt>
                <c:pt idx="672">
                  <c:v>36.370000008000005</c:v>
                </c:pt>
                <c:pt idx="673">
                  <c:v>36.370000008000005</c:v>
                </c:pt>
                <c:pt idx="674">
                  <c:v>36.939999995999997</c:v>
                </c:pt>
                <c:pt idx="675">
                  <c:v>36.370000008000005</c:v>
                </c:pt>
                <c:pt idx="676">
                  <c:v>35.64</c:v>
                </c:pt>
                <c:pt idx="677">
                  <c:v>35.64</c:v>
                </c:pt>
                <c:pt idx="678">
                  <c:v>34.4300000004</c:v>
                </c:pt>
                <c:pt idx="679">
                  <c:v>32.49</c:v>
                </c:pt>
                <c:pt idx="680">
                  <c:v>31.010000000400002</c:v>
                </c:pt>
                <c:pt idx="681">
                  <c:v>29.580000001200002</c:v>
                </c:pt>
                <c:pt idx="682">
                  <c:v>27.870000001199998</c:v>
                </c:pt>
                <c:pt idx="683">
                  <c:v>25.8400000008</c:v>
                </c:pt>
                <c:pt idx="684">
                  <c:v>23.829999998400002</c:v>
                </c:pt>
                <c:pt idx="685">
                  <c:v>23.829999998400002</c:v>
                </c:pt>
                <c:pt idx="686">
                  <c:v>20.43</c:v>
                </c:pt>
                <c:pt idx="687">
                  <c:v>19.950000001200003</c:v>
                </c:pt>
                <c:pt idx="688">
                  <c:v>19.950000001200003</c:v>
                </c:pt>
                <c:pt idx="689">
                  <c:v>19.950000001200003</c:v>
                </c:pt>
                <c:pt idx="690">
                  <c:v>19.130000000400003</c:v>
                </c:pt>
                <c:pt idx="691">
                  <c:v>18.969999998400002</c:v>
                </c:pt>
                <c:pt idx="692">
                  <c:v>18.809999999999999</c:v>
                </c:pt>
                <c:pt idx="693">
                  <c:v>18.7700000004</c:v>
                </c:pt>
                <c:pt idx="694">
                  <c:v>18.7499999988</c:v>
                </c:pt>
                <c:pt idx="695">
                  <c:v>18.540000000000003</c:v>
                </c:pt>
                <c:pt idx="696">
                  <c:v>18.489999999600002</c:v>
                </c:pt>
                <c:pt idx="697">
                  <c:v>18.2499999984</c:v>
                </c:pt>
                <c:pt idx="698">
                  <c:v>17.960000000400001</c:v>
                </c:pt>
                <c:pt idx="699">
                  <c:v>17.899999999200002</c:v>
                </c:pt>
                <c:pt idx="700">
                  <c:v>17.9799999984</c:v>
                </c:pt>
                <c:pt idx="701">
                  <c:v>18.190000000800001</c:v>
                </c:pt>
                <c:pt idx="702">
                  <c:v>18.4299999984</c:v>
                </c:pt>
                <c:pt idx="703">
                  <c:v>18.690000001200001</c:v>
                </c:pt>
                <c:pt idx="704">
                  <c:v>19.010000001600002</c:v>
                </c:pt>
                <c:pt idx="705">
                  <c:v>19.010000001600002</c:v>
                </c:pt>
                <c:pt idx="706">
                  <c:v>19.829999998800002</c:v>
                </c:pt>
                <c:pt idx="707">
                  <c:v>20.149999999200002</c:v>
                </c:pt>
                <c:pt idx="708">
                  <c:v>20.149999999200002</c:v>
                </c:pt>
                <c:pt idx="709">
                  <c:v>21.78</c:v>
                </c:pt>
                <c:pt idx="710">
                  <c:v>21.78</c:v>
                </c:pt>
                <c:pt idx="711">
                  <c:v>27.3200000004</c:v>
                </c:pt>
                <c:pt idx="712">
                  <c:v>29.469999999600002</c:v>
                </c:pt>
                <c:pt idx="713">
                  <c:v>31.579999999200002</c:v>
                </c:pt>
                <c:pt idx="714">
                  <c:v>33.350000000400001</c:v>
                </c:pt>
                <c:pt idx="715">
                  <c:v>33.350000000400001</c:v>
                </c:pt>
                <c:pt idx="716">
                  <c:v>34.869999999600005</c:v>
                </c:pt>
                <c:pt idx="717">
                  <c:v>34.869999999600005</c:v>
                </c:pt>
                <c:pt idx="718">
                  <c:v>34.869999999600005</c:v>
                </c:pt>
                <c:pt idx="719">
                  <c:v>36.600000012000002</c:v>
                </c:pt>
                <c:pt idx="720">
                  <c:v>36.799999992000004</c:v>
                </c:pt>
                <c:pt idx="721">
                  <c:v>36.799999992000004</c:v>
                </c:pt>
                <c:pt idx="722">
                  <c:v>36.799999992000004</c:v>
                </c:pt>
                <c:pt idx="723">
                  <c:v>35.880000001200003</c:v>
                </c:pt>
                <c:pt idx="724">
                  <c:v>35.399999998800006</c:v>
                </c:pt>
                <c:pt idx="725">
                  <c:v>35.4300000012</c:v>
                </c:pt>
                <c:pt idx="726">
                  <c:v>35.4300000012</c:v>
                </c:pt>
                <c:pt idx="727">
                  <c:v>35.399999998800006</c:v>
                </c:pt>
                <c:pt idx="728">
                  <c:v>35.769999999600003</c:v>
                </c:pt>
                <c:pt idx="729">
                  <c:v>36.069999983999999</c:v>
                </c:pt>
                <c:pt idx="730">
                  <c:v>36.299999988000003</c:v>
                </c:pt>
                <c:pt idx="731">
                  <c:v>36.299999988000003</c:v>
                </c:pt>
                <c:pt idx="732">
                  <c:v>36.849999996000001</c:v>
                </c:pt>
                <c:pt idx="733">
                  <c:v>38.080000007999999</c:v>
                </c:pt>
                <c:pt idx="734">
                  <c:v>42.609999995999999</c:v>
                </c:pt>
                <c:pt idx="735">
                  <c:v>42.609999995999999</c:v>
                </c:pt>
                <c:pt idx="736">
                  <c:v>46.839999996000003</c:v>
                </c:pt>
                <c:pt idx="737">
                  <c:v>50.609999987999998</c:v>
                </c:pt>
                <c:pt idx="738">
                  <c:v>54</c:v>
                </c:pt>
                <c:pt idx="739">
                  <c:v>54</c:v>
                </c:pt>
                <c:pt idx="740">
                  <c:v>55.980000000000004</c:v>
                </c:pt>
                <c:pt idx="741">
                  <c:v>57.06</c:v>
                </c:pt>
                <c:pt idx="742">
                  <c:v>57.06</c:v>
                </c:pt>
                <c:pt idx="743">
                  <c:v>58.370000003999998</c:v>
                </c:pt>
                <c:pt idx="744">
                  <c:v>58.619999988000004</c:v>
                </c:pt>
                <c:pt idx="745">
                  <c:v>58.290000012</c:v>
                </c:pt>
                <c:pt idx="746">
                  <c:v>57.790000008</c:v>
                </c:pt>
                <c:pt idx="747">
                  <c:v>57.790000008</c:v>
                </c:pt>
                <c:pt idx="748">
                  <c:v>57.579999984000004</c:v>
                </c:pt>
                <c:pt idx="749">
                  <c:v>57.120000012000006</c:v>
                </c:pt>
                <c:pt idx="750">
                  <c:v>57.120000012000006</c:v>
                </c:pt>
                <c:pt idx="751">
                  <c:v>56.540000016</c:v>
                </c:pt>
                <c:pt idx="752">
                  <c:v>56.149999992000005</c:v>
                </c:pt>
                <c:pt idx="753">
                  <c:v>55.839999996000003</c:v>
                </c:pt>
                <c:pt idx="754">
                  <c:v>55.839999996000003</c:v>
                </c:pt>
                <c:pt idx="755">
                  <c:v>55.839999996000003</c:v>
                </c:pt>
                <c:pt idx="756">
                  <c:v>55.360000008</c:v>
                </c:pt>
                <c:pt idx="757">
                  <c:v>54.579999996000005</c:v>
                </c:pt>
                <c:pt idx="758">
                  <c:v>54.579999996000005</c:v>
                </c:pt>
                <c:pt idx="759">
                  <c:v>52.520000004000003</c:v>
                </c:pt>
                <c:pt idx="760">
                  <c:v>50.169999996000001</c:v>
                </c:pt>
                <c:pt idx="761">
                  <c:v>50.169999996000001</c:v>
                </c:pt>
                <c:pt idx="762">
                  <c:v>47.79</c:v>
                </c:pt>
                <c:pt idx="763">
                  <c:v>47.79</c:v>
                </c:pt>
                <c:pt idx="764">
                  <c:v>45.050000004000005</c:v>
                </c:pt>
                <c:pt idx="765">
                  <c:v>42.03</c:v>
                </c:pt>
                <c:pt idx="766">
                  <c:v>38.97</c:v>
                </c:pt>
                <c:pt idx="767">
                  <c:v>36.010000008000006</c:v>
                </c:pt>
                <c:pt idx="768">
                  <c:v>33.689999998799998</c:v>
                </c:pt>
                <c:pt idx="769">
                  <c:v>30.9300000012</c:v>
                </c:pt>
                <c:pt idx="770">
                  <c:v>28.08</c:v>
                </c:pt>
                <c:pt idx="771">
                  <c:v>25.369999999200001</c:v>
                </c:pt>
                <c:pt idx="772">
                  <c:v>22.780000000800001</c:v>
                </c:pt>
                <c:pt idx="773">
                  <c:v>19.689999998399998</c:v>
                </c:pt>
                <c:pt idx="774">
                  <c:v>16.650000000000002</c:v>
                </c:pt>
                <c:pt idx="775">
                  <c:v>13.269999999600001</c:v>
                </c:pt>
                <c:pt idx="776">
                  <c:v>9.6000000011999997</c:v>
                </c:pt>
                <c:pt idx="777">
                  <c:v>6.4299999996000006</c:v>
                </c:pt>
                <c:pt idx="778">
                  <c:v>6.4299999996000006</c:v>
                </c:pt>
                <c:pt idx="779">
                  <c:v>0.63</c:v>
                </c:pt>
                <c:pt idx="780">
                  <c:v>0.63</c:v>
                </c:pt>
                <c:pt idx="781">
                  <c:v>0.56999999879999996</c:v>
                </c:pt>
                <c:pt idx="782">
                  <c:v>0.56999999879999996</c:v>
                </c:pt>
                <c:pt idx="783">
                  <c:v>0</c:v>
                </c:pt>
                <c:pt idx="784">
                  <c:v>2.6499999996000003</c:v>
                </c:pt>
                <c:pt idx="785">
                  <c:v>2.6499999996000003</c:v>
                </c:pt>
                <c:pt idx="786">
                  <c:v>2.6499999996000003</c:v>
                </c:pt>
                <c:pt idx="787">
                  <c:v>7.5399999984000008</c:v>
                </c:pt>
                <c:pt idx="788">
                  <c:v>9.8700000012000011</c:v>
                </c:pt>
                <c:pt idx="789">
                  <c:v>9.8700000012000011</c:v>
                </c:pt>
                <c:pt idx="790">
                  <c:v>12.1600000008</c:v>
                </c:pt>
                <c:pt idx="791">
                  <c:v>12.4099999992</c:v>
                </c:pt>
                <c:pt idx="792">
                  <c:v>12.0899999988</c:v>
                </c:pt>
                <c:pt idx="793">
                  <c:v>12.449999998800001</c:v>
                </c:pt>
                <c:pt idx="794">
                  <c:v>12.4899999984</c:v>
                </c:pt>
                <c:pt idx="795">
                  <c:v>12.039999998400001</c:v>
                </c:pt>
                <c:pt idx="796">
                  <c:v>11.599999999200001</c:v>
                </c:pt>
                <c:pt idx="797">
                  <c:v>11.130000001200001</c:v>
                </c:pt>
                <c:pt idx="798">
                  <c:v>11.130000001200001</c:v>
                </c:pt>
                <c:pt idx="799">
                  <c:v>10.71</c:v>
                </c:pt>
                <c:pt idx="800">
                  <c:v>10.2499999992</c:v>
                </c:pt>
                <c:pt idx="801">
                  <c:v>11.530000000800001</c:v>
                </c:pt>
                <c:pt idx="802">
                  <c:v>14.2400000016</c:v>
                </c:pt>
                <c:pt idx="803">
                  <c:v>16.880000000400003</c:v>
                </c:pt>
                <c:pt idx="804">
                  <c:v>19.209999999600001</c:v>
                </c:pt>
                <c:pt idx="805">
                  <c:v>19.209999999600001</c:v>
                </c:pt>
                <c:pt idx="806">
                  <c:v>21.790000000800003</c:v>
                </c:pt>
                <c:pt idx="807">
                  <c:v>21.790000000800003</c:v>
                </c:pt>
                <c:pt idx="808">
                  <c:v>23.839999999200003</c:v>
                </c:pt>
                <c:pt idx="809">
                  <c:v>25.220000001599999</c:v>
                </c:pt>
                <c:pt idx="810">
                  <c:v>26.64</c:v>
                </c:pt>
                <c:pt idx="811">
                  <c:v>27.920000001600002</c:v>
                </c:pt>
                <c:pt idx="812">
                  <c:v>28.599999998400001</c:v>
                </c:pt>
                <c:pt idx="813">
                  <c:v>29.670000001200002</c:v>
                </c:pt>
                <c:pt idx="814">
                  <c:v>30.989999998799998</c:v>
                </c:pt>
                <c:pt idx="815">
                  <c:v>32.780000001600001</c:v>
                </c:pt>
                <c:pt idx="816">
                  <c:v>34.6799999988</c:v>
                </c:pt>
                <c:pt idx="817">
                  <c:v>36.709999992</c:v>
                </c:pt>
                <c:pt idx="818">
                  <c:v>37.959999984</c:v>
                </c:pt>
                <c:pt idx="819">
                  <c:v>39.089999988000002</c:v>
                </c:pt>
                <c:pt idx="820">
                  <c:v>39.089999988000002</c:v>
                </c:pt>
                <c:pt idx="821">
                  <c:v>42.080000003999999</c:v>
                </c:pt>
                <c:pt idx="822">
                  <c:v>43.2</c:v>
                </c:pt>
                <c:pt idx="823">
                  <c:v>43.949999988000002</c:v>
                </c:pt>
                <c:pt idx="824">
                  <c:v>44.830000007999999</c:v>
                </c:pt>
                <c:pt idx="825">
                  <c:v>44.830000007999999</c:v>
                </c:pt>
                <c:pt idx="826">
                  <c:v>44.830000007999999</c:v>
                </c:pt>
                <c:pt idx="827">
                  <c:v>45.650000016</c:v>
                </c:pt>
                <c:pt idx="828">
                  <c:v>45.929999987999999</c:v>
                </c:pt>
                <c:pt idx="829">
                  <c:v>46.019999988000002</c:v>
                </c:pt>
                <c:pt idx="830">
                  <c:v>46.019999988000002</c:v>
                </c:pt>
                <c:pt idx="831">
                  <c:v>45.849999996000001</c:v>
                </c:pt>
                <c:pt idx="832">
                  <c:v>45.789999984000005</c:v>
                </c:pt>
                <c:pt idx="833">
                  <c:v>45.619999992000004</c:v>
                </c:pt>
                <c:pt idx="834">
                  <c:v>45.429999984000005</c:v>
                </c:pt>
                <c:pt idx="835">
                  <c:v>45.290000016</c:v>
                </c:pt>
                <c:pt idx="836">
                  <c:v>45.290000016</c:v>
                </c:pt>
                <c:pt idx="837">
                  <c:v>45.129999996000002</c:v>
                </c:pt>
                <c:pt idx="838">
                  <c:v>45.129999996000002</c:v>
                </c:pt>
                <c:pt idx="839">
                  <c:v>45.129999996000002</c:v>
                </c:pt>
                <c:pt idx="840">
                  <c:v>44.870000003999998</c:v>
                </c:pt>
                <c:pt idx="841">
                  <c:v>44.870000003999998</c:v>
                </c:pt>
                <c:pt idx="842">
                  <c:v>44.870000003999998</c:v>
                </c:pt>
                <c:pt idx="843">
                  <c:v>44.489999988000001</c:v>
                </c:pt>
                <c:pt idx="844">
                  <c:v>43.65</c:v>
                </c:pt>
                <c:pt idx="845">
                  <c:v>42.099999984</c:v>
                </c:pt>
                <c:pt idx="846">
                  <c:v>42.099999984</c:v>
                </c:pt>
                <c:pt idx="847">
                  <c:v>40.280000004000001</c:v>
                </c:pt>
                <c:pt idx="848">
                  <c:v>39.549999995999997</c:v>
                </c:pt>
                <c:pt idx="849">
                  <c:v>39.549999995999997</c:v>
                </c:pt>
                <c:pt idx="850">
                  <c:v>38.890000008000001</c:v>
                </c:pt>
                <c:pt idx="851">
                  <c:v>38.07</c:v>
                </c:pt>
                <c:pt idx="852">
                  <c:v>37.080000000000005</c:v>
                </c:pt>
                <c:pt idx="853">
                  <c:v>36.169999992000001</c:v>
                </c:pt>
                <c:pt idx="854">
                  <c:v>33.8600000016</c:v>
                </c:pt>
                <c:pt idx="855">
                  <c:v>31.8200000004</c:v>
                </c:pt>
                <c:pt idx="856">
                  <c:v>30.69</c:v>
                </c:pt>
                <c:pt idx="857">
                  <c:v>29.120000000400001</c:v>
                </c:pt>
                <c:pt idx="858">
                  <c:v>27.45</c:v>
                </c:pt>
                <c:pt idx="859">
                  <c:v>27.45</c:v>
                </c:pt>
                <c:pt idx="860">
                  <c:v>25.490000001600002</c:v>
                </c:pt>
                <c:pt idx="861">
                  <c:v>23.799999999600001</c:v>
                </c:pt>
                <c:pt idx="862">
                  <c:v>21.890000001600001</c:v>
                </c:pt>
                <c:pt idx="863">
                  <c:v>19.079999999999998</c:v>
                </c:pt>
                <c:pt idx="864">
                  <c:v>15.4400000004</c:v>
                </c:pt>
                <c:pt idx="865">
                  <c:v>15.4400000004</c:v>
                </c:pt>
                <c:pt idx="866">
                  <c:v>12.9999999996</c:v>
                </c:pt>
                <c:pt idx="867">
                  <c:v>12.9999999996</c:v>
                </c:pt>
                <c:pt idx="868">
                  <c:v>12.210000001200001</c:v>
                </c:pt>
                <c:pt idx="869">
                  <c:v>12.210000001200001</c:v>
                </c:pt>
                <c:pt idx="870">
                  <c:v>12.020000000400001</c:v>
                </c:pt>
                <c:pt idx="871">
                  <c:v>12.5799999984</c:v>
                </c:pt>
                <c:pt idx="872">
                  <c:v>13.200000001199999</c:v>
                </c:pt>
                <c:pt idx="873">
                  <c:v>13.200000001199999</c:v>
                </c:pt>
                <c:pt idx="874">
                  <c:v>14.2300000008</c:v>
                </c:pt>
                <c:pt idx="875">
                  <c:v>14.2300000008</c:v>
                </c:pt>
                <c:pt idx="876">
                  <c:v>14.9299999992</c:v>
                </c:pt>
                <c:pt idx="877">
                  <c:v>14.9900000004</c:v>
                </c:pt>
                <c:pt idx="878">
                  <c:v>14.9900000004</c:v>
                </c:pt>
                <c:pt idx="879">
                  <c:v>14.690000001600001</c:v>
                </c:pt>
                <c:pt idx="880">
                  <c:v>14.690000001600001</c:v>
                </c:pt>
                <c:pt idx="881">
                  <c:v>14.3399999988</c:v>
                </c:pt>
                <c:pt idx="882">
                  <c:v>14.3399999988</c:v>
                </c:pt>
                <c:pt idx="883">
                  <c:v>14.3399999988</c:v>
                </c:pt>
                <c:pt idx="884">
                  <c:v>13.6900000008</c:v>
                </c:pt>
                <c:pt idx="885">
                  <c:v>13.3999999992</c:v>
                </c:pt>
                <c:pt idx="886">
                  <c:v>13.1500000008</c:v>
                </c:pt>
                <c:pt idx="887">
                  <c:v>13.1500000008</c:v>
                </c:pt>
                <c:pt idx="888">
                  <c:v>12.69</c:v>
                </c:pt>
                <c:pt idx="889">
                  <c:v>12.430000000800002</c:v>
                </c:pt>
                <c:pt idx="890">
                  <c:v>11.120000000400001</c:v>
                </c:pt>
                <c:pt idx="891">
                  <c:v>11.120000000400001</c:v>
                </c:pt>
                <c:pt idx="892">
                  <c:v>11.879999999999999</c:v>
                </c:pt>
                <c:pt idx="893">
                  <c:v>12.629999998800001</c:v>
                </c:pt>
                <c:pt idx="894">
                  <c:v>13.950000000000001</c:v>
                </c:pt>
                <c:pt idx="895">
                  <c:v>13.950000000000001</c:v>
                </c:pt>
                <c:pt idx="896">
                  <c:v>14.6000000016</c:v>
                </c:pt>
                <c:pt idx="897">
                  <c:v>14.889999999600001</c:v>
                </c:pt>
                <c:pt idx="898">
                  <c:v>14.820000001199999</c:v>
                </c:pt>
                <c:pt idx="899">
                  <c:v>14.529999999600001</c:v>
                </c:pt>
                <c:pt idx="900">
                  <c:v>14.529999999600001</c:v>
                </c:pt>
                <c:pt idx="901">
                  <c:v>14.289999998400001</c:v>
                </c:pt>
                <c:pt idx="902">
                  <c:v>14.289999998400001</c:v>
                </c:pt>
                <c:pt idx="903">
                  <c:v>14.289999998400001</c:v>
                </c:pt>
                <c:pt idx="904">
                  <c:v>14.019999998399999</c:v>
                </c:pt>
                <c:pt idx="905">
                  <c:v>14.019999998399999</c:v>
                </c:pt>
                <c:pt idx="906">
                  <c:v>14.3499999996</c:v>
                </c:pt>
                <c:pt idx="907">
                  <c:v>14.3499999996</c:v>
                </c:pt>
                <c:pt idx="908">
                  <c:v>15.450000001200001</c:v>
                </c:pt>
                <c:pt idx="909">
                  <c:v>16.1600000004</c:v>
                </c:pt>
                <c:pt idx="910">
                  <c:v>16.769999998799999</c:v>
                </c:pt>
                <c:pt idx="911">
                  <c:v>18.119999998800001</c:v>
                </c:pt>
                <c:pt idx="912">
                  <c:v>18.950000000400003</c:v>
                </c:pt>
                <c:pt idx="913">
                  <c:v>18.950000000400003</c:v>
                </c:pt>
                <c:pt idx="914">
                  <c:v>19.4799999996</c:v>
                </c:pt>
                <c:pt idx="915">
                  <c:v>19.89</c:v>
                </c:pt>
                <c:pt idx="916">
                  <c:v>19.89</c:v>
                </c:pt>
                <c:pt idx="917">
                  <c:v>20.099999998799998</c:v>
                </c:pt>
                <c:pt idx="918">
                  <c:v>20.310000001199999</c:v>
                </c:pt>
                <c:pt idx="919">
                  <c:v>20.310000001199999</c:v>
                </c:pt>
                <c:pt idx="920">
                  <c:v>20.369999998800001</c:v>
                </c:pt>
                <c:pt idx="921">
                  <c:v>20.369999998800001</c:v>
                </c:pt>
                <c:pt idx="922">
                  <c:v>20.3199999984</c:v>
                </c:pt>
                <c:pt idx="923">
                  <c:v>19.779999998400001</c:v>
                </c:pt>
                <c:pt idx="924">
                  <c:v>19.599999998400001</c:v>
                </c:pt>
                <c:pt idx="925">
                  <c:v>19.5900000012</c:v>
                </c:pt>
                <c:pt idx="926">
                  <c:v>19.649999998799998</c:v>
                </c:pt>
                <c:pt idx="927">
                  <c:v>19.779999998400001</c:v>
                </c:pt>
                <c:pt idx="928">
                  <c:v>19.940000000400001</c:v>
                </c:pt>
                <c:pt idx="929">
                  <c:v>20.080000000799998</c:v>
                </c:pt>
                <c:pt idx="930">
                  <c:v>20.080000000799998</c:v>
                </c:pt>
                <c:pt idx="931">
                  <c:v>20.080000000799998</c:v>
                </c:pt>
                <c:pt idx="932">
                  <c:v>20.869999999200001</c:v>
                </c:pt>
                <c:pt idx="933">
                  <c:v>21.170000001600002</c:v>
                </c:pt>
                <c:pt idx="934">
                  <c:v>21.170000001600002</c:v>
                </c:pt>
                <c:pt idx="935">
                  <c:v>21.260000001600002</c:v>
                </c:pt>
                <c:pt idx="936">
                  <c:v>21.2299999992</c:v>
                </c:pt>
                <c:pt idx="937">
                  <c:v>21.3199999992</c:v>
                </c:pt>
                <c:pt idx="938">
                  <c:v>21.3199999992</c:v>
                </c:pt>
                <c:pt idx="939">
                  <c:v>20.850000001200002</c:v>
                </c:pt>
                <c:pt idx="940">
                  <c:v>20.1800000016</c:v>
                </c:pt>
                <c:pt idx="941">
                  <c:v>20.1800000016</c:v>
                </c:pt>
                <c:pt idx="942">
                  <c:v>20.1800000016</c:v>
                </c:pt>
                <c:pt idx="943">
                  <c:v>17.579999998800002</c:v>
                </c:pt>
                <c:pt idx="944">
                  <c:v>15.800000000400003</c:v>
                </c:pt>
                <c:pt idx="945">
                  <c:v>13.550000000400001</c:v>
                </c:pt>
                <c:pt idx="946">
                  <c:v>10.789999999200001</c:v>
                </c:pt>
                <c:pt idx="947">
                  <c:v>7.6299999983999998</c:v>
                </c:pt>
                <c:pt idx="948">
                  <c:v>5.8799999987999998</c:v>
                </c:pt>
                <c:pt idx="949">
                  <c:v>3.9099999995999997</c:v>
                </c:pt>
                <c:pt idx="950">
                  <c:v>1.1000000016</c:v>
                </c:pt>
                <c:pt idx="951">
                  <c:v>0.63</c:v>
                </c:pt>
                <c:pt idx="952">
                  <c:v>0.63</c:v>
                </c:pt>
                <c:pt idx="953">
                  <c:v>0.78000000120000001</c:v>
                </c:pt>
                <c:pt idx="954">
                  <c:v>0.78000000120000001</c:v>
                </c:pt>
                <c:pt idx="955">
                  <c:v>0.78000000120000001</c:v>
                </c:pt>
                <c:pt idx="956">
                  <c:v>5.0299999992000002</c:v>
                </c:pt>
                <c:pt idx="957">
                  <c:v>9.2000000015999994</c:v>
                </c:pt>
                <c:pt idx="958">
                  <c:v>9.2000000015999994</c:v>
                </c:pt>
                <c:pt idx="959">
                  <c:v>18.519999998400003</c:v>
                </c:pt>
                <c:pt idx="960">
                  <c:v>22.079999998800002</c:v>
                </c:pt>
                <c:pt idx="961">
                  <c:v>22.079999998800002</c:v>
                </c:pt>
                <c:pt idx="962">
                  <c:v>26.200000000799999</c:v>
                </c:pt>
                <c:pt idx="963">
                  <c:v>29.9800000008</c:v>
                </c:pt>
                <c:pt idx="964">
                  <c:v>33.119999999999997</c:v>
                </c:pt>
                <c:pt idx="965">
                  <c:v>36.280000008000002</c:v>
                </c:pt>
                <c:pt idx="966">
                  <c:v>39.409999992000003</c:v>
                </c:pt>
                <c:pt idx="967">
                  <c:v>42.57</c:v>
                </c:pt>
                <c:pt idx="968">
                  <c:v>42.57</c:v>
                </c:pt>
                <c:pt idx="969">
                  <c:v>46.000000008000001</c:v>
                </c:pt>
                <c:pt idx="970">
                  <c:v>46.000000008000001</c:v>
                </c:pt>
                <c:pt idx="971">
                  <c:v>49.41</c:v>
                </c:pt>
                <c:pt idx="972">
                  <c:v>52.279999992</c:v>
                </c:pt>
                <c:pt idx="973">
                  <c:v>55.029999996000001</c:v>
                </c:pt>
                <c:pt idx="974">
                  <c:v>55.029999996000001</c:v>
                </c:pt>
                <c:pt idx="975">
                  <c:v>57.740000003999995</c:v>
                </c:pt>
                <c:pt idx="976">
                  <c:v>58.730000004000004</c:v>
                </c:pt>
                <c:pt idx="977">
                  <c:v>58.730000004000004</c:v>
                </c:pt>
                <c:pt idx="978">
                  <c:v>59.919999984000007</c:v>
                </c:pt>
                <c:pt idx="979">
                  <c:v>60.980000004000004</c:v>
                </c:pt>
                <c:pt idx="980">
                  <c:v>62.079999983999997</c:v>
                </c:pt>
                <c:pt idx="981">
                  <c:v>62.340000012000004</c:v>
                </c:pt>
                <c:pt idx="982">
                  <c:v>62.489999988000001</c:v>
                </c:pt>
                <c:pt idx="983">
                  <c:v>62.579999987999997</c:v>
                </c:pt>
                <c:pt idx="984">
                  <c:v>62.629999992000002</c:v>
                </c:pt>
                <c:pt idx="985">
                  <c:v>62.849999987999993</c:v>
                </c:pt>
                <c:pt idx="986">
                  <c:v>63.129999996000002</c:v>
                </c:pt>
                <c:pt idx="987">
                  <c:v>63.020000016000004</c:v>
                </c:pt>
                <c:pt idx="988">
                  <c:v>62.38000000800001</c:v>
                </c:pt>
                <c:pt idx="989">
                  <c:v>62.38000000800001</c:v>
                </c:pt>
                <c:pt idx="990">
                  <c:v>61.549999991999996</c:v>
                </c:pt>
                <c:pt idx="991">
                  <c:v>61.359999983999998</c:v>
                </c:pt>
                <c:pt idx="992">
                  <c:v>61.139999988000007</c:v>
                </c:pt>
                <c:pt idx="993">
                  <c:v>61.139999988000007</c:v>
                </c:pt>
                <c:pt idx="994">
                  <c:v>61.139999988000007</c:v>
                </c:pt>
                <c:pt idx="995">
                  <c:v>59.590000007999997</c:v>
                </c:pt>
                <c:pt idx="996">
                  <c:v>57.679999991999999</c:v>
                </c:pt>
                <c:pt idx="997">
                  <c:v>55.050000011999998</c:v>
                </c:pt>
                <c:pt idx="998">
                  <c:v>52.890000012000002</c:v>
                </c:pt>
                <c:pt idx="999">
                  <c:v>52.890000012000002</c:v>
                </c:pt>
                <c:pt idx="1000">
                  <c:v>50.339999988000002</c:v>
                </c:pt>
                <c:pt idx="1001">
                  <c:v>48.579999984000004</c:v>
                </c:pt>
                <c:pt idx="1002">
                  <c:v>47.030000004000001</c:v>
                </c:pt>
                <c:pt idx="1003">
                  <c:v>47.030000004000001</c:v>
                </c:pt>
                <c:pt idx="1004">
                  <c:v>46.109999987999998</c:v>
                </c:pt>
                <c:pt idx="1005">
                  <c:v>46.069999992</c:v>
                </c:pt>
                <c:pt idx="1006">
                  <c:v>46.109999987999998</c:v>
                </c:pt>
                <c:pt idx="1007">
                  <c:v>46.130000003999996</c:v>
                </c:pt>
                <c:pt idx="1008">
                  <c:v>46.17</c:v>
                </c:pt>
                <c:pt idx="1009">
                  <c:v>46.080000000000005</c:v>
                </c:pt>
                <c:pt idx="1010">
                  <c:v>45.979999992000003</c:v>
                </c:pt>
                <c:pt idx="1011">
                  <c:v>45.889999992</c:v>
                </c:pt>
                <c:pt idx="1012">
                  <c:v>45.889999992</c:v>
                </c:pt>
                <c:pt idx="1013">
                  <c:v>46.770000012000004</c:v>
                </c:pt>
                <c:pt idx="1014">
                  <c:v>46.770000012000004</c:v>
                </c:pt>
                <c:pt idx="1015">
                  <c:v>53.430000012000001</c:v>
                </c:pt>
                <c:pt idx="1016">
                  <c:v>56.689999991999997</c:v>
                </c:pt>
                <c:pt idx="1017">
                  <c:v>58.579999991999998</c:v>
                </c:pt>
                <c:pt idx="1018">
                  <c:v>59.339999988000002</c:v>
                </c:pt>
                <c:pt idx="1019">
                  <c:v>59.379999983999994</c:v>
                </c:pt>
                <c:pt idx="1020">
                  <c:v>59.289999984000005</c:v>
                </c:pt>
                <c:pt idx="1021">
                  <c:v>59.140000008000001</c:v>
                </c:pt>
                <c:pt idx="1022">
                  <c:v>59.140000008000001</c:v>
                </c:pt>
                <c:pt idx="1023">
                  <c:v>58.979999987999996</c:v>
                </c:pt>
                <c:pt idx="1024">
                  <c:v>58.979999987999996</c:v>
                </c:pt>
                <c:pt idx="1025">
                  <c:v>58.680000000000007</c:v>
                </c:pt>
                <c:pt idx="1026">
                  <c:v>58.680000000000007</c:v>
                </c:pt>
                <c:pt idx="1027">
                  <c:v>57.549999995999997</c:v>
                </c:pt>
                <c:pt idx="1028">
                  <c:v>57.549999995999997</c:v>
                </c:pt>
                <c:pt idx="1029">
                  <c:v>56.599999992000001</c:v>
                </c:pt>
                <c:pt idx="1030">
                  <c:v>56.180000016000001</c:v>
                </c:pt>
                <c:pt idx="1031">
                  <c:v>54.399999995999998</c:v>
                </c:pt>
                <c:pt idx="1032">
                  <c:v>52.530000012000002</c:v>
                </c:pt>
                <c:pt idx="1033">
                  <c:v>49.430000016000001</c:v>
                </c:pt>
                <c:pt idx="1034">
                  <c:v>49.430000016000001</c:v>
                </c:pt>
                <c:pt idx="1035">
                  <c:v>45.789999984000005</c:v>
                </c:pt>
                <c:pt idx="1036">
                  <c:v>45.789999984000005</c:v>
                </c:pt>
                <c:pt idx="1037">
                  <c:v>42.66</c:v>
                </c:pt>
                <c:pt idx="1038">
                  <c:v>42.66</c:v>
                </c:pt>
                <c:pt idx="1039">
                  <c:v>41.950000007999996</c:v>
                </c:pt>
                <c:pt idx="1040">
                  <c:v>41.950000007999996</c:v>
                </c:pt>
                <c:pt idx="1041">
                  <c:v>42.170000004000002</c:v>
                </c:pt>
                <c:pt idx="1042">
                  <c:v>42.170000004000002</c:v>
                </c:pt>
                <c:pt idx="1043">
                  <c:v>42.990000012000003</c:v>
                </c:pt>
                <c:pt idx="1044">
                  <c:v>45.36</c:v>
                </c:pt>
                <c:pt idx="1045">
                  <c:v>47.459999988</c:v>
                </c:pt>
                <c:pt idx="1046">
                  <c:v>47.260000008000006</c:v>
                </c:pt>
                <c:pt idx="1047">
                  <c:v>47.260000008000006</c:v>
                </c:pt>
                <c:pt idx="1048">
                  <c:v>47.869999992000004</c:v>
                </c:pt>
                <c:pt idx="1049">
                  <c:v>50.770000008000004</c:v>
                </c:pt>
                <c:pt idx="1050">
                  <c:v>53.740000008000003</c:v>
                </c:pt>
                <c:pt idx="1051">
                  <c:v>55.17</c:v>
                </c:pt>
                <c:pt idx="1052">
                  <c:v>55.919999988000001</c:v>
                </c:pt>
                <c:pt idx="1053">
                  <c:v>56.570000004000001</c:v>
                </c:pt>
                <c:pt idx="1054">
                  <c:v>56.919999996000001</c:v>
                </c:pt>
                <c:pt idx="1055">
                  <c:v>57.250000008000001</c:v>
                </c:pt>
                <c:pt idx="1056">
                  <c:v>57.489999984000001</c:v>
                </c:pt>
                <c:pt idx="1057">
                  <c:v>56.800000007999998</c:v>
                </c:pt>
                <c:pt idx="1058">
                  <c:v>55.789999991999998</c:v>
                </c:pt>
                <c:pt idx="1059">
                  <c:v>54.830000016000007</c:v>
                </c:pt>
                <c:pt idx="1060">
                  <c:v>54.150000012</c:v>
                </c:pt>
                <c:pt idx="1061">
                  <c:v>53.309999988000001</c:v>
                </c:pt>
                <c:pt idx="1062">
                  <c:v>53.309999988000001</c:v>
                </c:pt>
                <c:pt idx="1063">
                  <c:v>52.830000000000005</c:v>
                </c:pt>
                <c:pt idx="1064">
                  <c:v>51.919999992000001</c:v>
                </c:pt>
                <c:pt idx="1065">
                  <c:v>51.919999992000001</c:v>
                </c:pt>
                <c:pt idx="1066">
                  <c:v>50.950000007999996</c:v>
                </c:pt>
                <c:pt idx="1067">
                  <c:v>49.470000012000007</c:v>
                </c:pt>
                <c:pt idx="1068">
                  <c:v>49.470000012000007</c:v>
                </c:pt>
                <c:pt idx="1069">
                  <c:v>47.07</c:v>
                </c:pt>
                <c:pt idx="1070">
                  <c:v>47.07</c:v>
                </c:pt>
                <c:pt idx="1071">
                  <c:v>47.07</c:v>
                </c:pt>
                <c:pt idx="1072">
                  <c:v>43.499999987999999</c:v>
                </c:pt>
                <c:pt idx="1073">
                  <c:v>40.340000016000005</c:v>
                </c:pt>
                <c:pt idx="1074">
                  <c:v>40.340000016000005</c:v>
                </c:pt>
                <c:pt idx="1075">
                  <c:v>37.069999992</c:v>
                </c:pt>
                <c:pt idx="1076">
                  <c:v>37.069999992</c:v>
                </c:pt>
                <c:pt idx="1077">
                  <c:v>33.810000001200002</c:v>
                </c:pt>
                <c:pt idx="1078">
                  <c:v>30.260000001599998</c:v>
                </c:pt>
                <c:pt idx="1079">
                  <c:v>27.0699999984</c:v>
                </c:pt>
                <c:pt idx="1080">
                  <c:v>27.0699999984</c:v>
                </c:pt>
                <c:pt idx="1081">
                  <c:v>23.690000001600001</c:v>
                </c:pt>
                <c:pt idx="1082">
                  <c:v>20.810000001600002</c:v>
                </c:pt>
                <c:pt idx="1083">
                  <c:v>18.259999999199998</c:v>
                </c:pt>
                <c:pt idx="1084">
                  <c:v>15.6800000016</c:v>
                </c:pt>
                <c:pt idx="1085">
                  <c:v>12.7400000004</c:v>
                </c:pt>
                <c:pt idx="1086">
                  <c:v>10.2399999984</c:v>
                </c:pt>
                <c:pt idx="1087">
                  <c:v>7.6399999992000005</c:v>
                </c:pt>
                <c:pt idx="1088">
                  <c:v>4.7400000012000003</c:v>
                </c:pt>
                <c:pt idx="1089">
                  <c:v>1.6999999992000001</c:v>
                </c:pt>
                <c:pt idx="1090">
                  <c:v>0.2000000016</c:v>
                </c:pt>
                <c:pt idx="1091">
                  <c:v>0.1699999992</c:v>
                </c:pt>
                <c:pt idx="1092">
                  <c:v>0</c:v>
                </c:pt>
                <c:pt idx="1093">
                  <c:v>1.0500000011999999</c:v>
                </c:pt>
                <c:pt idx="1094">
                  <c:v>1.0500000011999999</c:v>
                </c:pt>
                <c:pt idx="1095">
                  <c:v>4.9899999996000002</c:v>
                </c:pt>
                <c:pt idx="1096">
                  <c:v>9.6500000016000005</c:v>
                </c:pt>
                <c:pt idx="1097">
                  <c:v>13.780000000800001</c:v>
                </c:pt>
                <c:pt idx="1098">
                  <c:v>17.8899999984</c:v>
                </c:pt>
                <c:pt idx="1099">
                  <c:v>22.3400000016</c:v>
                </c:pt>
                <c:pt idx="1100">
                  <c:v>22.3400000016</c:v>
                </c:pt>
                <c:pt idx="1101">
                  <c:v>26.790000001199999</c:v>
                </c:pt>
                <c:pt idx="1102">
                  <c:v>26.790000001199999</c:v>
                </c:pt>
                <c:pt idx="1103">
                  <c:v>31.380000001200003</c:v>
                </c:pt>
                <c:pt idx="1104">
                  <c:v>36.299999988000003</c:v>
                </c:pt>
                <c:pt idx="1105">
                  <c:v>40.610000016000001</c:v>
                </c:pt>
                <c:pt idx="1106">
                  <c:v>45.81</c:v>
                </c:pt>
                <c:pt idx="1107">
                  <c:v>49.169999988000001</c:v>
                </c:pt>
                <c:pt idx="1108">
                  <c:v>52.700000004000003</c:v>
                </c:pt>
                <c:pt idx="1109">
                  <c:v>55.440000000000005</c:v>
                </c:pt>
                <c:pt idx="1110">
                  <c:v>58.129999992000002</c:v>
                </c:pt>
                <c:pt idx="1111">
                  <c:v>58.129999992000002</c:v>
                </c:pt>
                <c:pt idx="1112">
                  <c:v>60.059999988000001</c:v>
                </c:pt>
                <c:pt idx="1113">
                  <c:v>61.260000011999999</c:v>
                </c:pt>
                <c:pt idx="1114">
                  <c:v>62.780000004000009</c:v>
                </c:pt>
                <c:pt idx="1115">
                  <c:v>64.010000016000006</c:v>
                </c:pt>
                <c:pt idx="1116">
                  <c:v>64.010000016000006</c:v>
                </c:pt>
                <c:pt idx="1117">
                  <c:v>64.820000016000009</c:v>
                </c:pt>
                <c:pt idx="1118">
                  <c:v>65.840000004000004</c:v>
                </c:pt>
                <c:pt idx="1119">
                  <c:v>65.840000004000004</c:v>
                </c:pt>
                <c:pt idx="1120">
                  <c:v>66.69</c:v>
                </c:pt>
                <c:pt idx="1121">
                  <c:v>67.410000000000011</c:v>
                </c:pt>
                <c:pt idx="1122">
                  <c:v>68.150000015999993</c:v>
                </c:pt>
                <c:pt idx="1123">
                  <c:v>68.150000015999993</c:v>
                </c:pt>
                <c:pt idx="1124">
                  <c:v>67.899999996000005</c:v>
                </c:pt>
                <c:pt idx="1125">
                  <c:v>68.159999987999996</c:v>
                </c:pt>
                <c:pt idx="1126">
                  <c:v>68.159999987999996</c:v>
                </c:pt>
                <c:pt idx="1127">
                  <c:v>67.95</c:v>
                </c:pt>
                <c:pt idx="1128">
                  <c:v>67.849999991999994</c:v>
                </c:pt>
                <c:pt idx="1129">
                  <c:v>67.849999991999994</c:v>
                </c:pt>
                <c:pt idx="1130">
                  <c:v>67.659999983999995</c:v>
                </c:pt>
                <c:pt idx="1131">
                  <c:v>67.659999983999995</c:v>
                </c:pt>
                <c:pt idx="1132">
                  <c:v>67.659999983999995</c:v>
                </c:pt>
                <c:pt idx="1133">
                  <c:v>67.410000000000011</c:v>
                </c:pt>
                <c:pt idx="1134">
                  <c:v>67.290000012000007</c:v>
                </c:pt>
                <c:pt idx="1135">
                  <c:v>66.890000016000002</c:v>
                </c:pt>
                <c:pt idx="1136">
                  <c:v>66.890000016000002</c:v>
                </c:pt>
                <c:pt idx="1137">
                  <c:v>66.589999992000003</c:v>
                </c:pt>
                <c:pt idx="1138">
                  <c:v>66.020000003999996</c:v>
                </c:pt>
                <c:pt idx="1139">
                  <c:v>65.490000011999996</c:v>
                </c:pt>
                <c:pt idx="1140">
                  <c:v>65.040000012000007</c:v>
                </c:pt>
                <c:pt idx="1141">
                  <c:v>64.569999995999993</c:v>
                </c:pt>
                <c:pt idx="1142">
                  <c:v>63.950000004000003</c:v>
                </c:pt>
                <c:pt idx="1143">
                  <c:v>63.360000000000007</c:v>
                </c:pt>
                <c:pt idx="1144">
                  <c:v>63.360000000000007</c:v>
                </c:pt>
                <c:pt idx="1145">
                  <c:v>62.520000012000004</c:v>
                </c:pt>
                <c:pt idx="1146">
                  <c:v>61.610000003999993</c:v>
                </c:pt>
                <c:pt idx="1147">
                  <c:v>61.610000003999993</c:v>
                </c:pt>
                <c:pt idx="1148">
                  <c:v>60.660000000000004</c:v>
                </c:pt>
                <c:pt idx="1149">
                  <c:v>59.630000004000003</c:v>
                </c:pt>
                <c:pt idx="1150">
                  <c:v>58.889999988000007</c:v>
                </c:pt>
                <c:pt idx="1151">
                  <c:v>58.889999988000007</c:v>
                </c:pt>
                <c:pt idx="1152">
                  <c:v>58.889999988000007</c:v>
                </c:pt>
                <c:pt idx="1153">
                  <c:v>58.129999992000002</c:v>
                </c:pt>
                <c:pt idx="1154">
                  <c:v>56.109999995999999</c:v>
                </c:pt>
                <c:pt idx="1155">
                  <c:v>56.109999995999999</c:v>
                </c:pt>
                <c:pt idx="1156">
                  <c:v>54.799999992000004</c:v>
                </c:pt>
                <c:pt idx="1157">
                  <c:v>54.799999992000004</c:v>
                </c:pt>
                <c:pt idx="1158">
                  <c:v>53.049999995999997</c:v>
                </c:pt>
                <c:pt idx="1159">
                  <c:v>53.049999995999997</c:v>
                </c:pt>
                <c:pt idx="1160">
                  <c:v>50.709999996000001</c:v>
                </c:pt>
                <c:pt idx="1161">
                  <c:v>48.589999991999996</c:v>
                </c:pt>
                <c:pt idx="1162">
                  <c:v>46.230000012000005</c:v>
                </c:pt>
                <c:pt idx="1163">
                  <c:v>44.129999988000002</c:v>
                </c:pt>
                <c:pt idx="1164">
                  <c:v>42.509999988000004</c:v>
                </c:pt>
                <c:pt idx="1165">
                  <c:v>40.489999992000001</c:v>
                </c:pt>
                <c:pt idx="1166">
                  <c:v>39.210000012000002</c:v>
                </c:pt>
                <c:pt idx="1167">
                  <c:v>37.879999992000002</c:v>
                </c:pt>
                <c:pt idx="1168">
                  <c:v>37.249999992000006</c:v>
                </c:pt>
                <c:pt idx="1169">
                  <c:v>36.820000008000001</c:v>
                </c:pt>
                <c:pt idx="1170">
                  <c:v>36.36</c:v>
                </c:pt>
                <c:pt idx="1171">
                  <c:v>36.020000015999997</c:v>
                </c:pt>
                <c:pt idx="1172">
                  <c:v>35.1799999992</c:v>
                </c:pt>
                <c:pt idx="1173">
                  <c:v>33.6399999984</c:v>
                </c:pt>
                <c:pt idx="1174">
                  <c:v>32.280000001200001</c:v>
                </c:pt>
                <c:pt idx="1175">
                  <c:v>32.280000001200001</c:v>
                </c:pt>
                <c:pt idx="1176">
                  <c:v>31.430000001600003</c:v>
                </c:pt>
                <c:pt idx="1177">
                  <c:v>30.129999998400002</c:v>
                </c:pt>
                <c:pt idx="1178">
                  <c:v>28.419999998400002</c:v>
                </c:pt>
                <c:pt idx="1179">
                  <c:v>26.740000000800002</c:v>
                </c:pt>
                <c:pt idx="1180">
                  <c:v>26.740000000800002</c:v>
                </c:pt>
                <c:pt idx="1181">
                  <c:v>26.740000000800002</c:v>
                </c:pt>
                <c:pt idx="1182">
                  <c:v>24.490000000800002</c:v>
                </c:pt>
                <c:pt idx="1183">
                  <c:v>21.7299999996</c:v>
                </c:pt>
                <c:pt idx="1184">
                  <c:v>21.7299999996</c:v>
                </c:pt>
                <c:pt idx="1185">
                  <c:v>19.310000000400002</c:v>
                </c:pt>
                <c:pt idx="1186">
                  <c:v>16.440000001200001</c:v>
                </c:pt>
                <c:pt idx="1187">
                  <c:v>13.299999998400001</c:v>
                </c:pt>
                <c:pt idx="1188">
                  <c:v>13.299999998400001</c:v>
                </c:pt>
                <c:pt idx="1189">
                  <c:v>9.5600000016000006</c:v>
                </c:pt>
                <c:pt idx="1190">
                  <c:v>5.8899999995999996</c:v>
                </c:pt>
                <c:pt idx="1191">
                  <c:v>5.8899999995999996</c:v>
                </c:pt>
                <c:pt idx="1192">
                  <c:v>3.2900000004000001</c:v>
                </c:pt>
                <c:pt idx="1193">
                  <c:v>0.5199999984</c:v>
                </c:pt>
                <c:pt idx="1194">
                  <c:v>0.15999999840000001</c:v>
                </c:pt>
                <c:pt idx="1195">
                  <c:v>0</c:v>
                </c:pt>
                <c:pt idx="1196">
                  <c:v>1.7700000012000001</c:v>
                </c:pt>
                <c:pt idx="1197">
                  <c:v>1.7700000012000001</c:v>
                </c:pt>
                <c:pt idx="1198">
                  <c:v>5.8700000016000002</c:v>
                </c:pt>
                <c:pt idx="1199">
                  <c:v>10.8299999988</c:v>
                </c:pt>
                <c:pt idx="1200">
                  <c:v>15.199999999200001</c:v>
                </c:pt>
                <c:pt idx="1201">
                  <c:v>19.829999998800002</c:v>
                </c:pt>
                <c:pt idx="1202">
                  <c:v>24.459999998400001</c:v>
                </c:pt>
                <c:pt idx="1203">
                  <c:v>24.459999998400001</c:v>
                </c:pt>
                <c:pt idx="1204">
                  <c:v>27.830000001599998</c:v>
                </c:pt>
                <c:pt idx="1205">
                  <c:v>28.609999999199999</c:v>
                </c:pt>
                <c:pt idx="1206">
                  <c:v>27.799999999200001</c:v>
                </c:pt>
                <c:pt idx="1207">
                  <c:v>27.799999999200001</c:v>
                </c:pt>
                <c:pt idx="1208">
                  <c:v>26.28</c:v>
                </c:pt>
                <c:pt idx="1209">
                  <c:v>25.5700000008</c:v>
                </c:pt>
                <c:pt idx="1210">
                  <c:v>24.900000001200002</c:v>
                </c:pt>
                <c:pt idx="1211">
                  <c:v>24.900000001200002</c:v>
                </c:pt>
                <c:pt idx="1212">
                  <c:v>25.099999999200001</c:v>
                </c:pt>
                <c:pt idx="1213">
                  <c:v>25.099999999200001</c:v>
                </c:pt>
                <c:pt idx="1214">
                  <c:v>27.119999998800001</c:v>
                </c:pt>
                <c:pt idx="1215">
                  <c:v>27.6800000004</c:v>
                </c:pt>
                <c:pt idx="1216">
                  <c:v>28.450000000799999</c:v>
                </c:pt>
                <c:pt idx="1217">
                  <c:v>28.450000000799999</c:v>
                </c:pt>
                <c:pt idx="1218">
                  <c:v>29.760000001200005</c:v>
                </c:pt>
                <c:pt idx="1219">
                  <c:v>33.950000001600003</c:v>
                </c:pt>
                <c:pt idx="1220">
                  <c:v>33.950000001600003</c:v>
                </c:pt>
                <c:pt idx="1221">
                  <c:v>38.120000003999998</c:v>
                </c:pt>
                <c:pt idx="1222">
                  <c:v>42.599999988</c:v>
                </c:pt>
                <c:pt idx="1223">
                  <c:v>44.920000008000002</c:v>
                </c:pt>
                <c:pt idx="1224">
                  <c:v>47.059999992000002</c:v>
                </c:pt>
                <c:pt idx="1225">
                  <c:v>47.059999992000002</c:v>
                </c:pt>
                <c:pt idx="1226">
                  <c:v>49.41</c:v>
                </c:pt>
                <c:pt idx="1227">
                  <c:v>50.510000015999999</c:v>
                </c:pt>
                <c:pt idx="1228">
                  <c:v>52.940000016000006</c:v>
                </c:pt>
                <c:pt idx="1229">
                  <c:v>55.419999984</c:v>
                </c:pt>
                <c:pt idx="1230">
                  <c:v>57.020000004000003</c:v>
                </c:pt>
                <c:pt idx="1231">
                  <c:v>57.269999988000002</c:v>
                </c:pt>
                <c:pt idx="1232">
                  <c:v>57.920000004000002</c:v>
                </c:pt>
                <c:pt idx="1233">
                  <c:v>58.709999988</c:v>
                </c:pt>
                <c:pt idx="1234">
                  <c:v>58.95</c:v>
                </c:pt>
                <c:pt idx="1235">
                  <c:v>58.929999983999998</c:v>
                </c:pt>
                <c:pt idx="1236">
                  <c:v>58.929999983999998</c:v>
                </c:pt>
                <c:pt idx="1237">
                  <c:v>59.289999984000005</c:v>
                </c:pt>
                <c:pt idx="1238">
                  <c:v>59.730000011999998</c:v>
                </c:pt>
                <c:pt idx="1239">
                  <c:v>59.900000004000006</c:v>
                </c:pt>
                <c:pt idx="1240">
                  <c:v>60.040000008</c:v>
                </c:pt>
                <c:pt idx="1241">
                  <c:v>60.040000008</c:v>
                </c:pt>
                <c:pt idx="1242">
                  <c:v>60.040000008</c:v>
                </c:pt>
                <c:pt idx="1243">
                  <c:v>60.140000016000002</c:v>
                </c:pt>
                <c:pt idx="1244">
                  <c:v>60.140000016000002</c:v>
                </c:pt>
                <c:pt idx="1245">
                  <c:v>59.85</c:v>
                </c:pt>
                <c:pt idx="1246">
                  <c:v>59.730000011999998</c:v>
                </c:pt>
                <c:pt idx="1247">
                  <c:v>59.730000011999998</c:v>
                </c:pt>
                <c:pt idx="1248">
                  <c:v>59.330000016</c:v>
                </c:pt>
                <c:pt idx="1249">
                  <c:v>59.330000016</c:v>
                </c:pt>
                <c:pt idx="1250">
                  <c:v>58.420000008000002</c:v>
                </c:pt>
                <c:pt idx="1251">
                  <c:v>57.629999988000002</c:v>
                </c:pt>
                <c:pt idx="1252">
                  <c:v>56.469999996000006</c:v>
                </c:pt>
                <c:pt idx="1253">
                  <c:v>56.469999996000006</c:v>
                </c:pt>
                <c:pt idx="1254">
                  <c:v>56.469999996000006</c:v>
                </c:pt>
                <c:pt idx="1255">
                  <c:v>54.470000016</c:v>
                </c:pt>
                <c:pt idx="1256">
                  <c:v>51.900000012</c:v>
                </c:pt>
                <c:pt idx="1257">
                  <c:v>50.780000016000002</c:v>
                </c:pt>
                <c:pt idx="1258">
                  <c:v>49.650000012</c:v>
                </c:pt>
                <c:pt idx="1259">
                  <c:v>47.919999996000001</c:v>
                </c:pt>
                <c:pt idx="1260">
                  <c:v>46.689999984000004</c:v>
                </c:pt>
                <c:pt idx="1261">
                  <c:v>45.36</c:v>
                </c:pt>
                <c:pt idx="1262">
                  <c:v>44.470000008</c:v>
                </c:pt>
                <c:pt idx="1263">
                  <c:v>43.490000016000003</c:v>
                </c:pt>
                <c:pt idx="1264">
                  <c:v>42.519999996000003</c:v>
                </c:pt>
                <c:pt idx="1265">
                  <c:v>42.519999996000003</c:v>
                </c:pt>
                <c:pt idx="1266">
                  <c:v>42.519999996000003</c:v>
                </c:pt>
                <c:pt idx="1267">
                  <c:v>41.49</c:v>
                </c:pt>
                <c:pt idx="1268">
                  <c:v>40.839999984000002</c:v>
                </c:pt>
                <c:pt idx="1269">
                  <c:v>40.060000008000003</c:v>
                </c:pt>
                <c:pt idx="1270">
                  <c:v>40.060000008000003</c:v>
                </c:pt>
                <c:pt idx="1271">
                  <c:v>39.15</c:v>
                </c:pt>
                <c:pt idx="1272">
                  <c:v>37.029999996000001</c:v>
                </c:pt>
                <c:pt idx="1273">
                  <c:v>34.790000000400006</c:v>
                </c:pt>
                <c:pt idx="1274">
                  <c:v>33.090000001200004</c:v>
                </c:pt>
                <c:pt idx="1275">
                  <c:v>30.660000001200004</c:v>
                </c:pt>
                <c:pt idx="1276">
                  <c:v>27.380000001599999</c:v>
                </c:pt>
                <c:pt idx="1277">
                  <c:v>24.48</c:v>
                </c:pt>
                <c:pt idx="1278">
                  <c:v>21.6</c:v>
                </c:pt>
                <c:pt idx="1279">
                  <c:v>17.37</c:v>
                </c:pt>
                <c:pt idx="1280">
                  <c:v>13.0100000004</c:v>
                </c:pt>
                <c:pt idx="1281">
                  <c:v>8.5700000016000004</c:v>
                </c:pt>
                <c:pt idx="1282">
                  <c:v>5.4299999987999996</c:v>
                </c:pt>
                <c:pt idx="1283">
                  <c:v>2.4199999992000003</c:v>
                </c:pt>
                <c:pt idx="1284">
                  <c:v>0.50000000039999992</c:v>
                </c:pt>
                <c:pt idx="1285">
                  <c:v>0.2000000016</c:v>
                </c:pt>
                <c:pt idx="1286">
                  <c:v>0</c:v>
                </c:pt>
                <c:pt idx="1287">
                  <c:v>3.2100000012000001</c:v>
                </c:pt>
                <c:pt idx="1288">
                  <c:v>7.5099999996000006</c:v>
                </c:pt>
                <c:pt idx="1289">
                  <c:v>11.810000001600001</c:v>
                </c:pt>
                <c:pt idx="1290">
                  <c:v>15.800000000400003</c:v>
                </c:pt>
                <c:pt idx="1291">
                  <c:v>15.800000000400003</c:v>
                </c:pt>
                <c:pt idx="1292">
                  <c:v>19.990000000800002</c:v>
                </c:pt>
                <c:pt idx="1293">
                  <c:v>19.990000000800002</c:v>
                </c:pt>
                <c:pt idx="1294">
                  <c:v>24.239999998800002</c:v>
                </c:pt>
                <c:pt idx="1295">
                  <c:v>28.1599999992</c:v>
                </c:pt>
                <c:pt idx="1296">
                  <c:v>28.1599999992</c:v>
                </c:pt>
                <c:pt idx="1297">
                  <c:v>32.289999998400006</c:v>
                </c:pt>
                <c:pt idx="1298">
                  <c:v>36.609999983999998</c:v>
                </c:pt>
                <c:pt idx="1299">
                  <c:v>40.709999988</c:v>
                </c:pt>
                <c:pt idx="1300">
                  <c:v>43.620000012000006</c:v>
                </c:pt>
                <c:pt idx="1301">
                  <c:v>46.940000004000005</c:v>
                </c:pt>
                <c:pt idx="1302">
                  <c:v>49.119999983999996</c:v>
                </c:pt>
                <c:pt idx="1303">
                  <c:v>51.369999983999996</c:v>
                </c:pt>
                <c:pt idx="1304">
                  <c:v>51.369999983999996</c:v>
                </c:pt>
                <c:pt idx="1305">
                  <c:v>54.489999996000002</c:v>
                </c:pt>
                <c:pt idx="1306">
                  <c:v>55.850000004000002</c:v>
                </c:pt>
                <c:pt idx="1307">
                  <c:v>55.850000004000002</c:v>
                </c:pt>
                <c:pt idx="1308">
                  <c:v>57.080000016000007</c:v>
                </c:pt>
                <c:pt idx="1309">
                  <c:v>58.550000004000005</c:v>
                </c:pt>
                <c:pt idx="1310">
                  <c:v>60.059999988000001</c:v>
                </c:pt>
                <c:pt idx="1311">
                  <c:v>61.2</c:v>
                </c:pt>
                <c:pt idx="1312">
                  <c:v>62.269999991999995</c:v>
                </c:pt>
                <c:pt idx="1313">
                  <c:v>63.249999984000006</c:v>
                </c:pt>
                <c:pt idx="1314">
                  <c:v>64.410000011999998</c:v>
                </c:pt>
                <c:pt idx="1315">
                  <c:v>65.229999984000003</c:v>
                </c:pt>
                <c:pt idx="1316">
                  <c:v>65.390000004000001</c:v>
                </c:pt>
                <c:pt idx="1317">
                  <c:v>65.390000004000001</c:v>
                </c:pt>
                <c:pt idx="1318">
                  <c:v>65.660000003999997</c:v>
                </c:pt>
                <c:pt idx="1319">
                  <c:v>65.580000011999999</c:v>
                </c:pt>
                <c:pt idx="1320">
                  <c:v>65.580000011999999</c:v>
                </c:pt>
                <c:pt idx="1321">
                  <c:v>65.580000011999999</c:v>
                </c:pt>
                <c:pt idx="1322">
                  <c:v>65.610000000000014</c:v>
                </c:pt>
                <c:pt idx="1323">
                  <c:v>65.570000004000008</c:v>
                </c:pt>
                <c:pt idx="1324">
                  <c:v>65.480000004000004</c:v>
                </c:pt>
                <c:pt idx="1325">
                  <c:v>64.299999995999997</c:v>
                </c:pt>
                <c:pt idx="1326">
                  <c:v>62.759999988000004</c:v>
                </c:pt>
                <c:pt idx="1327">
                  <c:v>61.269999984000002</c:v>
                </c:pt>
                <c:pt idx="1328">
                  <c:v>61.269999984000002</c:v>
                </c:pt>
                <c:pt idx="1329">
                  <c:v>60.350000004000002</c:v>
                </c:pt>
                <c:pt idx="1330">
                  <c:v>59.969999988000005</c:v>
                </c:pt>
                <c:pt idx="1331">
                  <c:v>59.969999988000005</c:v>
                </c:pt>
                <c:pt idx="1332">
                  <c:v>59.969999988000005</c:v>
                </c:pt>
                <c:pt idx="1333">
                  <c:v>58.370000003999998</c:v>
                </c:pt>
                <c:pt idx="1334">
                  <c:v>56.25</c:v>
                </c:pt>
                <c:pt idx="1335">
                  <c:v>53.830000007999999</c:v>
                </c:pt>
                <c:pt idx="1336">
                  <c:v>51.980000003999997</c:v>
                </c:pt>
                <c:pt idx="1337">
                  <c:v>51.980000003999997</c:v>
                </c:pt>
                <c:pt idx="1338">
                  <c:v>50.019999983999995</c:v>
                </c:pt>
                <c:pt idx="1339">
                  <c:v>48.42</c:v>
                </c:pt>
                <c:pt idx="1340">
                  <c:v>48.42</c:v>
                </c:pt>
                <c:pt idx="1341">
                  <c:v>46.209999996000001</c:v>
                </c:pt>
                <c:pt idx="1342">
                  <c:v>46.069999992</c:v>
                </c:pt>
                <c:pt idx="1343">
                  <c:v>46.149999983999997</c:v>
                </c:pt>
                <c:pt idx="1344">
                  <c:v>46.479999996000004</c:v>
                </c:pt>
                <c:pt idx="1345">
                  <c:v>46.479999996000004</c:v>
                </c:pt>
                <c:pt idx="1346">
                  <c:v>47.430000000000007</c:v>
                </c:pt>
                <c:pt idx="1347">
                  <c:v>47.949999984000002</c:v>
                </c:pt>
                <c:pt idx="1348">
                  <c:v>48.620000015999999</c:v>
                </c:pt>
                <c:pt idx="1349">
                  <c:v>49.100000004000002</c:v>
                </c:pt>
                <c:pt idx="1350">
                  <c:v>49.420000008000002</c:v>
                </c:pt>
                <c:pt idx="1351">
                  <c:v>49.420000008000002</c:v>
                </c:pt>
                <c:pt idx="1352">
                  <c:v>50.050000007999998</c:v>
                </c:pt>
                <c:pt idx="1353">
                  <c:v>52.250000004</c:v>
                </c:pt>
                <c:pt idx="1354">
                  <c:v>56.559999995999995</c:v>
                </c:pt>
                <c:pt idx="1355">
                  <c:v>60.019999991999995</c:v>
                </c:pt>
                <c:pt idx="1356">
                  <c:v>63.330000011999999</c:v>
                </c:pt>
                <c:pt idx="1357">
                  <c:v>63.330000011999999</c:v>
                </c:pt>
                <c:pt idx="1358">
                  <c:v>63.330000011999999</c:v>
                </c:pt>
                <c:pt idx="1359">
                  <c:v>63.330000011999999</c:v>
                </c:pt>
                <c:pt idx="1360">
                  <c:v>65.7</c:v>
                </c:pt>
                <c:pt idx="1361">
                  <c:v>65.7</c:v>
                </c:pt>
                <c:pt idx="1362">
                  <c:v>65.7</c:v>
                </c:pt>
                <c:pt idx="1363">
                  <c:v>66.300000012000012</c:v>
                </c:pt>
                <c:pt idx="1364">
                  <c:v>65.509999992000004</c:v>
                </c:pt>
                <c:pt idx="1365">
                  <c:v>64.590000012000004</c:v>
                </c:pt>
                <c:pt idx="1366">
                  <c:v>63.699999984000009</c:v>
                </c:pt>
                <c:pt idx="1367">
                  <c:v>63.699999984000009</c:v>
                </c:pt>
                <c:pt idx="1368">
                  <c:v>61.440000011999999</c:v>
                </c:pt>
                <c:pt idx="1369">
                  <c:v>60.770000016000004</c:v>
                </c:pt>
                <c:pt idx="1370">
                  <c:v>60.770000016000004</c:v>
                </c:pt>
                <c:pt idx="1371">
                  <c:v>60.770000016000004</c:v>
                </c:pt>
                <c:pt idx="1372">
                  <c:v>55.820000016000002</c:v>
                </c:pt>
                <c:pt idx="1373">
                  <c:v>52.970000003999999</c:v>
                </c:pt>
                <c:pt idx="1374">
                  <c:v>50.770000008000004</c:v>
                </c:pt>
                <c:pt idx="1375">
                  <c:v>48.51</c:v>
                </c:pt>
                <c:pt idx="1376">
                  <c:v>48.51</c:v>
                </c:pt>
                <c:pt idx="1377">
                  <c:v>46.720000008</c:v>
                </c:pt>
                <c:pt idx="1378">
                  <c:v>44.889999983999999</c:v>
                </c:pt>
                <c:pt idx="1379">
                  <c:v>43.29</c:v>
                </c:pt>
                <c:pt idx="1380">
                  <c:v>43.29</c:v>
                </c:pt>
                <c:pt idx="1381">
                  <c:v>40.870000008000005</c:v>
                </c:pt>
                <c:pt idx="1382">
                  <c:v>40.870000008000005</c:v>
                </c:pt>
                <c:pt idx="1383">
                  <c:v>39.759999983999997</c:v>
                </c:pt>
                <c:pt idx="1384">
                  <c:v>38.450000016000004</c:v>
                </c:pt>
                <c:pt idx="1385">
                  <c:v>38.450000016000004</c:v>
                </c:pt>
                <c:pt idx="1386">
                  <c:v>36.140000004000001</c:v>
                </c:pt>
                <c:pt idx="1387">
                  <c:v>34.260000001200005</c:v>
                </c:pt>
                <c:pt idx="1388">
                  <c:v>34.260000001200005</c:v>
                </c:pt>
                <c:pt idx="1389">
                  <c:v>32.169999999600002</c:v>
                </c:pt>
                <c:pt idx="1390">
                  <c:v>30.250000000800004</c:v>
                </c:pt>
                <c:pt idx="1391">
                  <c:v>27.640000000800001</c:v>
                </c:pt>
                <c:pt idx="1392">
                  <c:v>25.009999999199998</c:v>
                </c:pt>
                <c:pt idx="1393">
                  <c:v>25.009999999199998</c:v>
                </c:pt>
                <c:pt idx="1394">
                  <c:v>22.2699999996</c:v>
                </c:pt>
                <c:pt idx="1395">
                  <c:v>22.2699999996</c:v>
                </c:pt>
                <c:pt idx="1396">
                  <c:v>20.360000001600003</c:v>
                </c:pt>
                <c:pt idx="1397">
                  <c:v>19.050000001200001</c:v>
                </c:pt>
                <c:pt idx="1398">
                  <c:v>17.6600000016</c:v>
                </c:pt>
                <c:pt idx="1399">
                  <c:v>17.6600000016</c:v>
                </c:pt>
                <c:pt idx="1400">
                  <c:v>15.620000000399999</c:v>
                </c:pt>
                <c:pt idx="1401">
                  <c:v>12.7699999992</c:v>
                </c:pt>
                <c:pt idx="1402">
                  <c:v>12.7699999992</c:v>
                </c:pt>
                <c:pt idx="1403">
                  <c:v>9.0600000012000006</c:v>
                </c:pt>
                <c:pt idx="1404">
                  <c:v>5.8600000008000004</c:v>
                </c:pt>
                <c:pt idx="1405">
                  <c:v>2.8100000016000002</c:v>
                </c:pt>
                <c:pt idx="1406">
                  <c:v>2.8100000016000002</c:v>
                </c:pt>
                <c:pt idx="1407">
                  <c:v>0.60000000119999997</c:v>
                </c:pt>
                <c:pt idx="1408">
                  <c:v>0.60000000119999997</c:v>
                </c:pt>
                <c:pt idx="1409">
                  <c:v>0.21999999960000002</c:v>
                </c:pt>
                <c:pt idx="1410">
                  <c:v>0.21999999960000002</c:v>
                </c:pt>
                <c:pt idx="1411">
                  <c:v>2.2399999992000001</c:v>
                </c:pt>
                <c:pt idx="1412">
                  <c:v>2.2399999992000001</c:v>
                </c:pt>
                <c:pt idx="1413">
                  <c:v>6.9199999991999999</c:v>
                </c:pt>
                <c:pt idx="1414">
                  <c:v>6.9199999991999999</c:v>
                </c:pt>
                <c:pt idx="1415">
                  <c:v>11.220000001200001</c:v>
                </c:pt>
                <c:pt idx="1416">
                  <c:v>16.189999999200001</c:v>
                </c:pt>
                <c:pt idx="1417">
                  <c:v>20.25</c:v>
                </c:pt>
                <c:pt idx="1418">
                  <c:v>24.860000001600003</c:v>
                </c:pt>
                <c:pt idx="1419">
                  <c:v>24.860000001600003</c:v>
                </c:pt>
                <c:pt idx="1420">
                  <c:v>24.860000001600003</c:v>
                </c:pt>
                <c:pt idx="1421">
                  <c:v>34.229999998799997</c:v>
                </c:pt>
                <c:pt idx="1422">
                  <c:v>34.229999998799997</c:v>
                </c:pt>
                <c:pt idx="1423">
                  <c:v>38.059999992000002</c:v>
                </c:pt>
                <c:pt idx="1424">
                  <c:v>38.059999992000002</c:v>
                </c:pt>
                <c:pt idx="1425">
                  <c:v>41.060000016000004</c:v>
                </c:pt>
                <c:pt idx="1426">
                  <c:v>41.060000016000004</c:v>
                </c:pt>
                <c:pt idx="1427">
                  <c:v>43.700000004000003</c:v>
                </c:pt>
                <c:pt idx="1428">
                  <c:v>46.479999996000004</c:v>
                </c:pt>
                <c:pt idx="1429">
                  <c:v>48.110000004</c:v>
                </c:pt>
                <c:pt idx="1430">
                  <c:v>49.460000004000001</c:v>
                </c:pt>
                <c:pt idx="1431">
                  <c:v>50.389999992</c:v>
                </c:pt>
                <c:pt idx="1432">
                  <c:v>50.389999992</c:v>
                </c:pt>
                <c:pt idx="1433">
                  <c:v>51.059999988000001</c:v>
                </c:pt>
                <c:pt idx="1434">
                  <c:v>51.059999988000001</c:v>
                </c:pt>
                <c:pt idx="1435">
                  <c:v>51.869999987999996</c:v>
                </c:pt>
                <c:pt idx="1436">
                  <c:v>52.340000004000004</c:v>
                </c:pt>
                <c:pt idx="1437">
                  <c:v>52.660000008000004</c:v>
                </c:pt>
                <c:pt idx="1438">
                  <c:v>52.279999992</c:v>
                </c:pt>
                <c:pt idx="1439">
                  <c:v>51.710000004000001</c:v>
                </c:pt>
                <c:pt idx="1440">
                  <c:v>51.710000004000001</c:v>
                </c:pt>
                <c:pt idx="1441">
                  <c:v>51.710000004000001</c:v>
                </c:pt>
                <c:pt idx="1442">
                  <c:v>51.059999988000001</c:v>
                </c:pt>
                <c:pt idx="1443">
                  <c:v>49.489999992000001</c:v>
                </c:pt>
                <c:pt idx="1444">
                  <c:v>47.319999983999999</c:v>
                </c:pt>
                <c:pt idx="1445">
                  <c:v>47.319999983999999</c:v>
                </c:pt>
                <c:pt idx="1446">
                  <c:v>47.319999983999999</c:v>
                </c:pt>
                <c:pt idx="1447">
                  <c:v>45.140000004000001</c:v>
                </c:pt>
                <c:pt idx="1448">
                  <c:v>45.140000004000001</c:v>
                </c:pt>
                <c:pt idx="1449">
                  <c:v>43.419999996000001</c:v>
                </c:pt>
                <c:pt idx="1450">
                  <c:v>43.419999996000001</c:v>
                </c:pt>
                <c:pt idx="1451">
                  <c:v>38.509999992000004</c:v>
                </c:pt>
                <c:pt idx="1452">
                  <c:v>38.509999992000004</c:v>
                </c:pt>
                <c:pt idx="1453">
                  <c:v>35.970000001200006</c:v>
                </c:pt>
                <c:pt idx="1454">
                  <c:v>34.859999998799999</c:v>
                </c:pt>
                <c:pt idx="1455">
                  <c:v>33.760000000800005</c:v>
                </c:pt>
                <c:pt idx="1456">
                  <c:v>31.970000001599999</c:v>
                </c:pt>
                <c:pt idx="1457">
                  <c:v>29.869999999200001</c:v>
                </c:pt>
                <c:pt idx="1458">
                  <c:v>26.390000001600001</c:v>
                </c:pt>
                <c:pt idx="1459">
                  <c:v>26.390000001600001</c:v>
                </c:pt>
                <c:pt idx="1460">
                  <c:v>20.630000001599999</c:v>
                </c:pt>
                <c:pt idx="1461">
                  <c:v>20.2299999984</c:v>
                </c:pt>
                <c:pt idx="1462">
                  <c:v>20.2299999984</c:v>
                </c:pt>
                <c:pt idx="1463">
                  <c:v>20.170000000800002</c:v>
                </c:pt>
                <c:pt idx="1464">
                  <c:v>20.239999999200002</c:v>
                </c:pt>
                <c:pt idx="1465">
                  <c:v>20.329999999200002</c:v>
                </c:pt>
                <c:pt idx="1466">
                  <c:v>20.599999999200001</c:v>
                </c:pt>
                <c:pt idx="1467">
                  <c:v>20.599999999200001</c:v>
                </c:pt>
                <c:pt idx="1468">
                  <c:v>20.710000000799997</c:v>
                </c:pt>
                <c:pt idx="1469">
                  <c:v>20.779999999200001</c:v>
                </c:pt>
                <c:pt idx="1470">
                  <c:v>20.779999999200001</c:v>
                </c:pt>
                <c:pt idx="1471">
                  <c:v>20.810000001600002</c:v>
                </c:pt>
                <c:pt idx="1472">
                  <c:v>20.720000001599999</c:v>
                </c:pt>
                <c:pt idx="1473">
                  <c:v>20.61</c:v>
                </c:pt>
                <c:pt idx="1474">
                  <c:v>20.450000001599999</c:v>
                </c:pt>
                <c:pt idx="1475">
                  <c:v>20.149999999200002</c:v>
                </c:pt>
                <c:pt idx="1476">
                  <c:v>19.89</c:v>
                </c:pt>
                <c:pt idx="1477">
                  <c:v>19.609999999199999</c:v>
                </c:pt>
                <c:pt idx="1478">
                  <c:v>19.2700000008</c:v>
                </c:pt>
                <c:pt idx="1479">
                  <c:v>19.2700000008</c:v>
                </c:pt>
                <c:pt idx="1480">
                  <c:v>18.8399999988</c:v>
                </c:pt>
                <c:pt idx="1481">
                  <c:v>18.5900000004</c:v>
                </c:pt>
                <c:pt idx="1482">
                  <c:v>18.500000000400004</c:v>
                </c:pt>
                <c:pt idx="1483">
                  <c:v>18.5699999988</c:v>
                </c:pt>
                <c:pt idx="1484">
                  <c:v>18.510000001200002</c:v>
                </c:pt>
                <c:pt idx="1485">
                  <c:v>18.299999998800001</c:v>
                </c:pt>
                <c:pt idx="1486">
                  <c:v>18.060000001199999</c:v>
                </c:pt>
                <c:pt idx="1487">
                  <c:v>18.060000001199999</c:v>
                </c:pt>
                <c:pt idx="1488">
                  <c:v>17.859999999599999</c:v>
                </c:pt>
                <c:pt idx="1489">
                  <c:v>17.619999998400001</c:v>
                </c:pt>
                <c:pt idx="1490">
                  <c:v>16.800000001200001</c:v>
                </c:pt>
                <c:pt idx="1491">
                  <c:v>16.800000001200001</c:v>
                </c:pt>
                <c:pt idx="1492">
                  <c:v>15.6700000008</c:v>
                </c:pt>
                <c:pt idx="1493">
                  <c:v>15.6700000008</c:v>
                </c:pt>
                <c:pt idx="1494">
                  <c:v>16.350000001200002</c:v>
                </c:pt>
                <c:pt idx="1495">
                  <c:v>16.989999998399998</c:v>
                </c:pt>
                <c:pt idx="1496">
                  <c:v>16.989999998399998</c:v>
                </c:pt>
                <c:pt idx="1497">
                  <c:v>17.73</c:v>
                </c:pt>
                <c:pt idx="1498">
                  <c:v>18.2499999984</c:v>
                </c:pt>
                <c:pt idx="1499">
                  <c:v>18.2499999984</c:v>
                </c:pt>
                <c:pt idx="1500">
                  <c:v>19.3200000012</c:v>
                </c:pt>
                <c:pt idx="1501">
                  <c:v>19.829999998800002</c:v>
                </c:pt>
                <c:pt idx="1502">
                  <c:v>19.829999998800002</c:v>
                </c:pt>
                <c:pt idx="1503">
                  <c:v>20.25</c:v>
                </c:pt>
                <c:pt idx="1504">
                  <c:v>20.25</c:v>
                </c:pt>
                <c:pt idx="1505">
                  <c:v>20.6399999988</c:v>
                </c:pt>
                <c:pt idx="1506">
                  <c:v>20.6399999988</c:v>
                </c:pt>
                <c:pt idx="1507">
                  <c:v>20.9300000004</c:v>
                </c:pt>
                <c:pt idx="1508">
                  <c:v>20.9300000004</c:v>
                </c:pt>
                <c:pt idx="1509">
                  <c:v>21.110000000399999</c:v>
                </c:pt>
                <c:pt idx="1510">
                  <c:v>21.110000000399999</c:v>
                </c:pt>
                <c:pt idx="1511">
                  <c:v>21.139999999200001</c:v>
                </c:pt>
                <c:pt idx="1512">
                  <c:v>20.7</c:v>
                </c:pt>
                <c:pt idx="1513">
                  <c:v>19.929999999600003</c:v>
                </c:pt>
                <c:pt idx="1514">
                  <c:v>18.8399999988</c:v>
                </c:pt>
                <c:pt idx="1515">
                  <c:v>18.0200000016</c:v>
                </c:pt>
                <c:pt idx="1516">
                  <c:v>17.5700000016</c:v>
                </c:pt>
                <c:pt idx="1517">
                  <c:v>17.5700000016</c:v>
                </c:pt>
                <c:pt idx="1518">
                  <c:v>17.5700000016</c:v>
                </c:pt>
                <c:pt idx="1519">
                  <c:v>16.980000001200001</c:v>
                </c:pt>
                <c:pt idx="1520">
                  <c:v>16.239999999600002</c:v>
                </c:pt>
                <c:pt idx="1521">
                  <c:v>14.950000000799999</c:v>
                </c:pt>
                <c:pt idx="1522">
                  <c:v>14.950000000799999</c:v>
                </c:pt>
                <c:pt idx="1523">
                  <c:v>14.609999998800001</c:v>
                </c:pt>
                <c:pt idx="1524">
                  <c:v>14.490000000000002</c:v>
                </c:pt>
                <c:pt idx="1525">
                  <c:v>14.370000001200001</c:v>
                </c:pt>
                <c:pt idx="1526">
                  <c:v>14.529999999600001</c:v>
                </c:pt>
                <c:pt idx="1527">
                  <c:v>14.960000001600001</c:v>
                </c:pt>
                <c:pt idx="1528">
                  <c:v>15.2700000012</c:v>
                </c:pt>
                <c:pt idx="1529">
                  <c:v>15.689999998800001</c:v>
                </c:pt>
                <c:pt idx="1530">
                  <c:v>15.6499999992</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7.7600000015999999</c:v>
                </c:pt>
                <c:pt idx="1750">
                  <c:v>11.289999999600001</c:v>
                </c:pt>
                <c:pt idx="1751">
                  <c:v>11.289999999600001</c:v>
                </c:pt>
                <c:pt idx="1752">
                  <c:v>14.299999999200001</c:v>
                </c:pt>
                <c:pt idx="1753">
                  <c:v>17.420000000399998</c:v>
                </c:pt>
                <c:pt idx="1754">
                  <c:v>17.420000000399998</c:v>
                </c:pt>
                <c:pt idx="1755">
                  <c:v>19.4100000012</c:v>
                </c:pt>
                <c:pt idx="1756">
                  <c:v>19.4100000012</c:v>
                </c:pt>
                <c:pt idx="1757">
                  <c:v>19.850000000400001</c:v>
                </c:pt>
                <c:pt idx="1758">
                  <c:v>19.850000000400001</c:v>
                </c:pt>
                <c:pt idx="1759">
                  <c:v>20.199999999599999</c:v>
                </c:pt>
                <c:pt idx="1760">
                  <c:v>20.199999999599999</c:v>
                </c:pt>
                <c:pt idx="1761">
                  <c:v>20.739999999600002</c:v>
                </c:pt>
                <c:pt idx="1762">
                  <c:v>20.829999999600002</c:v>
                </c:pt>
                <c:pt idx="1763">
                  <c:v>20.829999999600002</c:v>
                </c:pt>
                <c:pt idx="1764">
                  <c:v>20.760000001200002</c:v>
                </c:pt>
                <c:pt idx="1765">
                  <c:v>20.760000001200002</c:v>
                </c:pt>
                <c:pt idx="1766">
                  <c:v>19.929999999600003</c:v>
                </c:pt>
                <c:pt idx="1767">
                  <c:v>19.929999999600003</c:v>
                </c:pt>
                <c:pt idx="1768">
                  <c:v>18.2300000004</c:v>
                </c:pt>
                <c:pt idx="1769">
                  <c:v>18.2300000004</c:v>
                </c:pt>
                <c:pt idx="1770">
                  <c:v>14.590000000800002</c:v>
                </c:pt>
                <c:pt idx="1771">
                  <c:v>14.590000000800002</c:v>
                </c:pt>
                <c:pt idx="1772">
                  <c:v>13.799999998800001</c:v>
                </c:pt>
                <c:pt idx="1773">
                  <c:v>13.799999998800001</c:v>
                </c:pt>
                <c:pt idx="1774">
                  <c:v>13.759999999200001</c:v>
                </c:pt>
                <c:pt idx="1775">
                  <c:v>13.719999999600001</c:v>
                </c:pt>
                <c:pt idx="1776">
                  <c:v>13.68</c:v>
                </c:pt>
                <c:pt idx="1777">
                  <c:v>13.550000000400001</c:v>
                </c:pt>
                <c:pt idx="1778">
                  <c:v>13.550000000400001</c:v>
                </c:pt>
                <c:pt idx="1779">
                  <c:v>13.550000000400001</c:v>
                </c:pt>
                <c:pt idx="1780">
                  <c:v>14.569999999200002</c:v>
                </c:pt>
                <c:pt idx="1781">
                  <c:v>14.889999999600001</c:v>
                </c:pt>
                <c:pt idx="1782">
                  <c:v>14.640000001199999</c:v>
                </c:pt>
                <c:pt idx="1783">
                  <c:v>14.640000001199999</c:v>
                </c:pt>
                <c:pt idx="1784">
                  <c:v>14.550000001200001</c:v>
                </c:pt>
                <c:pt idx="1785">
                  <c:v>14.699999998799999</c:v>
                </c:pt>
                <c:pt idx="1786">
                  <c:v>14.699999998799999</c:v>
                </c:pt>
                <c:pt idx="1787">
                  <c:v>15.099999998400001</c:v>
                </c:pt>
                <c:pt idx="1788">
                  <c:v>15.099999998400001</c:v>
                </c:pt>
                <c:pt idx="1789">
                  <c:v>15.099999998400001</c:v>
                </c:pt>
                <c:pt idx="1790">
                  <c:v>15.350000000400001</c:v>
                </c:pt>
                <c:pt idx="1791">
                  <c:v>15.310000000799999</c:v>
                </c:pt>
                <c:pt idx="1792">
                  <c:v>15.249999999599998</c:v>
                </c:pt>
                <c:pt idx="1793">
                  <c:v>15.249999999599998</c:v>
                </c:pt>
                <c:pt idx="1794">
                  <c:v>15.0599999988</c:v>
                </c:pt>
                <c:pt idx="1795">
                  <c:v>15.0599999988</c:v>
                </c:pt>
                <c:pt idx="1796">
                  <c:v>14.960000001600001</c:v>
                </c:pt>
                <c:pt idx="1797">
                  <c:v>15.000000001200002</c:v>
                </c:pt>
                <c:pt idx="1798">
                  <c:v>14.730000001200001</c:v>
                </c:pt>
                <c:pt idx="1799">
                  <c:v>14.730000001200001</c:v>
                </c:pt>
                <c:pt idx="1800">
                  <c:v>14.730000001200001</c:v>
                </c:pt>
                <c:pt idx="1801">
                  <c:v>13.849999999200001</c:v>
                </c:pt>
                <c:pt idx="1802">
                  <c:v>13.3899999984</c:v>
                </c:pt>
                <c:pt idx="1803">
                  <c:v>13.029999998400001</c:v>
                </c:pt>
                <c:pt idx="1804">
                  <c:v>12.3199999992</c:v>
                </c:pt>
                <c:pt idx="1805">
                  <c:v>11.220000001200001</c:v>
                </c:pt>
                <c:pt idx="1806">
                  <c:v>10.050000001199999</c:v>
                </c:pt>
                <c:pt idx="1807">
                  <c:v>10.050000001199999</c:v>
                </c:pt>
                <c:pt idx="1808">
                  <c:v>6.5499999983999997</c:v>
                </c:pt>
                <c:pt idx="1809">
                  <c:v>4.3999999992000003</c:v>
                </c:pt>
                <c:pt idx="1810">
                  <c:v>4.3999999992000003</c:v>
                </c:pt>
                <c:pt idx="1811">
                  <c:v>1.9299999995999999</c:v>
                </c:pt>
                <c:pt idx="1812">
                  <c:v>0.88999999919999995</c:v>
                </c:pt>
                <c:pt idx="1813">
                  <c:v>0.21999999960000002</c:v>
                </c:pt>
                <c:pt idx="1814">
                  <c:v>0.21999999960000002</c:v>
                </c:pt>
                <c:pt idx="1815">
                  <c:v>0.1299999996</c:v>
                </c:pt>
                <c:pt idx="1816">
                  <c:v>0.1299999996</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numCache>
            </c:numRef>
          </c:yVal>
          <c:smooth val="0"/>
          <c:extLst xmlns:c15="http://schemas.microsoft.com/office/drawing/2012/chart">
            <c:ext xmlns:c16="http://schemas.microsoft.com/office/drawing/2014/chart" uri="{C3380CC4-5D6E-409C-BE32-E72D297353CC}">
              <c16:uniqueId val="{00000000-22C9-4DA9-918C-7A676BBDD8ED}"/>
            </c:ext>
          </c:extLst>
        </c:ser>
        <c:ser>
          <c:idx val="1"/>
          <c:order val="1"/>
          <c:tx>
            <c:v>Line Speed</c:v>
          </c:tx>
          <c:spPr>
            <a:ln w="9525" cap="rnd">
              <a:solidFill>
                <a:srgbClr val="FF0000"/>
              </a:solidFill>
              <a:prstDash val="dash"/>
              <a:round/>
            </a:ln>
            <a:effectLst>
              <a:outerShdw blurRad="57150" dist="19050" dir="5400000" algn="ctr" rotWithShape="0">
                <a:srgbClr val="000000">
                  <a:alpha val="63000"/>
                </a:srgbClr>
              </a:outerShdw>
            </a:effectLst>
          </c:spPr>
          <c:marker>
            <c:symbol val="none"/>
          </c:marker>
          <c:dPt>
            <c:idx val="54"/>
            <c:marker>
              <c:symbol val="none"/>
            </c:marker>
            <c:bubble3D val="0"/>
            <c:extLst>
              <c:ext xmlns:c16="http://schemas.microsoft.com/office/drawing/2014/chart" uri="{C3380CC4-5D6E-409C-BE32-E72D297353CC}">
                <c16:uniqueId val="{00000001-22C9-4DA9-918C-7A676BBDD8ED}"/>
              </c:ext>
            </c:extLst>
          </c:dPt>
          <c:dLbls>
            <c:dLbl>
              <c:idx val="2"/>
              <c:layout>
                <c:manualLayout>
                  <c:x val="-5.4616825874355714E-3"/>
                  <c:y val="-8.3594566353187051E-3"/>
                </c:manualLayout>
              </c:layout>
              <c:tx>
                <c:rich>
                  <a:bodyPr/>
                  <a:lstStyle/>
                  <a:p>
                    <a:r>
                      <a:rPr lang="en-US" sz="600">
                        <a:solidFill>
                          <a:schemeClr val="accent2"/>
                        </a:solidFill>
                      </a:rPr>
                      <a:t>I27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2C9-4DA9-918C-7A676BBDD8ED}"/>
                </c:ext>
              </c:extLst>
            </c:dLbl>
            <c:dLbl>
              <c:idx val="6"/>
              <c:layout>
                <c:manualLayout>
                  <c:x val="-4.0962619405766785E-3"/>
                  <c:y val="-8.3594566353187051E-3"/>
                </c:manualLayout>
              </c:layout>
              <c:tx>
                <c:rich>
                  <a:bodyPr/>
                  <a:lstStyle/>
                  <a:p>
                    <a:r>
                      <a:rPr lang="en-US" sz="500">
                        <a:solidFill>
                          <a:schemeClr val="accent2"/>
                        </a:solidFill>
                      </a:rPr>
                      <a:t>I26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2C9-4DA9-918C-7A676BBDD8ED}"/>
                </c:ext>
              </c:extLst>
            </c:dLbl>
            <c:dLbl>
              <c:idx val="11"/>
              <c:layout>
                <c:manualLayout>
                  <c:x val="-2.3212150996601191E-2"/>
                  <c:y val="-8.3594566353187814E-3"/>
                </c:manualLayout>
              </c:layout>
              <c:tx>
                <c:rich>
                  <a:bodyPr/>
                  <a:lstStyle/>
                  <a:p>
                    <a:r>
                      <a:rPr lang="en-US" sz="500">
                        <a:solidFill>
                          <a:schemeClr val="accent2"/>
                        </a:solidFill>
                      </a:rPr>
                      <a:t>I25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2C9-4DA9-918C-7A676BBDD8ED}"/>
                </c:ext>
              </c:extLst>
            </c:dLbl>
            <c:dLbl>
              <c:idx val="18"/>
              <c:layout>
                <c:manualLayout>
                  <c:x val="-2.5943016983635485E-2"/>
                  <c:y val="-9.2789968652038386E-3"/>
                </c:manualLayout>
              </c:layout>
              <c:tx>
                <c:rich>
                  <a:bodyPr/>
                  <a:lstStyle/>
                  <a:p>
                    <a:r>
                      <a:rPr lang="en-US" sz="500">
                        <a:solidFill>
                          <a:schemeClr val="accent2"/>
                        </a:solidFill>
                      </a:rPr>
                      <a:t>I24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2C9-4DA9-918C-7A676BBDD8ED}"/>
                </c:ext>
              </c:extLst>
            </c:dLbl>
            <c:dLbl>
              <c:idx val="26"/>
              <c:layout>
                <c:manualLayout>
                  <c:x val="-2.7321328686373245E-2"/>
                  <c:y val="-8.3594702335848189E-3"/>
                </c:manualLayout>
              </c:layout>
              <c:tx>
                <c:rich>
                  <a:bodyPr/>
                  <a:lstStyle/>
                  <a:p>
                    <a:r>
                      <a:rPr lang="en-US" sz="500">
                        <a:solidFill>
                          <a:schemeClr val="accent2"/>
                        </a:solidFill>
                      </a:rPr>
                      <a:t>I23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C-22C9-4DA9-918C-7A676BBDD8ED}"/>
                </c:ext>
              </c:extLst>
            </c:dLbl>
            <c:dLbl>
              <c:idx val="34"/>
              <c:layout>
                <c:manualLayout>
                  <c:x val="-2.5936352856502854E-2"/>
                  <c:y val="-9.2789968652037622E-3"/>
                </c:manualLayout>
              </c:layout>
              <c:tx>
                <c:rich>
                  <a:bodyPr/>
                  <a:lstStyle/>
                  <a:p>
                    <a:r>
                      <a:rPr lang="en-US" sz="500">
                        <a:solidFill>
                          <a:schemeClr val="accent2"/>
                        </a:solidFill>
                      </a:rPr>
                      <a:t>I22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22C9-4DA9-918C-7A676BBDD8ED}"/>
                </c:ext>
              </c:extLst>
            </c:dLbl>
            <c:dLbl>
              <c:idx val="48"/>
              <c:layout>
                <c:manualLayout>
                  <c:x val="-2.7301424059476741E-2"/>
                  <c:y val="-6.2695924764891052E-3"/>
                </c:manualLayout>
              </c:layout>
              <c:tx>
                <c:rich>
                  <a:bodyPr/>
                  <a:lstStyle/>
                  <a:p>
                    <a:r>
                      <a:rPr lang="en-US" sz="500">
                        <a:solidFill>
                          <a:schemeClr val="accent2"/>
                        </a:solidFill>
                      </a:rPr>
                      <a:t>I19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2-22C9-4DA9-918C-7A676BBDD8ED}"/>
                </c:ext>
              </c:extLst>
            </c:dLbl>
            <c:dLbl>
              <c:idx val="54"/>
              <c:layout>
                <c:manualLayout>
                  <c:x val="-1.9109934756089866E-2"/>
                  <c:y val="-8.3594706639097769E-3"/>
                </c:manualLayout>
              </c:layout>
              <c:tx>
                <c:rich>
                  <a:bodyPr/>
                  <a:lstStyle/>
                  <a:p>
                    <a:r>
                      <a:rPr lang="en-US"/>
                      <a:t>I18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2C9-4DA9-918C-7A676BBDD8ED}"/>
                </c:ext>
              </c:extLst>
            </c:dLbl>
            <c:dLbl>
              <c:idx val="63"/>
              <c:layout>
                <c:manualLayout>
                  <c:x val="-1.6381932791188037E-2"/>
                  <c:y val="-9.2789015912759475E-3"/>
                </c:manualLayout>
              </c:layout>
              <c:tx>
                <c:rich>
                  <a:bodyPr/>
                  <a:lstStyle/>
                  <a:p>
                    <a:r>
                      <a:rPr lang="en-US"/>
                      <a:t>I17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0-22C9-4DA9-918C-7A676BBDD8ED}"/>
                </c:ext>
              </c:extLst>
            </c:dLbl>
            <c:dLbl>
              <c:idx val="69"/>
              <c:layout>
                <c:manualLayout>
                  <c:x val="-2.7301424059476741E-2"/>
                  <c:y val="-8.3594566353187051E-3"/>
                </c:manualLayout>
              </c:layout>
              <c:tx>
                <c:rich>
                  <a:bodyPr/>
                  <a:lstStyle/>
                  <a:p>
                    <a:r>
                      <a:rPr lang="en-US" sz="500">
                        <a:solidFill>
                          <a:schemeClr val="accent2"/>
                        </a:solidFill>
                      </a:rPr>
                      <a:t>I16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6-22C9-4DA9-918C-7A676BBDD8ED}"/>
                </c:ext>
              </c:extLst>
            </c:dLbl>
            <c:dLbl>
              <c:idx val="74"/>
              <c:layout>
                <c:manualLayout>
                  <c:x val="-1.0920569623790675E-2"/>
                  <c:y val="-8.3594566353187051E-3"/>
                </c:manualLayout>
              </c:layout>
              <c:tx>
                <c:rich>
                  <a:bodyPr/>
                  <a:lstStyle/>
                  <a:p>
                    <a:r>
                      <a:rPr lang="en-US" sz="500">
                        <a:solidFill>
                          <a:schemeClr val="accent2"/>
                        </a:solidFill>
                      </a:rPr>
                      <a:t>I15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4B-22C9-4DA9-918C-7A676BBDD8ED}"/>
                </c:ext>
              </c:extLst>
            </c:dLbl>
            <c:dLbl>
              <c:idx val="83"/>
              <c:layout>
                <c:manualLayout>
                  <c:x val="-2.3206210450555136E-2"/>
                  <c:y val="-8.3594566353187051E-3"/>
                </c:manualLayout>
              </c:layout>
              <c:tx>
                <c:rich>
                  <a:bodyPr/>
                  <a:lstStyle/>
                  <a:p>
                    <a:r>
                      <a:rPr lang="en-US" sz="500">
                        <a:solidFill>
                          <a:schemeClr val="accent2"/>
                        </a:solidFill>
                      </a:rPr>
                      <a:t>I14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4-22C9-4DA9-918C-7A676BBDD8ED}"/>
                </c:ext>
              </c:extLst>
            </c:dLbl>
            <c:dLbl>
              <c:idx val="88"/>
              <c:layout>
                <c:manualLayout>
                  <c:x val="-2.3206210450555285E-2"/>
                  <c:y val="-8.3594566353187051E-3"/>
                </c:manualLayout>
              </c:layout>
              <c:tx>
                <c:rich>
                  <a:bodyPr/>
                  <a:lstStyle/>
                  <a:p>
                    <a:r>
                      <a:rPr lang="en-US" sz="500">
                        <a:solidFill>
                          <a:schemeClr val="accent2"/>
                        </a:solidFill>
                      </a:rPr>
                      <a:t>I13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9-22C9-4DA9-918C-7A676BBDD8ED}"/>
                </c:ext>
              </c:extLst>
            </c:dLbl>
            <c:dLbl>
              <c:idx val="94"/>
              <c:layout>
                <c:manualLayout>
                  <c:x val="-4.0952136089215038E-3"/>
                  <c:y val="-8.3594566353187051E-3"/>
                </c:manualLayout>
              </c:layout>
              <c:tx>
                <c:rich>
                  <a:bodyPr/>
                  <a:lstStyle/>
                  <a:p>
                    <a:r>
                      <a:rPr lang="en-US" sz="500">
                        <a:solidFill>
                          <a:schemeClr val="accent2"/>
                        </a:solidFill>
                      </a:rPr>
                      <a:t>I12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22C9-4DA9-918C-7A676BBDD8ED}"/>
                </c:ext>
              </c:extLst>
            </c:dLbl>
            <c:dLbl>
              <c:idx val="96"/>
              <c:layout>
                <c:manualLayout>
                  <c:x val="-5.8651026392961877E-3"/>
                  <c:y val="-8.0808080808081554E-3"/>
                </c:manualLayout>
              </c:layout>
              <c:tx>
                <c:rich>
                  <a:bodyPr/>
                  <a:lstStyle/>
                  <a:p>
                    <a:r>
                      <a:rPr lang="en-US" sz="500"/>
                      <a:t>PLP</a:t>
                    </a:r>
                    <a:endParaRPr lang="en-US"/>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C179-4BDB-B344-4C99C76E829B}"/>
                </c:ext>
              </c:extLst>
            </c:dLbl>
            <c:dLbl>
              <c:idx val="102"/>
              <c:layout>
                <c:manualLayout>
                  <c:x val="-1.228564082676451E-2"/>
                  <c:y val="-1.0449320794148381E-2"/>
                </c:manualLayout>
              </c:layout>
              <c:tx>
                <c:rich>
                  <a:bodyPr/>
                  <a:lstStyle/>
                  <a:p>
                    <a:r>
                      <a:rPr lang="en-US" sz="500">
                        <a:solidFill>
                          <a:schemeClr val="accent2"/>
                        </a:solidFill>
                      </a:rPr>
                      <a:t>I11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7-22C9-4DA9-918C-7A676BBDD8ED}"/>
                </c:ext>
              </c:extLst>
            </c:dLbl>
            <c:dLbl>
              <c:idx val="106"/>
              <c:layout>
                <c:manualLayout>
                  <c:x val="-1.7745925638659947E-2"/>
                  <c:y val="-1.0449320794148381E-2"/>
                </c:manualLayout>
              </c:layout>
              <c:tx>
                <c:rich>
                  <a:bodyPr/>
                  <a:lstStyle/>
                  <a:p>
                    <a:r>
                      <a:rPr lang="en-US" sz="500">
                        <a:solidFill>
                          <a:schemeClr val="accent2"/>
                        </a:solidFill>
                      </a:rPr>
                      <a:t>I10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6B-22C9-4DA9-918C-7A676BBDD8ED}"/>
                </c:ext>
              </c:extLst>
            </c:dLbl>
            <c:dLbl>
              <c:idx val="117"/>
              <c:layout>
                <c:manualLayout>
                  <c:x val="-2.2524172514770464E-2"/>
                  <c:y val="-1.0449320794148381E-2"/>
                </c:manualLayout>
              </c:layout>
              <c:tx>
                <c:rich>
                  <a:bodyPr/>
                  <a:lstStyle/>
                  <a:p>
                    <a:r>
                      <a:rPr lang="en-US"/>
                      <a:t>I8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76-22C9-4DA9-918C-7A676BBDD8ED}"/>
                </c:ext>
              </c:extLst>
            </c:dLbl>
            <c:dLbl>
              <c:idx val="133"/>
              <c:layout>
                <c:manualLayout>
                  <c:x val="-2.184113924758135E-2"/>
                  <c:y val="-8.3594566353187814E-3"/>
                </c:manualLayout>
              </c:layout>
              <c:tx>
                <c:rich>
                  <a:bodyPr/>
                  <a:lstStyle/>
                  <a:p>
                    <a:r>
                      <a:rPr lang="en-US" sz="500">
                        <a:solidFill>
                          <a:schemeClr val="accent2"/>
                        </a:solidFill>
                      </a:rPr>
                      <a:t>I6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86-22C9-4DA9-918C-7A676BBDD8ED}"/>
                </c:ext>
              </c:extLst>
            </c:dLbl>
            <c:dLbl>
              <c:idx val="144"/>
              <c:layout>
                <c:manualLayout>
                  <c:x val="-1.3650712029738445E-2"/>
                  <c:y val="-1.0449320794148381E-2"/>
                </c:manualLayout>
              </c:layout>
              <c:tx>
                <c:rich>
                  <a:bodyPr/>
                  <a:lstStyle/>
                  <a:p>
                    <a:r>
                      <a:rPr lang="en-US" sz="500">
                        <a:solidFill>
                          <a:schemeClr val="accent2"/>
                        </a:solidFill>
                      </a:rPr>
                      <a:t>I5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1-22C9-4DA9-918C-7A676BBDD8ED}"/>
                </c:ext>
              </c:extLst>
            </c:dLbl>
            <c:dLbl>
              <c:idx val="153"/>
              <c:layout>
                <c:manualLayout>
                  <c:x val="-2.3206210450555185E-2"/>
                  <c:y val="-8.3594566353187051E-3"/>
                </c:manualLayout>
              </c:layout>
              <c:tx>
                <c:rich>
                  <a:bodyPr/>
                  <a:lstStyle/>
                  <a:p>
                    <a:r>
                      <a:rPr lang="en-US" sz="500">
                        <a:solidFill>
                          <a:schemeClr val="accent2"/>
                        </a:solidFill>
                      </a:rPr>
                      <a:t>I4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9A-22C9-4DA9-918C-7A676BBDD8ED}"/>
                </c:ext>
              </c:extLst>
            </c:dLbl>
            <c:dLbl>
              <c:idx val="159"/>
              <c:layout>
                <c:manualLayout>
                  <c:x val="-2.3206210450555285E-2"/>
                  <c:y val="-8.3594566353187051E-3"/>
                </c:manualLayout>
              </c:layout>
              <c:tx>
                <c:rich>
                  <a:bodyPr/>
                  <a:lstStyle/>
                  <a:p>
                    <a:r>
                      <a:rPr lang="en-US" sz="500">
                        <a:solidFill>
                          <a:schemeClr val="accent2"/>
                        </a:solidFill>
                      </a:rPr>
                      <a:t>I3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0-22C9-4DA9-918C-7A676BBDD8ED}"/>
                </c:ext>
              </c:extLst>
            </c:dLbl>
            <c:dLbl>
              <c:idx val="167"/>
              <c:layout>
                <c:manualLayout>
                  <c:x val="-8.1904272178430076E-3"/>
                  <c:y val="-1.0449320794148381E-2"/>
                </c:manualLayout>
              </c:layout>
              <c:tx>
                <c:rich>
                  <a:bodyPr/>
                  <a:lstStyle/>
                  <a:p>
                    <a:r>
                      <a:rPr lang="en-US" sz="500">
                        <a:solidFill>
                          <a:schemeClr val="accent2"/>
                        </a:solidFill>
                      </a:rPr>
                      <a:t>I2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8-22C9-4DA9-918C-7A676BBDD8ED}"/>
                </c:ext>
              </c:extLst>
            </c:dLbl>
            <c:dLbl>
              <c:idx val="170"/>
              <c:layout>
                <c:manualLayout>
                  <c:x val="-4.0952136089215038E-3"/>
                  <c:y val="-1.0449320794148381E-2"/>
                </c:manualLayout>
              </c:layout>
              <c:tx>
                <c:rich>
                  <a:bodyPr/>
                  <a:lstStyle/>
                  <a:p>
                    <a:r>
                      <a:rPr lang="en-US" sz="500">
                        <a:solidFill>
                          <a:schemeClr val="accent2"/>
                        </a:solidFill>
                      </a:rPr>
                      <a:t>I1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AB-22C9-4DA9-918C-7A676BBDD8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'Speed reference'!$A$2:$A$177</c:f>
              <c:numCache>
                <c:formatCode>0</c:formatCode>
                <c:ptCount val="176"/>
                <c:pt idx="0">
                  <c:v>0</c:v>
                </c:pt>
                <c:pt idx="1">
                  <c:v>6.0999999986961484</c:v>
                </c:pt>
                <c:pt idx="2">
                  <c:v>46.940000000176951</c:v>
                </c:pt>
                <c:pt idx="3">
                  <c:v>92.82</c:v>
                </c:pt>
                <c:pt idx="4">
                  <c:v>92.83000000868924</c:v>
                </c:pt>
                <c:pt idx="5">
                  <c:v>192.32</c:v>
                </c:pt>
                <c:pt idx="6">
                  <c:v>192.32999999076128</c:v>
                </c:pt>
                <c:pt idx="7">
                  <c:v>251.09</c:v>
                </c:pt>
                <c:pt idx="8">
                  <c:v>251.09999999403954</c:v>
                </c:pt>
                <c:pt idx="9">
                  <c:v>428.40000000433065</c:v>
                </c:pt>
                <c:pt idx="10">
                  <c:v>500.81</c:v>
                </c:pt>
                <c:pt idx="11">
                  <c:v>500.82000001566485</c:v>
                </c:pt>
                <c:pt idx="12">
                  <c:v>552.79999999999995</c:v>
                </c:pt>
                <c:pt idx="13">
                  <c:v>552.80999999376945</c:v>
                </c:pt>
                <c:pt idx="14">
                  <c:v>593.83000000000004</c:v>
                </c:pt>
                <c:pt idx="15">
                  <c:v>593.8400000159163</c:v>
                </c:pt>
                <c:pt idx="16">
                  <c:v>768.42</c:v>
                </c:pt>
                <c:pt idx="17">
                  <c:v>768.42999999644235</c:v>
                </c:pt>
                <c:pt idx="18">
                  <c:v>805.22999999811873</c:v>
                </c:pt>
                <c:pt idx="19">
                  <c:v>859.45000001811422</c:v>
                </c:pt>
                <c:pt idx="20">
                  <c:v>906.35</c:v>
                </c:pt>
                <c:pt idx="21">
                  <c:v>906.35999999358319</c:v>
                </c:pt>
                <c:pt idx="22">
                  <c:v>1001.2400000123307</c:v>
                </c:pt>
                <c:pt idx="23">
                  <c:v>1115.6499999924563</c:v>
                </c:pt>
                <c:pt idx="24">
                  <c:v>1214.3</c:v>
                </c:pt>
                <c:pt idx="25">
                  <c:v>1214.3100000103004</c:v>
                </c:pt>
                <c:pt idx="26">
                  <c:v>1259.6800000173971</c:v>
                </c:pt>
                <c:pt idx="27">
                  <c:v>1325.03</c:v>
                </c:pt>
                <c:pt idx="28">
                  <c:v>1325.0399999960791</c:v>
                </c:pt>
                <c:pt idx="29">
                  <c:v>1361.76</c:v>
                </c:pt>
                <c:pt idx="30">
                  <c:v>1361.7700000177138</c:v>
                </c:pt>
                <c:pt idx="31">
                  <c:v>1550.9500000043772</c:v>
                </c:pt>
                <c:pt idx="32">
                  <c:v>1864.21</c:v>
                </c:pt>
                <c:pt idx="33">
                  <c:v>1864.2200000176672</c:v>
                </c:pt>
                <c:pt idx="34">
                  <c:v>1900.3399999928661</c:v>
                </c:pt>
                <c:pt idx="35">
                  <c:v>1969.22</c:v>
                </c:pt>
                <c:pt idx="36">
                  <c:v>1969.230000016978</c:v>
                </c:pt>
                <c:pt idx="37">
                  <c:v>2008.69</c:v>
                </c:pt>
                <c:pt idx="38">
                  <c:v>2008.7000000057742</c:v>
                </c:pt>
                <c:pt idx="39">
                  <c:v>2174.7599999944214</c:v>
                </c:pt>
                <c:pt idx="40">
                  <c:v>2387.8600000170991</c:v>
                </c:pt>
                <c:pt idx="41">
                  <c:v>2551.3800000189804</c:v>
                </c:pt>
                <c:pt idx="42">
                  <c:v>2654.03</c:v>
                </c:pt>
                <c:pt idx="43">
                  <c:v>2654.0399999939837</c:v>
                </c:pt>
                <c:pt idx="44">
                  <c:v>2687.7099999983329</c:v>
                </c:pt>
                <c:pt idx="45">
                  <c:v>2765.2900000102818</c:v>
                </c:pt>
                <c:pt idx="46">
                  <c:v>2969.75</c:v>
                </c:pt>
                <c:pt idx="47">
                  <c:v>2969.7600000072271</c:v>
                </c:pt>
                <c:pt idx="48">
                  <c:v>3021.0000000079162</c:v>
                </c:pt>
                <c:pt idx="49">
                  <c:v>3041.2599999981467</c:v>
                </c:pt>
                <c:pt idx="50">
                  <c:v>3075.8100000093691</c:v>
                </c:pt>
                <c:pt idx="51">
                  <c:v>3103.22</c:v>
                </c:pt>
                <c:pt idx="52">
                  <c:v>3103.2300000078976</c:v>
                </c:pt>
                <c:pt idx="53">
                  <c:v>3150.5900000047404</c:v>
                </c:pt>
                <c:pt idx="54">
                  <c:v>3281.0100000060629</c:v>
                </c:pt>
                <c:pt idx="55">
                  <c:v>3337.679999996908</c:v>
                </c:pt>
                <c:pt idx="56">
                  <c:v>3381.33</c:v>
                </c:pt>
                <c:pt idx="57">
                  <c:v>3381.3399999926332</c:v>
                </c:pt>
                <c:pt idx="58">
                  <c:v>3559.26</c:v>
                </c:pt>
                <c:pt idx="59">
                  <c:v>3559.2699999979232</c:v>
                </c:pt>
                <c:pt idx="60">
                  <c:v>3692.02</c:v>
                </c:pt>
                <c:pt idx="61">
                  <c:v>3692.0300000056159</c:v>
                </c:pt>
                <c:pt idx="62">
                  <c:v>3731.99</c:v>
                </c:pt>
                <c:pt idx="63">
                  <c:v>3732.0000000181608</c:v>
                </c:pt>
                <c:pt idx="64">
                  <c:v>3787.4700000102166</c:v>
                </c:pt>
                <c:pt idx="65">
                  <c:v>3847.61</c:v>
                </c:pt>
                <c:pt idx="66">
                  <c:v>3847.6200000150129</c:v>
                </c:pt>
                <c:pt idx="67">
                  <c:v>4154.72</c:v>
                </c:pt>
                <c:pt idx="68">
                  <c:v>4154.7300000092946</c:v>
                </c:pt>
                <c:pt idx="69">
                  <c:v>4206.8000000144821</c:v>
                </c:pt>
                <c:pt idx="70">
                  <c:v>4246.3599999999997</c:v>
                </c:pt>
                <c:pt idx="71">
                  <c:v>4246.370000008028</c:v>
                </c:pt>
                <c:pt idx="72">
                  <c:v>4939.54</c:v>
                </c:pt>
                <c:pt idx="73">
                  <c:v>4939.5500000100583</c:v>
                </c:pt>
                <c:pt idx="74">
                  <c:v>4966.2799999932759</c:v>
                </c:pt>
                <c:pt idx="75">
                  <c:v>5032.3500000000004</c:v>
                </c:pt>
                <c:pt idx="76">
                  <c:v>5032.3600000119768</c:v>
                </c:pt>
                <c:pt idx="77">
                  <c:v>5068.4699999983422</c:v>
                </c:pt>
                <c:pt idx="78">
                  <c:v>5075.82</c:v>
                </c:pt>
                <c:pt idx="79">
                  <c:v>5075.8300000161398</c:v>
                </c:pt>
                <c:pt idx="80">
                  <c:v>5187.1400000000003</c:v>
                </c:pt>
                <c:pt idx="81">
                  <c:v>5187.1500000124797</c:v>
                </c:pt>
                <c:pt idx="82">
                  <c:v>5237.83</c:v>
                </c:pt>
                <c:pt idx="83">
                  <c:v>5237.8400000161491</c:v>
                </c:pt>
                <c:pt idx="84">
                  <c:v>5315.7700000156183</c:v>
                </c:pt>
                <c:pt idx="85">
                  <c:v>5355.57</c:v>
                </c:pt>
                <c:pt idx="86">
                  <c:v>5355.5800000031013</c:v>
                </c:pt>
                <c:pt idx="87">
                  <c:v>5522.47</c:v>
                </c:pt>
                <c:pt idx="88">
                  <c:v>5522.480000014184</c:v>
                </c:pt>
                <c:pt idx="89">
                  <c:v>5555.65</c:v>
                </c:pt>
                <c:pt idx="90">
                  <c:v>5555.6600000127219</c:v>
                </c:pt>
                <c:pt idx="91">
                  <c:v>5926.52</c:v>
                </c:pt>
                <c:pt idx="92">
                  <c:v>5926.5299999970011</c:v>
                </c:pt>
                <c:pt idx="93">
                  <c:v>5960.8500000031199</c:v>
                </c:pt>
                <c:pt idx="94">
                  <c:v>6008.1200000131503</c:v>
                </c:pt>
                <c:pt idx="95">
                  <c:v>6061.9</c:v>
                </c:pt>
                <c:pt idx="96">
                  <c:v>6061.9100000185426</c:v>
                </c:pt>
                <c:pt idx="97">
                  <c:v>6424.75</c:v>
                </c:pt>
                <c:pt idx="98">
                  <c:v>6424.7599999944214</c:v>
                </c:pt>
                <c:pt idx="99">
                  <c:v>6488.9</c:v>
                </c:pt>
                <c:pt idx="100">
                  <c:v>6488.9100000145845</c:v>
                </c:pt>
                <c:pt idx="101">
                  <c:v>6602.77</c:v>
                </c:pt>
                <c:pt idx="102">
                  <c:v>6602.7800000156276</c:v>
                </c:pt>
                <c:pt idx="103">
                  <c:v>6688.5699999984354</c:v>
                </c:pt>
                <c:pt idx="104">
                  <c:v>6724.6900000027381</c:v>
                </c:pt>
                <c:pt idx="105">
                  <c:v>6764.29</c:v>
                </c:pt>
                <c:pt idx="106">
                  <c:v>6764.3000000098255</c:v>
                </c:pt>
                <c:pt idx="107">
                  <c:v>6814.0600000042468</c:v>
                </c:pt>
                <c:pt idx="108">
                  <c:v>6846.42</c:v>
                </c:pt>
                <c:pt idx="109">
                  <c:v>6846.4300000050571</c:v>
                </c:pt>
                <c:pt idx="110">
                  <c:v>7305.29</c:v>
                </c:pt>
                <c:pt idx="111">
                  <c:v>7305.3000000072643</c:v>
                </c:pt>
                <c:pt idx="112">
                  <c:v>7353.0099999916274</c:v>
                </c:pt>
                <c:pt idx="113">
                  <c:v>7394.7899999911897</c:v>
                </c:pt>
                <c:pt idx="114">
                  <c:v>7419.14</c:v>
                </c:pt>
                <c:pt idx="115">
                  <c:v>7419.1500000015367</c:v>
                </c:pt>
                <c:pt idx="116">
                  <c:v>7717.28</c:v>
                </c:pt>
                <c:pt idx="117">
                  <c:v>7717.2900000005029</c:v>
                </c:pt>
                <c:pt idx="118">
                  <c:v>7771.630000002915</c:v>
                </c:pt>
                <c:pt idx="119">
                  <c:v>7802.51</c:v>
                </c:pt>
                <c:pt idx="120">
                  <c:v>7802.5199999974575</c:v>
                </c:pt>
                <c:pt idx="121">
                  <c:v>8154.01</c:v>
                </c:pt>
                <c:pt idx="122">
                  <c:v>8154.0200000163168</c:v>
                </c:pt>
                <c:pt idx="123">
                  <c:v>8191.9099999940954</c:v>
                </c:pt>
                <c:pt idx="124">
                  <c:v>8203.52</c:v>
                </c:pt>
                <c:pt idx="125">
                  <c:v>8203.5299999988638</c:v>
                </c:pt>
                <c:pt idx="126">
                  <c:v>8246.66000000434</c:v>
                </c:pt>
                <c:pt idx="127">
                  <c:v>8298.16</c:v>
                </c:pt>
                <c:pt idx="128">
                  <c:v>8298.1699999945704</c:v>
                </c:pt>
                <c:pt idx="129">
                  <c:v>8941.84</c:v>
                </c:pt>
                <c:pt idx="130">
                  <c:v>8941.8500000028871</c:v>
                </c:pt>
                <c:pt idx="131">
                  <c:v>9034.34</c:v>
                </c:pt>
                <c:pt idx="132">
                  <c:v>9034.3500000017229</c:v>
                </c:pt>
                <c:pt idx="133">
                  <c:v>9064.379999996163</c:v>
                </c:pt>
                <c:pt idx="134">
                  <c:v>9112.410000001546</c:v>
                </c:pt>
                <c:pt idx="135">
                  <c:v>9130.08</c:v>
                </c:pt>
                <c:pt idx="136">
                  <c:v>9130.0899999914691</c:v>
                </c:pt>
                <c:pt idx="137">
                  <c:v>9164.8100000165869</c:v>
                </c:pt>
                <c:pt idx="138">
                  <c:v>9187.0499999999993</c:v>
                </c:pt>
                <c:pt idx="139">
                  <c:v>9187.0599999965634</c:v>
                </c:pt>
                <c:pt idx="140">
                  <c:v>9276.27</c:v>
                </c:pt>
                <c:pt idx="141">
                  <c:v>9276.2799999909475</c:v>
                </c:pt>
                <c:pt idx="142">
                  <c:v>9796.34</c:v>
                </c:pt>
                <c:pt idx="143">
                  <c:v>9796.3500000187196</c:v>
                </c:pt>
                <c:pt idx="144">
                  <c:v>9858.379999990575</c:v>
                </c:pt>
                <c:pt idx="145">
                  <c:v>9915.41</c:v>
                </c:pt>
                <c:pt idx="146">
                  <c:v>9915.4200000048149</c:v>
                </c:pt>
                <c:pt idx="147">
                  <c:v>9956.91</c:v>
                </c:pt>
                <c:pt idx="148">
                  <c:v>9956.9199999968987</c:v>
                </c:pt>
                <c:pt idx="149">
                  <c:v>10102.92</c:v>
                </c:pt>
                <c:pt idx="150">
                  <c:v>10102.929999993648</c:v>
                </c:pt>
                <c:pt idx="151">
                  <c:v>10560.2</c:v>
                </c:pt>
                <c:pt idx="152">
                  <c:v>10560.209999996005</c:v>
                </c:pt>
                <c:pt idx="153">
                  <c:v>10600.860000005923</c:v>
                </c:pt>
                <c:pt idx="154">
                  <c:v>10632.279999990715</c:v>
                </c:pt>
                <c:pt idx="155">
                  <c:v>10695.75</c:v>
                </c:pt>
                <c:pt idx="156">
                  <c:v>10695.760000002338</c:v>
                </c:pt>
                <c:pt idx="157">
                  <c:v>11029</c:v>
                </c:pt>
                <c:pt idx="158">
                  <c:v>11029.009999998379</c:v>
                </c:pt>
                <c:pt idx="159">
                  <c:v>11068.250000011176</c:v>
                </c:pt>
                <c:pt idx="160">
                  <c:v>11123.28</c:v>
                </c:pt>
                <c:pt idx="161">
                  <c:v>11123.290000017732</c:v>
                </c:pt>
                <c:pt idx="162">
                  <c:v>11160.96</c:v>
                </c:pt>
                <c:pt idx="163">
                  <c:v>11160.969999997178</c:v>
                </c:pt>
                <c:pt idx="164">
                  <c:v>11374.869999999646</c:v>
                </c:pt>
                <c:pt idx="165">
                  <c:v>11463.96</c:v>
                </c:pt>
                <c:pt idx="166">
                  <c:v>11463.970000011614</c:v>
                </c:pt>
                <c:pt idx="167">
                  <c:v>11501.510000001872</c:v>
                </c:pt>
                <c:pt idx="168">
                  <c:v>11549.28</c:v>
                </c:pt>
                <c:pt idx="169">
                  <c:v>11549.289999995381</c:v>
                </c:pt>
                <c:pt idx="170">
                  <c:v>11713.560000003781</c:v>
                </c:pt>
                <c:pt idx="171">
                  <c:v>11737.610000011045</c:v>
                </c:pt>
                <c:pt idx="172">
                  <c:v>11785.75</c:v>
                </c:pt>
                <c:pt idx="173">
                  <c:v>11785.759999998845</c:v>
                </c:pt>
                <c:pt idx="174">
                  <c:v>11867.259999999078</c:v>
                </c:pt>
                <c:pt idx="175">
                  <c:v>11901.050000014948</c:v>
                </c:pt>
              </c:numCache>
            </c:numRef>
          </c:xVal>
          <c:yVal>
            <c:numRef>
              <c:f>'Speed reference'!$B$2:$B$325</c:f>
              <c:numCache>
                <c:formatCode>General</c:formatCode>
                <c:ptCount val="176"/>
                <c:pt idx="0">
                  <c:v>15</c:v>
                </c:pt>
                <c:pt idx="1">
                  <c:v>15</c:v>
                </c:pt>
                <c:pt idx="2">
                  <c:v>15</c:v>
                </c:pt>
                <c:pt idx="3">
                  <c:v>15</c:v>
                </c:pt>
                <c:pt idx="4">
                  <c:v>40</c:v>
                </c:pt>
                <c:pt idx="5">
                  <c:v>40</c:v>
                </c:pt>
                <c:pt idx="6">
                  <c:v>30</c:v>
                </c:pt>
                <c:pt idx="7">
                  <c:v>30</c:v>
                </c:pt>
                <c:pt idx="8">
                  <c:v>50</c:v>
                </c:pt>
                <c:pt idx="9">
                  <c:v>50</c:v>
                </c:pt>
                <c:pt idx="10">
                  <c:v>50</c:v>
                </c:pt>
                <c:pt idx="11">
                  <c:v>40</c:v>
                </c:pt>
                <c:pt idx="12">
                  <c:v>40</c:v>
                </c:pt>
                <c:pt idx="13">
                  <c:v>30</c:v>
                </c:pt>
                <c:pt idx="14">
                  <c:v>30</c:v>
                </c:pt>
                <c:pt idx="15">
                  <c:v>60</c:v>
                </c:pt>
                <c:pt idx="16">
                  <c:v>60</c:v>
                </c:pt>
                <c:pt idx="17">
                  <c:v>40</c:v>
                </c:pt>
                <c:pt idx="18">
                  <c:v>40</c:v>
                </c:pt>
                <c:pt idx="19">
                  <c:v>40</c:v>
                </c:pt>
                <c:pt idx="20">
                  <c:v>40</c:v>
                </c:pt>
                <c:pt idx="21">
                  <c:v>60</c:v>
                </c:pt>
                <c:pt idx="22">
                  <c:v>60</c:v>
                </c:pt>
                <c:pt idx="23">
                  <c:v>60</c:v>
                </c:pt>
                <c:pt idx="24">
                  <c:v>60</c:v>
                </c:pt>
                <c:pt idx="25">
                  <c:v>50</c:v>
                </c:pt>
                <c:pt idx="26">
                  <c:v>50</c:v>
                </c:pt>
                <c:pt idx="27">
                  <c:v>50</c:v>
                </c:pt>
                <c:pt idx="28">
                  <c:v>30</c:v>
                </c:pt>
                <c:pt idx="29">
                  <c:v>30</c:v>
                </c:pt>
                <c:pt idx="30">
                  <c:v>60</c:v>
                </c:pt>
                <c:pt idx="31">
                  <c:v>60</c:v>
                </c:pt>
                <c:pt idx="32">
                  <c:v>60</c:v>
                </c:pt>
                <c:pt idx="33">
                  <c:v>50</c:v>
                </c:pt>
                <c:pt idx="34">
                  <c:v>50</c:v>
                </c:pt>
                <c:pt idx="35">
                  <c:v>50</c:v>
                </c:pt>
                <c:pt idx="36">
                  <c:v>30</c:v>
                </c:pt>
                <c:pt idx="37">
                  <c:v>30</c:v>
                </c:pt>
                <c:pt idx="38">
                  <c:v>60</c:v>
                </c:pt>
                <c:pt idx="39">
                  <c:v>60</c:v>
                </c:pt>
                <c:pt idx="40">
                  <c:v>60</c:v>
                </c:pt>
                <c:pt idx="41">
                  <c:v>60</c:v>
                </c:pt>
                <c:pt idx="42">
                  <c:v>60</c:v>
                </c:pt>
                <c:pt idx="43">
                  <c:v>40</c:v>
                </c:pt>
                <c:pt idx="44">
                  <c:v>40</c:v>
                </c:pt>
                <c:pt idx="45">
                  <c:v>40</c:v>
                </c:pt>
                <c:pt idx="46">
                  <c:v>40</c:v>
                </c:pt>
                <c:pt idx="47">
                  <c:v>25</c:v>
                </c:pt>
                <c:pt idx="48">
                  <c:v>25</c:v>
                </c:pt>
                <c:pt idx="49">
                  <c:v>25</c:v>
                </c:pt>
                <c:pt idx="50">
                  <c:v>25</c:v>
                </c:pt>
                <c:pt idx="51">
                  <c:v>25</c:v>
                </c:pt>
                <c:pt idx="52">
                  <c:v>40</c:v>
                </c:pt>
                <c:pt idx="53">
                  <c:v>40</c:v>
                </c:pt>
                <c:pt idx="54">
                  <c:v>40</c:v>
                </c:pt>
                <c:pt idx="55">
                  <c:v>40</c:v>
                </c:pt>
                <c:pt idx="56">
                  <c:v>40</c:v>
                </c:pt>
                <c:pt idx="57">
                  <c:v>60</c:v>
                </c:pt>
                <c:pt idx="58">
                  <c:v>60</c:v>
                </c:pt>
                <c:pt idx="59">
                  <c:v>50</c:v>
                </c:pt>
                <c:pt idx="60">
                  <c:v>50</c:v>
                </c:pt>
                <c:pt idx="61">
                  <c:v>30</c:v>
                </c:pt>
                <c:pt idx="62">
                  <c:v>30</c:v>
                </c:pt>
                <c:pt idx="63">
                  <c:v>50</c:v>
                </c:pt>
                <c:pt idx="64">
                  <c:v>50</c:v>
                </c:pt>
                <c:pt idx="65">
                  <c:v>50</c:v>
                </c:pt>
                <c:pt idx="66">
                  <c:v>60</c:v>
                </c:pt>
                <c:pt idx="67">
                  <c:v>60</c:v>
                </c:pt>
                <c:pt idx="68">
                  <c:v>50</c:v>
                </c:pt>
                <c:pt idx="69">
                  <c:v>50</c:v>
                </c:pt>
                <c:pt idx="70">
                  <c:v>50</c:v>
                </c:pt>
                <c:pt idx="71">
                  <c:v>70</c:v>
                </c:pt>
                <c:pt idx="72">
                  <c:v>70</c:v>
                </c:pt>
                <c:pt idx="73">
                  <c:v>50</c:v>
                </c:pt>
                <c:pt idx="74">
                  <c:v>50</c:v>
                </c:pt>
                <c:pt idx="75">
                  <c:v>50</c:v>
                </c:pt>
                <c:pt idx="76">
                  <c:v>30</c:v>
                </c:pt>
                <c:pt idx="77">
                  <c:v>30</c:v>
                </c:pt>
                <c:pt idx="78">
                  <c:v>30</c:v>
                </c:pt>
                <c:pt idx="79">
                  <c:v>50</c:v>
                </c:pt>
                <c:pt idx="80">
                  <c:v>50</c:v>
                </c:pt>
                <c:pt idx="81">
                  <c:v>40</c:v>
                </c:pt>
                <c:pt idx="82">
                  <c:v>40</c:v>
                </c:pt>
                <c:pt idx="83">
                  <c:v>20</c:v>
                </c:pt>
                <c:pt idx="84">
                  <c:v>20</c:v>
                </c:pt>
                <c:pt idx="85">
                  <c:v>20</c:v>
                </c:pt>
                <c:pt idx="86">
                  <c:v>40</c:v>
                </c:pt>
                <c:pt idx="87">
                  <c:v>40</c:v>
                </c:pt>
                <c:pt idx="88">
                  <c:v>50</c:v>
                </c:pt>
                <c:pt idx="89">
                  <c:v>50</c:v>
                </c:pt>
                <c:pt idx="90">
                  <c:v>60</c:v>
                </c:pt>
                <c:pt idx="91">
                  <c:v>60</c:v>
                </c:pt>
                <c:pt idx="92">
                  <c:v>30</c:v>
                </c:pt>
                <c:pt idx="93">
                  <c:v>30</c:v>
                </c:pt>
                <c:pt idx="94">
                  <c:v>30</c:v>
                </c:pt>
                <c:pt idx="95">
                  <c:v>30</c:v>
                </c:pt>
                <c:pt idx="96">
                  <c:v>70</c:v>
                </c:pt>
                <c:pt idx="97">
                  <c:v>70</c:v>
                </c:pt>
                <c:pt idx="98">
                  <c:v>40</c:v>
                </c:pt>
                <c:pt idx="99">
                  <c:v>40</c:v>
                </c:pt>
                <c:pt idx="100">
                  <c:v>15</c:v>
                </c:pt>
                <c:pt idx="101">
                  <c:v>15</c:v>
                </c:pt>
                <c:pt idx="102">
                  <c:v>25</c:v>
                </c:pt>
                <c:pt idx="103">
                  <c:v>25</c:v>
                </c:pt>
                <c:pt idx="104">
                  <c:v>25</c:v>
                </c:pt>
                <c:pt idx="105">
                  <c:v>25</c:v>
                </c:pt>
                <c:pt idx="106">
                  <c:v>50</c:v>
                </c:pt>
                <c:pt idx="107">
                  <c:v>50</c:v>
                </c:pt>
                <c:pt idx="108">
                  <c:v>50</c:v>
                </c:pt>
                <c:pt idx="109">
                  <c:v>65</c:v>
                </c:pt>
                <c:pt idx="110">
                  <c:v>65</c:v>
                </c:pt>
                <c:pt idx="111">
                  <c:v>50</c:v>
                </c:pt>
                <c:pt idx="112">
                  <c:v>50</c:v>
                </c:pt>
                <c:pt idx="113">
                  <c:v>50</c:v>
                </c:pt>
                <c:pt idx="114">
                  <c:v>50</c:v>
                </c:pt>
                <c:pt idx="115">
                  <c:v>60</c:v>
                </c:pt>
                <c:pt idx="116">
                  <c:v>60</c:v>
                </c:pt>
                <c:pt idx="117">
                  <c:v>50</c:v>
                </c:pt>
                <c:pt idx="118">
                  <c:v>50</c:v>
                </c:pt>
                <c:pt idx="119">
                  <c:v>50</c:v>
                </c:pt>
                <c:pt idx="120">
                  <c:v>60</c:v>
                </c:pt>
                <c:pt idx="121">
                  <c:v>60</c:v>
                </c:pt>
                <c:pt idx="122">
                  <c:v>30</c:v>
                </c:pt>
                <c:pt idx="123">
                  <c:v>30</c:v>
                </c:pt>
                <c:pt idx="124">
                  <c:v>30</c:v>
                </c:pt>
                <c:pt idx="125">
                  <c:v>50</c:v>
                </c:pt>
                <c:pt idx="126">
                  <c:v>50</c:v>
                </c:pt>
                <c:pt idx="127">
                  <c:v>50</c:v>
                </c:pt>
                <c:pt idx="128">
                  <c:v>70</c:v>
                </c:pt>
                <c:pt idx="129">
                  <c:v>70</c:v>
                </c:pt>
                <c:pt idx="130">
                  <c:v>50</c:v>
                </c:pt>
                <c:pt idx="131">
                  <c:v>50</c:v>
                </c:pt>
                <c:pt idx="132">
                  <c:v>40</c:v>
                </c:pt>
                <c:pt idx="133">
                  <c:v>40</c:v>
                </c:pt>
                <c:pt idx="134">
                  <c:v>40</c:v>
                </c:pt>
                <c:pt idx="135">
                  <c:v>40</c:v>
                </c:pt>
                <c:pt idx="136">
                  <c:v>30</c:v>
                </c:pt>
                <c:pt idx="137">
                  <c:v>30</c:v>
                </c:pt>
                <c:pt idx="138">
                  <c:v>30</c:v>
                </c:pt>
                <c:pt idx="139">
                  <c:v>25</c:v>
                </c:pt>
                <c:pt idx="140">
                  <c:v>25</c:v>
                </c:pt>
                <c:pt idx="141">
                  <c:v>70</c:v>
                </c:pt>
                <c:pt idx="142">
                  <c:v>70</c:v>
                </c:pt>
                <c:pt idx="143">
                  <c:v>50</c:v>
                </c:pt>
                <c:pt idx="144">
                  <c:v>50</c:v>
                </c:pt>
                <c:pt idx="145">
                  <c:v>50</c:v>
                </c:pt>
                <c:pt idx="146">
                  <c:v>30</c:v>
                </c:pt>
                <c:pt idx="147">
                  <c:v>30</c:v>
                </c:pt>
                <c:pt idx="148">
                  <c:v>50</c:v>
                </c:pt>
                <c:pt idx="149">
                  <c:v>50</c:v>
                </c:pt>
                <c:pt idx="150">
                  <c:v>65</c:v>
                </c:pt>
                <c:pt idx="151">
                  <c:v>65</c:v>
                </c:pt>
                <c:pt idx="152">
                  <c:v>50</c:v>
                </c:pt>
                <c:pt idx="153">
                  <c:v>50</c:v>
                </c:pt>
                <c:pt idx="154">
                  <c:v>50</c:v>
                </c:pt>
                <c:pt idx="155">
                  <c:v>50</c:v>
                </c:pt>
                <c:pt idx="156">
                  <c:v>70</c:v>
                </c:pt>
                <c:pt idx="157">
                  <c:v>70</c:v>
                </c:pt>
                <c:pt idx="158">
                  <c:v>50</c:v>
                </c:pt>
                <c:pt idx="159">
                  <c:v>50</c:v>
                </c:pt>
                <c:pt idx="160">
                  <c:v>50</c:v>
                </c:pt>
                <c:pt idx="161">
                  <c:v>30</c:v>
                </c:pt>
                <c:pt idx="162">
                  <c:v>30</c:v>
                </c:pt>
                <c:pt idx="163">
                  <c:v>60</c:v>
                </c:pt>
                <c:pt idx="164">
                  <c:v>60</c:v>
                </c:pt>
                <c:pt idx="165">
                  <c:v>60</c:v>
                </c:pt>
                <c:pt idx="166">
                  <c:v>50</c:v>
                </c:pt>
                <c:pt idx="167">
                  <c:v>50</c:v>
                </c:pt>
                <c:pt idx="168">
                  <c:v>50</c:v>
                </c:pt>
                <c:pt idx="169">
                  <c:v>20</c:v>
                </c:pt>
                <c:pt idx="170">
                  <c:v>20</c:v>
                </c:pt>
                <c:pt idx="171">
                  <c:v>20</c:v>
                </c:pt>
                <c:pt idx="172">
                  <c:v>20</c:v>
                </c:pt>
                <c:pt idx="173">
                  <c:v>15</c:v>
                </c:pt>
                <c:pt idx="174">
                  <c:v>15</c:v>
                </c:pt>
                <c:pt idx="175">
                  <c:v>15</c:v>
                </c:pt>
              </c:numCache>
            </c:numRef>
          </c:yVal>
          <c:smooth val="0"/>
          <c:extLst>
            <c:ext xmlns:c16="http://schemas.microsoft.com/office/drawing/2014/chart" uri="{C3380CC4-5D6E-409C-BE32-E72D297353CC}">
              <c16:uniqueId val="{000000B1-22C9-4DA9-918C-7A676BBDD8ED}"/>
            </c:ext>
          </c:extLst>
        </c:ser>
        <c:ser>
          <c:idx val="2"/>
          <c:order val="2"/>
          <c:tx>
            <c:v>Stops</c:v>
          </c:tx>
          <c:spPr>
            <a:ln w="9525" cap="rnd">
              <a:solidFill>
                <a:schemeClr val="accent3"/>
              </a:solidFill>
              <a:round/>
            </a:ln>
            <a:effectLst>
              <a:outerShdw blurRad="57150" dist="19050" dir="5400000" algn="ctr" rotWithShape="0">
                <a:srgbClr val="000000">
                  <a:alpha val="63000"/>
                </a:srgbClr>
              </a:outerShdw>
            </a:effectLst>
          </c:spPr>
          <c:marker>
            <c:symbol val="none"/>
          </c:marker>
          <c:dPt>
            <c:idx val="8"/>
            <c:marker>
              <c:symbol val="none"/>
            </c:marker>
            <c:bubble3D val="0"/>
            <c:extLst>
              <c:ext xmlns:c16="http://schemas.microsoft.com/office/drawing/2014/chart" uri="{C3380CC4-5D6E-409C-BE32-E72D297353CC}">
                <c16:uniqueId val="{000000B2-22C9-4DA9-918C-7A676BBDD8ED}"/>
              </c:ext>
            </c:extLst>
          </c:dPt>
          <c:dLbls>
            <c:dLbl>
              <c:idx val="0"/>
              <c:delete val="1"/>
              <c:extLst>
                <c:ext xmlns:c15="http://schemas.microsoft.com/office/drawing/2012/chart" uri="{CE6537A1-D6FC-4f65-9D91-7224C49458BB}"/>
                <c:ext xmlns:c16="http://schemas.microsoft.com/office/drawing/2014/chart" uri="{C3380CC4-5D6E-409C-BE32-E72D297353CC}">
                  <c16:uniqueId val="{00000013-C179-4BDB-B344-4C99C76E829B}"/>
                </c:ext>
              </c:extLst>
            </c:dLbl>
            <c:dLbl>
              <c:idx val="1"/>
              <c:layout>
                <c:manualLayout>
                  <c:x val="-6.8303916933831919E-3"/>
                  <c:y val="2.3008223998977635E-2"/>
                </c:manualLayout>
              </c:layout>
              <c:tx>
                <c:rich>
                  <a:bodyPr/>
                  <a:lstStyle/>
                  <a:p>
                    <a:r>
                      <a:rPr lang="en-US"/>
                      <a:t>ALG</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C179-4BDB-B344-4C99C76E829B}"/>
                </c:ext>
              </c:extLst>
            </c:dLbl>
            <c:dLbl>
              <c:idx val="3"/>
              <c:tx>
                <c:rich>
                  <a:bodyPr/>
                  <a:lstStyle/>
                  <a:p>
                    <a:r>
                      <a:rPr lang="en-US"/>
                      <a:t>ELA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6-C179-4BDB-B344-4C99C76E829B}"/>
                </c:ext>
              </c:extLst>
            </c:dLbl>
            <c:dLbl>
              <c:idx val="4"/>
              <c:delete val="1"/>
              <c:extLst>
                <c:ext xmlns:c15="http://schemas.microsoft.com/office/drawing/2012/chart" uri="{CE6537A1-D6FC-4f65-9D91-7224C49458BB}"/>
                <c:ext xmlns:c16="http://schemas.microsoft.com/office/drawing/2014/chart" uri="{C3380CC4-5D6E-409C-BE32-E72D297353CC}">
                  <c16:uniqueId val="{00000014-C179-4BDB-B344-4C99C76E829B}"/>
                </c:ext>
              </c:extLst>
            </c:dLbl>
            <c:dLbl>
              <c:idx val="6"/>
              <c:tx>
                <c:rich>
                  <a:bodyPr/>
                  <a:lstStyle/>
                  <a:p>
                    <a:r>
                      <a:rPr lang="en-US"/>
                      <a:t>IPA</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7-C179-4BDB-B344-4C99C76E829B}"/>
                </c:ext>
              </c:extLst>
            </c:dLbl>
            <c:dLbl>
              <c:idx val="7"/>
              <c:delete val="1"/>
              <c:extLst>
                <c:ext xmlns:c15="http://schemas.microsoft.com/office/drawing/2012/chart" uri="{CE6537A1-D6FC-4f65-9D91-7224C49458BB}"/>
                <c:ext xmlns:c16="http://schemas.microsoft.com/office/drawing/2014/chart" uri="{C3380CC4-5D6E-409C-BE32-E72D297353CC}">
                  <c16:uniqueId val="{00000015-C179-4BDB-B344-4C99C76E829B}"/>
                </c:ext>
              </c:extLst>
            </c:dLbl>
            <c:dLbl>
              <c:idx val="9"/>
              <c:tx>
                <c:rich>
                  <a:bodyPr/>
                  <a:lstStyle/>
                  <a:p>
                    <a:r>
                      <a:rPr lang="en-US"/>
                      <a:t>MCR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8-C179-4BDB-B344-4C99C76E829B}"/>
                </c:ext>
              </c:extLst>
            </c:dLbl>
            <c:dLbl>
              <c:idx val="10"/>
              <c:delete val="1"/>
              <c:extLst>
                <c:ext xmlns:c15="http://schemas.microsoft.com/office/drawing/2012/chart" uri="{CE6537A1-D6FC-4f65-9D91-7224C49458BB}"/>
                <c:ext xmlns:c16="http://schemas.microsoft.com/office/drawing/2014/chart" uri="{C3380CC4-5D6E-409C-BE32-E72D297353CC}">
                  <c16:uniqueId val="{00000016-C179-4BDB-B344-4C99C76E829B}"/>
                </c:ext>
              </c:extLst>
            </c:dLbl>
            <c:dLbl>
              <c:idx val="12"/>
              <c:tx>
                <c:rich>
                  <a:bodyPr/>
                  <a:lstStyle/>
                  <a:p>
                    <a:r>
                      <a:rPr lang="en-US"/>
                      <a:t>DKN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9-C179-4BDB-B344-4C99C76E829B}"/>
                </c:ext>
              </c:extLst>
            </c:dLbl>
            <c:dLbl>
              <c:idx val="13"/>
              <c:delete val="1"/>
              <c:extLst>
                <c:ext xmlns:c15="http://schemas.microsoft.com/office/drawing/2012/chart" uri="{CE6537A1-D6FC-4f65-9D91-7224C49458BB}"/>
                <c:ext xmlns:c16="http://schemas.microsoft.com/office/drawing/2014/chart" uri="{C3380CC4-5D6E-409C-BE32-E72D297353CC}">
                  <c16:uniqueId val="{00000017-C179-4BDB-B344-4C99C76E829B}"/>
                </c:ext>
              </c:extLst>
            </c:dLbl>
            <c:dLbl>
              <c:idx val="15"/>
              <c:layout>
                <c:manualLayout>
                  <c:x val="-1.3660783386766357E-3"/>
                  <c:y val="6.2749701815392571E-3"/>
                </c:manualLayout>
              </c:layout>
              <c:tx>
                <c:rich>
                  <a:bodyPr/>
                  <a:lstStyle/>
                  <a:p>
                    <a:r>
                      <a:rPr lang="en-US"/>
                      <a:t>SWN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2-C179-4BDB-B344-4C99C76E829B}"/>
                </c:ext>
              </c:extLst>
            </c:dLbl>
            <c:dLbl>
              <c:idx val="16"/>
              <c:delete val="1"/>
              <c:extLst>
                <c:ext xmlns:c15="http://schemas.microsoft.com/office/drawing/2012/chart" uri="{CE6537A1-D6FC-4f65-9D91-7224C49458BB}"/>
                <c:ext xmlns:c16="http://schemas.microsoft.com/office/drawing/2014/chart" uri="{C3380CC4-5D6E-409C-BE32-E72D297353CC}">
                  <c16:uniqueId val="{00000018-C179-4BDB-B344-4C99C76E829B}"/>
                </c:ext>
              </c:extLst>
            </c:dLbl>
            <c:dLbl>
              <c:idx val="18"/>
              <c:layout>
                <c:manualLayout>
                  <c:x val="-2.8687645112209351E-2"/>
                  <c:y val="1.2549940363078592E-2"/>
                </c:manualLayout>
              </c:layout>
              <c:tx>
                <c:rich>
                  <a:bodyPr/>
                  <a:lstStyle/>
                  <a:p>
                    <a:r>
                      <a:rPr lang="en-US"/>
                      <a:t>PLP</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A-C179-4BDB-B344-4C99C76E829B}"/>
                </c:ext>
              </c:extLst>
            </c:dLbl>
            <c:dLbl>
              <c:idx val="19"/>
              <c:delete val="1"/>
              <c:extLst>
                <c:ext xmlns:c15="http://schemas.microsoft.com/office/drawing/2012/chart" uri="{CE6537A1-D6FC-4f65-9D91-7224C49458BB}"/>
                <c:ext xmlns:c16="http://schemas.microsoft.com/office/drawing/2014/chart" uri="{C3380CC4-5D6E-409C-BE32-E72D297353CC}">
                  <c16:uniqueId val="{00000019-C179-4BDB-B344-4C99C76E829B}"/>
                </c:ext>
              </c:extLst>
            </c:dLbl>
            <c:dLbl>
              <c:idx val="21"/>
              <c:layout>
                <c:manualLayout>
                  <c:x val="-1.0928626709413186E-2"/>
                  <c:y val="1.4641597090258369E-2"/>
                </c:manualLayout>
              </c:layout>
              <c:tx>
                <c:rich>
                  <a:bodyPr/>
                  <a:lstStyle/>
                  <a:p>
                    <a:r>
                      <a:rPr lang="en-US"/>
                      <a:t>EPC</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B-C179-4BDB-B344-4C99C76E829B}"/>
                </c:ext>
              </c:extLst>
            </c:dLbl>
            <c:dLbl>
              <c:idx val="22"/>
              <c:delete val="1"/>
              <c:extLst>
                <c:ext xmlns:c15="http://schemas.microsoft.com/office/drawing/2012/chart" uri="{CE6537A1-D6FC-4f65-9D91-7224C49458BB}"/>
                <c:ext xmlns:c16="http://schemas.microsoft.com/office/drawing/2014/chart" uri="{C3380CC4-5D6E-409C-BE32-E72D297353CC}">
                  <c16:uniqueId val="{0000001A-C179-4BDB-B344-4C99C76E829B}"/>
                </c:ext>
              </c:extLst>
            </c:dLbl>
            <c:dLbl>
              <c:idx val="24"/>
              <c:layout>
                <c:manualLayout>
                  <c:x val="-1.3660783386766357E-3"/>
                  <c:y val="1.6733253817438148E-2"/>
                </c:manualLayout>
              </c:layout>
              <c:tx>
                <c:rich>
                  <a:bodyPr/>
                  <a:lstStyle/>
                  <a:p>
                    <a:r>
                      <a:rPr lang="en-US"/>
                      <a:t>SFD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3-C179-4BDB-B344-4C99C76E829B}"/>
                </c:ext>
              </c:extLst>
            </c:dLbl>
            <c:dLbl>
              <c:idx val="25"/>
              <c:delete val="1"/>
              <c:extLst>
                <c:ext xmlns:c15="http://schemas.microsoft.com/office/drawing/2012/chart" uri="{CE6537A1-D6FC-4f65-9D91-7224C49458BB}"/>
                <c:ext xmlns:c16="http://schemas.microsoft.com/office/drawing/2014/chart" uri="{C3380CC4-5D6E-409C-BE32-E72D297353CC}">
                  <c16:uniqueId val="{0000001B-C179-4BDB-B344-4C99C76E829B}"/>
                </c:ext>
              </c:extLst>
            </c:dLbl>
            <c:dLbl>
              <c:idx val="27"/>
              <c:tx>
                <c:rich>
                  <a:bodyPr/>
                  <a:lstStyle/>
                  <a:p>
                    <a:r>
                      <a:rPr lang="en-US"/>
                      <a:t>WSN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C-C179-4BDB-B344-4C99C76E829B}"/>
                </c:ext>
              </c:extLst>
            </c:dLbl>
            <c:dLbl>
              <c:idx val="28"/>
              <c:delete val="1"/>
              <c:extLst>
                <c:ext xmlns:c15="http://schemas.microsoft.com/office/drawing/2012/chart" uri="{CE6537A1-D6FC-4f65-9D91-7224C49458BB}"/>
                <c:ext xmlns:c16="http://schemas.microsoft.com/office/drawing/2014/chart" uri="{C3380CC4-5D6E-409C-BE32-E72D297353CC}">
                  <c16:uniqueId val="{0000001C-C179-4BDB-B344-4C99C76E829B}"/>
                </c:ext>
              </c:extLst>
            </c:dLbl>
            <c:dLbl>
              <c:idx val="30"/>
              <c:layout>
                <c:manualLayout>
                  <c:x val="6.8303916933831789E-3"/>
                  <c:y val="0"/>
                </c:manualLayout>
              </c:layout>
              <c:tx>
                <c:rich>
                  <a:bodyPr/>
                  <a:lstStyle/>
                  <a:p>
                    <a:r>
                      <a:rPr lang="en-US"/>
                      <a:t>NLR</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D-C179-4BDB-B344-4C99C76E829B}"/>
                </c:ext>
              </c:extLst>
            </c:dLbl>
            <c:dLbl>
              <c:idx val="31"/>
              <c:delete val="1"/>
              <c:extLst>
                <c:ext xmlns:c15="http://schemas.microsoft.com/office/drawing/2012/chart" uri="{CE6537A1-D6FC-4f65-9D91-7224C49458BB}"/>
                <c:ext xmlns:c16="http://schemas.microsoft.com/office/drawing/2014/chart" uri="{C3380CC4-5D6E-409C-BE32-E72D297353CC}">
                  <c16:uniqueId val="{0000001D-C179-4BDB-B344-4C99C76E829B}"/>
                </c:ext>
              </c:extLst>
            </c:dLbl>
            <c:dLbl>
              <c:idx val="33"/>
              <c:layout>
                <c:manualLayout>
                  <c:x val="-1.3660783386765356E-3"/>
                  <c:y val="2.0916567271797781E-3"/>
                </c:manualLayout>
              </c:layout>
              <c:tx>
                <c:rich>
                  <a:bodyPr/>
                  <a:lstStyle/>
                  <a:p>
                    <a:r>
                      <a:rPr lang="en-US"/>
                      <a:t>MPN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1-C179-4BDB-B344-4C99C76E829B}"/>
                </c:ext>
              </c:extLst>
            </c:dLbl>
            <c:dLbl>
              <c:idx val="34"/>
              <c:delete val="1"/>
              <c:extLst>
                <c:ext xmlns:c15="http://schemas.microsoft.com/office/drawing/2012/chart" uri="{CE6537A1-D6FC-4f65-9D91-7224C49458BB}"/>
                <c:ext xmlns:c16="http://schemas.microsoft.com/office/drawing/2014/chart" uri="{C3380CC4-5D6E-409C-BE32-E72D297353CC}">
                  <c16:uniqueId val="{0000001E-C179-4BDB-B344-4C99C76E829B}"/>
                </c:ext>
              </c:extLst>
            </c:dLbl>
            <c:dLbl>
              <c:idx val="36"/>
              <c:layout>
                <c:manualLayout>
                  <c:x val="-1.9125096741472902E-2"/>
                  <c:y val="1.8824910544618004E-2"/>
                </c:manualLayout>
              </c:layout>
              <c:tx>
                <c:rich>
                  <a:bodyPr/>
                  <a:lstStyle/>
                  <a:p>
                    <a:r>
                      <a:rPr lang="en-US"/>
                      <a:t>MCK</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4-C179-4BDB-B344-4C99C76E829B}"/>
                </c:ext>
              </c:extLst>
            </c:dLbl>
            <c:dLbl>
              <c:idx val="37"/>
              <c:delete val="1"/>
              <c:extLst>
                <c:ext xmlns:c15="http://schemas.microsoft.com/office/drawing/2012/chart" uri="{CE6537A1-D6FC-4f65-9D91-7224C49458BB}"/>
                <c:ext xmlns:c16="http://schemas.microsoft.com/office/drawing/2014/chart" uri="{C3380CC4-5D6E-409C-BE32-E72D297353CC}">
                  <c16:uniqueId val="{0000001F-C179-4BDB-B344-4C99C76E829B}"/>
                </c:ext>
              </c:extLst>
            </c:dLbl>
            <c:dLbl>
              <c:idx val="39"/>
              <c:layout>
                <c:manualLayout>
                  <c:x val="-2.0491175080149537E-2"/>
                  <c:y val="1.882491054461808E-2"/>
                </c:manualLayout>
              </c:layout>
              <c:tx>
                <c:rich>
                  <a:bodyPr/>
                  <a:lstStyle/>
                  <a:p>
                    <a:r>
                      <a:rPr lang="en-US"/>
                      <a:t>GGN</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25-C179-4BDB-B344-4C99C76E829B}"/>
                </c:ext>
              </c:extLst>
            </c:dLbl>
            <c:dLbl>
              <c:idx val="40"/>
              <c:delete val="1"/>
              <c:extLst>
                <c:ext xmlns:c15="http://schemas.microsoft.com/office/drawing/2012/chart" uri="{CE6537A1-D6FC-4f65-9D91-7224C49458BB}"/>
                <c:ext xmlns:c16="http://schemas.microsoft.com/office/drawing/2014/chart" uri="{C3380CC4-5D6E-409C-BE32-E72D297353CC}">
                  <c16:uniqueId val="{00000020-C179-4BDB-B344-4C99C76E82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Stops!$A$2:$A$42</c:f>
              <c:numCache>
                <c:formatCode>0</c:formatCode>
                <c:ptCount val="41"/>
                <c:pt idx="0">
                  <c:v>0</c:v>
                </c:pt>
                <c:pt idx="1">
                  <c:v>6.0999999986961484</c:v>
                </c:pt>
                <c:pt idx="3">
                  <c:v>552.80999999376945</c:v>
                </c:pt>
                <c:pt idx="4">
                  <c:v>593.83000000000004</c:v>
                </c:pt>
                <c:pt idx="6">
                  <c:v>1325.0399999960791</c:v>
                </c:pt>
                <c:pt idx="7">
                  <c:v>1361.76</c:v>
                </c:pt>
                <c:pt idx="9">
                  <c:v>1969.230000016978</c:v>
                </c:pt>
                <c:pt idx="10">
                  <c:v>2008.69</c:v>
                </c:pt>
                <c:pt idx="12">
                  <c:v>3041.2599999981467</c:v>
                </c:pt>
                <c:pt idx="13">
                  <c:v>3075.8100000093691</c:v>
                </c:pt>
                <c:pt idx="15">
                  <c:v>3692.0300000056159</c:v>
                </c:pt>
                <c:pt idx="16">
                  <c:v>3731.99</c:v>
                </c:pt>
                <c:pt idx="18">
                  <c:v>5032.3600000119768</c:v>
                </c:pt>
                <c:pt idx="19">
                  <c:v>5068.4699999983422</c:v>
                </c:pt>
                <c:pt idx="21">
                  <c:v>5926.5299999970011</c:v>
                </c:pt>
                <c:pt idx="22">
                  <c:v>5960.8500000031199</c:v>
                </c:pt>
                <c:pt idx="24">
                  <c:v>6724.6900000027381</c:v>
                </c:pt>
                <c:pt idx="25">
                  <c:v>6764.29</c:v>
                </c:pt>
                <c:pt idx="27">
                  <c:v>8154.0200000163168</c:v>
                </c:pt>
                <c:pt idx="28">
                  <c:v>8191.9099999940954</c:v>
                </c:pt>
                <c:pt idx="30">
                  <c:v>9130.0899999914691</c:v>
                </c:pt>
                <c:pt idx="31">
                  <c:v>9164.8100000165869</c:v>
                </c:pt>
                <c:pt idx="33">
                  <c:v>9915.4200000048149</c:v>
                </c:pt>
                <c:pt idx="34">
                  <c:v>9956.91</c:v>
                </c:pt>
                <c:pt idx="36">
                  <c:v>11123.290000017732</c:v>
                </c:pt>
                <c:pt idx="37">
                  <c:v>11160.969999997178</c:v>
                </c:pt>
                <c:pt idx="39">
                  <c:v>11867.259999999078</c:v>
                </c:pt>
                <c:pt idx="40">
                  <c:v>11901.050000014948</c:v>
                </c:pt>
              </c:numCache>
            </c:numRef>
          </c:xVal>
          <c:yVal>
            <c:numRef>
              <c:f>Stops!$B$2:$B$42</c:f>
              <c:numCache>
                <c:formatCode>General</c:formatCode>
                <c:ptCount val="41"/>
                <c:pt idx="0">
                  <c:v>15</c:v>
                </c:pt>
                <c:pt idx="1">
                  <c:v>15</c:v>
                </c:pt>
                <c:pt idx="3">
                  <c:v>30</c:v>
                </c:pt>
                <c:pt idx="4">
                  <c:v>30</c:v>
                </c:pt>
                <c:pt idx="6">
                  <c:v>30</c:v>
                </c:pt>
                <c:pt idx="7">
                  <c:v>30</c:v>
                </c:pt>
                <c:pt idx="9">
                  <c:v>30</c:v>
                </c:pt>
                <c:pt idx="10">
                  <c:v>30</c:v>
                </c:pt>
                <c:pt idx="12">
                  <c:v>25</c:v>
                </c:pt>
                <c:pt idx="13">
                  <c:v>25</c:v>
                </c:pt>
                <c:pt idx="15">
                  <c:v>30</c:v>
                </c:pt>
                <c:pt idx="16">
                  <c:v>30</c:v>
                </c:pt>
                <c:pt idx="18">
                  <c:v>30</c:v>
                </c:pt>
                <c:pt idx="19">
                  <c:v>30</c:v>
                </c:pt>
                <c:pt idx="21">
                  <c:v>30</c:v>
                </c:pt>
                <c:pt idx="22">
                  <c:v>30</c:v>
                </c:pt>
                <c:pt idx="24">
                  <c:v>25</c:v>
                </c:pt>
                <c:pt idx="25">
                  <c:v>25</c:v>
                </c:pt>
                <c:pt idx="27">
                  <c:v>30</c:v>
                </c:pt>
                <c:pt idx="28">
                  <c:v>30</c:v>
                </c:pt>
                <c:pt idx="30">
                  <c:v>30</c:v>
                </c:pt>
                <c:pt idx="31">
                  <c:v>30</c:v>
                </c:pt>
                <c:pt idx="33">
                  <c:v>30</c:v>
                </c:pt>
                <c:pt idx="34">
                  <c:v>30</c:v>
                </c:pt>
                <c:pt idx="36">
                  <c:v>30</c:v>
                </c:pt>
                <c:pt idx="37">
                  <c:v>30</c:v>
                </c:pt>
                <c:pt idx="39">
                  <c:v>15</c:v>
                </c:pt>
                <c:pt idx="40">
                  <c:v>15</c:v>
                </c:pt>
              </c:numCache>
            </c:numRef>
          </c:yVal>
          <c:smooth val="0"/>
          <c:extLst>
            <c:ext xmlns:c16="http://schemas.microsoft.com/office/drawing/2014/chart" uri="{C3380CC4-5D6E-409C-BE32-E72D297353CC}">
              <c16:uniqueId val="{000000CB-22C9-4DA9-918C-7A676BBDD8ED}"/>
            </c:ext>
          </c:extLst>
        </c:ser>
        <c:dLbls>
          <c:showLegendKey val="0"/>
          <c:showVal val="0"/>
          <c:showCatName val="0"/>
          <c:showSerName val="0"/>
          <c:showPercent val="0"/>
          <c:showBubbleSize val="0"/>
        </c:dLbls>
        <c:axId val="510959480"/>
        <c:axId val="510956528"/>
        <c:extLst/>
      </c:scatterChart>
      <c:valAx>
        <c:axId val="510959480"/>
        <c:scaling>
          <c:orientation val="minMax"/>
          <c:max val="12000"/>
          <c:min val="0"/>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AU"/>
                  <a:t>DISTANCE (M)</a:t>
                </a:r>
              </a:p>
            </c:rich>
          </c:tx>
          <c:layout>
            <c:manualLayout>
              <c:xMode val="edge"/>
              <c:yMode val="edge"/>
              <c:x val="0.47068017193118755"/>
              <c:y val="0.762086737590403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56528"/>
        <c:crosses val="autoZero"/>
        <c:crossBetween val="midCat"/>
        <c:majorUnit val="250"/>
      </c:valAx>
      <c:valAx>
        <c:axId val="510956528"/>
        <c:scaling>
          <c:orientation val="minMax"/>
          <c:max val="7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AU"/>
                  <a:t>SPEED (KM/H)</a:t>
                </a:r>
              </a:p>
            </c:rich>
          </c:tx>
          <c:layout>
            <c:manualLayout>
              <c:xMode val="edge"/>
              <c:yMode val="edge"/>
              <c:x val="7.7182821116026047E-3"/>
              <c:y val="0.36676869153111347"/>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9594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1736857-29CA-4F24-A965-42921ABBDA74}">
  <sheetPr/>
  <sheetViews>
    <sheetView zoomScale="113"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8F911F4-A146-4F8F-9C98-AC95B6A06E7E}">
  <sheetPr/>
  <sheetViews>
    <sheetView zoomScale="112" workbookViewId="0"/>
  </sheetViews>
  <pageMargins left="0.7" right="0.7" top="0.75" bottom="0.75" header="0.3" footer="0.3"/>
  <pageSetup paperSize="8"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absoluteAnchor>
    <xdr:pos x="0" y="0"/>
    <xdr:ext cx="9297412" cy="6069027"/>
    <xdr:graphicFrame macro="">
      <xdr:nvGraphicFramePr>
        <xdr:cNvPr id="2" name="Chart 1">
          <a:extLst>
            <a:ext uri="{FF2B5EF4-FFF2-40B4-BE49-F238E27FC236}">
              <a16:creationId xmlns:a16="http://schemas.microsoft.com/office/drawing/2014/main" id="{DF06BC5F-0E21-BF2F-45C5-0071543F13E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0.39276</cdr:x>
      <cdr:y>0.04994</cdr:y>
    </cdr:from>
    <cdr:to>
      <cdr:x>0.49117</cdr:x>
      <cdr:y>0.20055</cdr:y>
    </cdr:to>
    <cdr:sp macro="" textlink="">
      <cdr:nvSpPr>
        <cdr:cNvPr id="2" name="TextBox 1">
          <a:extLst xmlns:a="http://schemas.openxmlformats.org/drawingml/2006/main">
            <a:ext uri="{FF2B5EF4-FFF2-40B4-BE49-F238E27FC236}">
              <a16:creationId xmlns:a16="http://schemas.microsoft.com/office/drawing/2014/main" id="{76CC4775-874E-D57F-D9ED-E965EDED0051}"/>
            </a:ext>
          </a:extLst>
        </cdr:cNvPr>
        <cdr:cNvSpPr txBox="1"/>
      </cdr:nvSpPr>
      <cdr:spPr>
        <a:xfrm xmlns:a="http://schemas.openxmlformats.org/drawingml/2006/main">
          <a:off x="3649466" y="30323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AU" sz="1100">
              <a:solidFill>
                <a:srgbClr val="FF0000"/>
              </a:solidFill>
            </a:rPr>
            <a:t>Northbound</a:t>
          </a:r>
          <a:r>
            <a:rPr lang="en-AU" sz="1100" baseline="0"/>
            <a:t> </a:t>
          </a:r>
          <a:r>
            <a:rPr lang="en-AU" sz="1100" baseline="0">
              <a:solidFill>
                <a:srgbClr val="FF0000"/>
              </a:solidFill>
            </a:rPr>
            <a:t>departure</a:t>
          </a:r>
          <a:endParaRPr lang="en-AU" sz="1100">
            <a:solidFill>
              <a:srgbClr val="FF0000"/>
            </a:solidFill>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74142600" cy="14357350"/>
    <xdr:graphicFrame macro="">
      <xdr:nvGraphicFramePr>
        <xdr:cNvPr id="3" name="Chart 2">
          <a:extLst>
            <a:ext uri="{FF2B5EF4-FFF2-40B4-BE49-F238E27FC236}">
              <a16:creationId xmlns:a16="http://schemas.microsoft.com/office/drawing/2014/main" id="{4C2FD356-6B3E-4661-9B15-0D24E00480D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absoluteAnchor>
    <xdr:pos x="0" y="0"/>
    <xdr:ext cx="13726205" cy="9210335"/>
    <xdr:graphicFrame macro="">
      <xdr:nvGraphicFramePr>
        <xdr:cNvPr id="2" name="Chart 1">
          <a:extLst>
            <a:ext uri="{FF2B5EF4-FFF2-40B4-BE49-F238E27FC236}">
              <a16:creationId xmlns:a16="http://schemas.microsoft.com/office/drawing/2014/main" id="{E56BE71E-FF6F-5352-478E-D39416CF044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0.37669</cdr:x>
      <cdr:y>0.06171</cdr:y>
    </cdr:from>
    <cdr:to>
      <cdr:x>0.47501</cdr:x>
      <cdr:y>0.21235</cdr:y>
    </cdr:to>
    <cdr:sp macro="" textlink="">
      <cdr:nvSpPr>
        <cdr:cNvPr id="2" name="TextBox 1">
          <a:extLst xmlns:a="http://schemas.openxmlformats.org/drawingml/2006/main">
            <a:ext uri="{FF2B5EF4-FFF2-40B4-BE49-F238E27FC236}">
              <a16:creationId xmlns:a16="http://schemas.microsoft.com/office/drawing/2014/main" id="{7E1FDBD0-64B5-3A87-ADE9-79944390B46A}"/>
            </a:ext>
          </a:extLst>
        </cdr:cNvPr>
        <cdr:cNvSpPr txBox="1"/>
      </cdr:nvSpPr>
      <cdr:spPr>
        <a:xfrm xmlns:a="http://schemas.openxmlformats.org/drawingml/2006/main">
          <a:off x="3503202" y="37457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AU" sz="1100"/>
            <a:t>North</a:t>
          </a:r>
          <a:r>
            <a:rPr lang="en-AU" sz="1100" baseline="0"/>
            <a:t>bound Departure at</a:t>
          </a:r>
        </a:p>
        <a:p xmlns:a="http://schemas.openxmlformats.org/drawingml/2006/main">
          <a:endParaRPr lang="en-AU" sz="1100" baseline="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cmcphail\AppData\Local\Microsoft\Windows\INetCache\Content.Outlook\12RN98TF\Speed%20Check%20NB%20Master%20Template.xlsx" TargetMode="External"/><Relationship Id="rId1" Type="http://schemas.openxmlformats.org/officeDocument/2006/relationships/externalLinkPath" Target="file:///C:\Users\cmcphail\AppData\Local\Microsoft\Windows\INetCache\Content.Outlook\12RN98TF\Speed%20Check%20NB%20Master%20Templat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eed Graph Overview"/>
      <sheetName val="Speed Graph Extended"/>
      <sheetName val="LRV Chart Calculations"/>
      <sheetName val="LRV Speed (Import Data Here)"/>
      <sheetName val="LRV Odometer (Import Data Here)"/>
      <sheetName val="Line Speed Reference"/>
      <sheetName val="Print Friendly"/>
      <sheetName val="Stops"/>
      <sheetName val="NB LRV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2">
          <cell r="A2">
            <v>0</v>
          </cell>
          <cell r="B2">
            <v>15</v>
          </cell>
        </row>
        <row r="3">
          <cell r="A3">
            <v>6.0999999986961484</v>
          </cell>
          <cell r="B3">
            <v>15</v>
          </cell>
        </row>
        <row r="15">
          <cell r="A15">
            <v>552.80999999376945</v>
          </cell>
          <cell r="B15">
            <v>30</v>
          </cell>
        </row>
        <row r="16">
          <cell r="A16">
            <v>593.83000000000004</v>
          </cell>
          <cell r="B16">
            <v>30</v>
          </cell>
        </row>
        <row r="30">
          <cell r="A30">
            <v>1325.0399999960791</v>
          </cell>
          <cell r="B30">
            <v>30</v>
          </cell>
        </row>
        <row r="31">
          <cell r="A31">
            <v>1361.76</v>
          </cell>
          <cell r="B31">
            <v>30</v>
          </cell>
        </row>
        <row r="38">
          <cell r="A38">
            <v>1969.230000016978</v>
          </cell>
          <cell r="B38">
            <v>30</v>
          </cell>
        </row>
        <row r="39">
          <cell r="A39">
            <v>2008.69</v>
          </cell>
          <cell r="B39">
            <v>30</v>
          </cell>
        </row>
        <row r="51">
          <cell r="A51">
            <v>3041.2599999981467</v>
          </cell>
          <cell r="B51">
            <v>25</v>
          </cell>
        </row>
        <row r="52">
          <cell r="A52">
            <v>3075.8100000093691</v>
          </cell>
          <cell r="B52">
            <v>25</v>
          </cell>
        </row>
        <row r="63">
          <cell r="A63">
            <v>3692.0300000056159</v>
          </cell>
          <cell r="B63">
            <v>30</v>
          </cell>
        </row>
        <row r="64">
          <cell r="A64">
            <v>3731.99</v>
          </cell>
          <cell r="B64">
            <v>30</v>
          </cell>
        </row>
        <row r="78">
          <cell r="A78">
            <v>5032.3600000119768</v>
          </cell>
          <cell r="B78">
            <v>30</v>
          </cell>
        </row>
        <row r="79">
          <cell r="A79">
            <v>5068.4699999983422</v>
          </cell>
          <cell r="B79">
            <v>30</v>
          </cell>
        </row>
        <row r="94">
          <cell r="A94">
            <v>5926.5299999970011</v>
          </cell>
          <cell r="B94">
            <v>30</v>
          </cell>
        </row>
        <row r="95">
          <cell r="A95">
            <v>5960.8500000031199</v>
          </cell>
          <cell r="B95">
            <v>30</v>
          </cell>
        </row>
        <row r="106">
          <cell r="A106">
            <v>6724.6900000027381</v>
          </cell>
          <cell r="B106">
            <v>25</v>
          </cell>
        </row>
        <row r="107">
          <cell r="A107">
            <v>6764.29</v>
          </cell>
          <cell r="B107">
            <v>25</v>
          </cell>
        </row>
        <row r="124">
          <cell r="A124">
            <v>8154.0200000163168</v>
          </cell>
          <cell r="B124">
            <v>30</v>
          </cell>
        </row>
        <row r="125">
          <cell r="A125">
            <v>8191.9099999940954</v>
          </cell>
          <cell r="B125">
            <v>30</v>
          </cell>
        </row>
        <row r="138">
          <cell r="A138">
            <v>9130.0899999914691</v>
          </cell>
          <cell r="B138">
            <v>30</v>
          </cell>
        </row>
        <row r="139">
          <cell r="A139">
            <v>9164.8100000165869</v>
          </cell>
          <cell r="B139">
            <v>30</v>
          </cell>
        </row>
        <row r="148">
          <cell r="A148">
            <v>9915.4200000048149</v>
          </cell>
          <cell r="B148">
            <v>30</v>
          </cell>
        </row>
        <row r="149">
          <cell r="A149">
            <v>9956.91</v>
          </cell>
          <cell r="B149">
            <v>30</v>
          </cell>
        </row>
        <row r="163">
          <cell r="A163">
            <v>11123.290000017732</v>
          </cell>
          <cell r="B163">
            <v>30</v>
          </cell>
        </row>
        <row r="164">
          <cell r="A164">
            <v>11160.96</v>
          </cell>
          <cell r="B164">
            <v>30</v>
          </cell>
        </row>
        <row r="176">
          <cell r="A176">
            <v>11867.259999999078</v>
          </cell>
          <cell r="B176">
            <v>15</v>
          </cell>
        </row>
        <row r="177">
          <cell r="A177">
            <v>11901.050000014948</v>
          </cell>
          <cell r="B177">
            <v>15</v>
          </cell>
        </row>
      </sheetData>
      <sheetData sheetId="8" refreshError="1">
        <row r="1">
          <cell r="D1">
            <v>0</v>
          </cell>
          <cell r="E1" t="str">
            <v>ALG</v>
          </cell>
        </row>
        <row r="2">
          <cell r="D2">
            <v>6.0999999986961484</v>
          </cell>
          <cell r="E2" t="str">
            <v>15km / ALG Finish</v>
          </cell>
        </row>
        <row r="3">
          <cell r="D3">
            <v>46.940000000176951</v>
          </cell>
          <cell r="E3" t="str">
            <v>I27 Start</v>
          </cell>
        </row>
        <row r="4">
          <cell r="E4" t="str">
            <v>40km / I27 Finish</v>
          </cell>
        </row>
        <row r="5">
          <cell r="D5">
            <v>192.32999999076128</v>
          </cell>
          <cell r="E5" t="str">
            <v>30km / I26 Start</v>
          </cell>
        </row>
        <row r="6">
          <cell r="E6" t="str">
            <v>50km / I26 Finish</v>
          </cell>
        </row>
        <row r="7">
          <cell r="E7" t="str">
            <v>Midblock Crossing</v>
          </cell>
        </row>
        <row r="8">
          <cell r="D8">
            <v>500.82000001566485</v>
          </cell>
          <cell r="E8" t="str">
            <v>40km / I25 Start</v>
          </cell>
        </row>
        <row r="9">
          <cell r="D9">
            <v>552.80999999376945</v>
          </cell>
          <cell r="E9" t="str">
            <v>ELA Start / I25 Finish</v>
          </cell>
        </row>
        <row r="10">
          <cell r="E10" t="str">
            <v xml:space="preserve">60km / ELA Finish </v>
          </cell>
        </row>
        <row r="11">
          <cell r="E11" t="str">
            <v>40km</v>
          </cell>
        </row>
        <row r="12">
          <cell r="D12">
            <v>805.22999999811873</v>
          </cell>
          <cell r="E12" t="str">
            <v>I24 Start</v>
          </cell>
        </row>
        <row r="13">
          <cell r="E13" t="str">
            <v>I24 Finish</v>
          </cell>
        </row>
        <row r="14">
          <cell r="E14" t="str">
            <v>60km</v>
          </cell>
        </row>
        <row r="15">
          <cell r="E15" t="str">
            <v>Midblock Crossing</v>
          </cell>
        </row>
        <row r="16">
          <cell r="E16" t="str">
            <v>Midblock Crossing</v>
          </cell>
        </row>
        <row r="17">
          <cell r="E17" t="str">
            <v>50km</v>
          </cell>
        </row>
        <row r="18">
          <cell r="D18">
            <v>1259.6800000173971</v>
          </cell>
          <cell r="E18" t="str">
            <v>I23 Start</v>
          </cell>
        </row>
        <row r="19">
          <cell r="D19">
            <v>1325.0399999960791</v>
          </cell>
          <cell r="E19" t="str">
            <v>IPA Start / I23 Finish</v>
          </cell>
        </row>
        <row r="20">
          <cell r="E20" t="str">
            <v>60km / IPA Finish</v>
          </cell>
        </row>
        <row r="21">
          <cell r="E21" t="str">
            <v>Midblock Crossing</v>
          </cell>
        </row>
        <row r="22">
          <cell r="E22" t="str">
            <v>50km</v>
          </cell>
        </row>
        <row r="23">
          <cell r="D23">
            <v>1900.3399999928661</v>
          </cell>
          <cell r="E23" t="str">
            <v>I22 Start</v>
          </cell>
        </row>
        <row r="24">
          <cell r="D24">
            <v>1969.230000016978</v>
          </cell>
          <cell r="E24" t="str">
            <v>MCR Start / I22 Finish</v>
          </cell>
        </row>
        <row r="25">
          <cell r="E25" t="str">
            <v>60km / MCR Finish</v>
          </cell>
        </row>
        <row r="26">
          <cell r="E26" t="str">
            <v>Midblock Crossing</v>
          </cell>
        </row>
        <row r="27">
          <cell r="E27" t="str">
            <v>Midblock Crossing</v>
          </cell>
        </row>
        <row r="28">
          <cell r="E28" t="str">
            <v>Midblock Crossing</v>
          </cell>
        </row>
        <row r="29">
          <cell r="E29" t="str">
            <v>40km</v>
          </cell>
        </row>
        <row r="30">
          <cell r="D30">
            <v>2687.7099999983329</v>
          </cell>
          <cell r="E30" t="str">
            <v>I21 Start</v>
          </cell>
        </row>
        <row r="31">
          <cell r="E31" t="str">
            <v>I21 Finish</v>
          </cell>
        </row>
        <row r="32">
          <cell r="E32" t="str">
            <v>25km</v>
          </cell>
        </row>
        <row r="33">
          <cell r="D33">
            <v>3021.0000000079162</v>
          </cell>
          <cell r="E33" t="str">
            <v>I19 Start</v>
          </cell>
        </row>
        <row r="34">
          <cell r="D34">
            <v>3041.2599999981467</v>
          </cell>
          <cell r="E34" t="str">
            <v>DKN Start / I19 Finish</v>
          </cell>
        </row>
        <row r="35">
          <cell r="D35">
            <v>3075.8100000093691</v>
          </cell>
          <cell r="E35" t="str">
            <v>DKN Finish</v>
          </cell>
        </row>
        <row r="36">
          <cell r="E36" t="str">
            <v>40km</v>
          </cell>
        </row>
        <row r="37">
          <cell r="E37" t="str">
            <v>Midblock Crossing</v>
          </cell>
        </row>
        <row r="38">
          <cell r="D38">
            <v>3281.0100000060629</v>
          </cell>
          <cell r="E38" t="str">
            <v>I18 Start</v>
          </cell>
        </row>
        <row r="39">
          <cell r="E39" t="str">
            <v>I18 Finish</v>
          </cell>
        </row>
        <row r="40">
          <cell r="E40" t="str">
            <v>60km</v>
          </cell>
        </row>
        <row r="41">
          <cell r="E41" t="str">
            <v>50km</v>
          </cell>
        </row>
        <row r="42">
          <cell r="D42">
            <v>3692.0300000056159</v>
          </cell>
          <cell r="E42" t="str">
            <v>SWN Start</v>
          </cell>
        </row>
        <row r="43">
          <cell r="D43">
            <v>3732.0000000181608</v>
          </cell>
          <cell r="E43" t="str">
            <v>50km / SWN Finish / I17 Start</v>
          </cell>
        </row>
        <row r="44">
          <cell r="E44" t="str">
            <v>I17 Finish</v>
          </cell>
        </row>
        <row r="45">
          <cell r="E45" t="str">
            <v>60km</v>
          </cell>
        </row>
        <row r="46">
          <cell r="E46" t="str">
            <v>50km</v>
          </cell>
        </row>
        <row r="47">
          <cell r="D47">
            <v>4206.8000000144821</v>
          </cell>
          <cell r="E47" t="str">
            <v>I16 Start</v>
          </cell>
        </row>
        <row r="48">
          <cell r="E48" t="str">
            <v>70km / I16 Finish</v>
          </cell>
        </row>
        <row r="49">
          <cell r="E49" t="str">
            <v>50km</v>
          </cell>
        </row>
        <row r="50">
          <cell r="D50">
            <v>4966.2799999932759</v>
          </cell>
          <cell r="E50" t="str">
            <v>I15 Start</v>
          </cell>
        </row>
        <row r="51">
          <cell r="D51">
            <v>5032.3600000119768</v>
          </cell>
          <cell r="E51" t="str">
            <v>PLP Start / I15 Finish</v>
          </cell>
        </row>
        <row r="52">
          <cell r="D52">
            <v>5068.4699999983422</v>
          </cell>
          <cell r="E52" t="str">
            <v>PLP Finish</v>
          </cell>
        </row>
        <row r="53">
          <cell r="E53" t="str">
            <v>50km</v>
          </cell>
        </row>
        <row r="54">
          <cell r="E54" t="str">
            <v>40km</v>
          </cell>
        </row>
        <row r="55">
          <cell r="D55">
            <v>5237.8400000161491</v>
          </cell>
          <cell r="E55" t="str">
            <v>20km / I14 Start</v>
          </cell>
        </row>
        <row r="56">
          <cell r="E56" t="str">
            <v>I14 Finish</v>
          </cell>
        </row>
        <row r="57">
          <cell r="E57" t="str">
            <v>40km</v>
          </cell>
        </row>
        <row r="58">
          <cell r="D58">
            <v>5522.480000014184</v>
          </cell>
          <cell r="E58" t="str">
            <v>50km / I13 Start</v>
          </cell>
        </row>
        <row r="59">
          <cell r="E59" t="str">
            <v>60km / I13 Finish</v>
          </cell>
        </row>
        <row r="60">
          <cell r="D60">
            <v>5926.5299999970011</v>
          </cell>
          <cell r="E60" t="str">
            <v>EPC Start</v>
          </cell>
        </row>
        <row r="61">
          <cell r="D61">
            <v>5960.8500000031199</v>
          </cell>
          <cell r="E61" t="str">
            <v>EPC Finish</v>
          </cell>
        </row>
        <row r="62">
          <cell r="D62">
            <v>6008.1200000131503</v>
          </cell>
          <cell r="E62" t="str">
            <v>30km / I12 Start</v>
          </cell>
        </row>
        <row r="63">
          <cell r="E63" t="str">
            <v>70km / I12 Finish</v>
          </cell>
        </row>
        <row r="64">
          <cell r="E64" t="str">
            <v>40km</v>
          </cell>
        </row>
        <row r="65">
          <cell r="E65" t="str">
            <v>15km</v>
          </cell>
        </row>
        <row r="66">
          <cell r="D66">
            <v>6602.7800000156276</v>
          </cell>
          <cell r="E66" t="str">
            <v>25km / I11 Start</v>
          </cell>
        </row>
        <row r="67">
          <cell r="E67" t="str">
            <v>I11 Finish</v>
          </cell>
        </row>
        <row r="68">
          <cell r="D68">
            <v>6724.6900000027381</v>
          </cell>
          <cell r="E68" t="str">
            <v>SFD Start</v>
          </cell>
        </row>
        <row r="69">
          <cell r="D69">
            <v>6764.3000000098255</v>
          </cell>
          <cell r="E69" t="str">
            <v>50km SFD Finish / I10 Start</v>
          </cell>
        </row>
        <row r="70">
          <cell r="E70" t="str">
            <v>I10 Finish</v>
          </cell>
        </row>
        <row r="71">
          <cell r="E71" t="str">
            <v>65km</v>
          </cell>
        </row>
        <row r="72">
          <cell r="E72" t="str">
            <v>50km</v>
          </cell>
        </row>
        <row r="73">
          <cell r="D73">
            <v>7353.0099999916274</v>
          </cell>
          <cell r="E73" t="str">
            <v>I9 Start</v>
          </cell>
        </row>
        <row r="74">
          <cell r="E74" t="str">
            <v>I9 Finish</v>
          </cell>
        </row>
        <row r="75">
          <cell r="E75" t="str">
            <v>60km</v>
          </cell>
        </row>
        <row r="76">
          <cell r="E76" t="str">
            <v>50km</v>
          </cell>
        </row>
        <row r="77">
          <cell r="D77">
            <v>7771.630000002915</v>
          </cell>
          <cell r="E77" t="str">
            <v>I8 Start</v>
          </cell>
        </row>
        <row r="78">
          <cell r="E78" t="str">
            <v>60km / I8 Finish</v>
          </cell>
        </row>
        <row r="79">
          <cell r="D79">
            <v>8154.0200000163168</v>
          </cell>
          <cell r="E79" t="str">
            <v>WSN Start</v>
          </cell>
        </row>
        <row r="80">
          <cell r="D80">
            <v>8191.9099999940954</v>
          </cell>
          <cell r="E80" t="str">
            <v>WSN Finish / I7 Start</v>
          </cell>
        </row>
        <row r="81">
          <cell r="E81" t="str">
            <v>50km</v>
          </cell>
        </row>
        <row r="82">
          <cell r="E82" t="str">
            <v>I7 Finish</v>
          </cell>
        </row>
        <row r="83">
          <cell r="E83" t="str">
            <v>70km</v>
          </cell>
        </row>
        <row r="84">
          <cell r="E84" t="str">
            <v>50km</v>
          </cell>
        </row>
        <row r="85">
          <cell r="E85" t="str">
            <v>40km</v>
          </cell>
        </row>
        <row r="86">
          <cell r="D86">
            <v>9064.379999996163</v>
          </cell>
          <cell r="E86" t="str">
            <v>I6 Start</v>
          </cell>
        </row>
        <row r="87">
          <cell r="E87" t="str">
            <v>I06 Finish</v>
          </cell>
        </row>
        <row r="88">
          <cell r="D88">
            <v>9130.0899999914691</v>
          </cell>
          <cell r="E88" t="str">
            <v>NLR Start</v>
          </cell>
        </row>
        <row r="89">
          <cell r="D89">
            <v>9164.8100000165869</v>
          </cell>
          <cell r="E89" t="str">
            <v>NLR Finish</v>
          </cell>
        </row>
        <row r="90">
          <cell r="E90" t="str">
            <v>25km</v>
          </cell>
        </row>
        <row r="91">
          <cell r="E91" t="str">
            <v>70km</v>
          </cell>
        </row>
        <row r="92">
          <cell r="E92" t="str">
            <v>50km</v>
          </cell>
        </row>
        <row r="93">
          <cell r="D93">
            <v>9858.379999990575</v>
          </cell>
          <cell r="E93" t="str">
            <v>I5 Start</v>
          </cell>
        </row>
        <row r="94">
          <cell r="D94">
            <v>9915.4200000048149</v>
          </cell>
          <cell r="E94" t="str">
            <v>MPN Start / I5 Finish</v>
          </cell>
        </row>
        <row r="95">
          <cell r="E95" t="str">
            <v>50km / MPN Finish</v>
          </cell>
        </row>
        <row r="96">
          <cell r="E96" t="str">
            <v>65km</v>
          </cell>
        </row>
        <row r="97">
          <cell r="E97" t="str">
            <v>50km</v>
          </cell>
        </row>
        <row r="98">
          <cell r="D98">
            <v>10600.860000005923</v>
          </cell>
          <cell r="E98" t="str">
            <v>I4 Start</v>
          </cell>
        </row>
        <row r="99">
          <cell r="E99" t="str">
            <v>I4 Finish</v>
          </cell>
        </row>
        <row r="100">
          <cell r="E100" t="str">
            <v>70km</v>
          </cell>
        </row>
        <row r="101">
          <cell r="E101" t="str">
            <v>50km</v>
          </cell>
        </row>
        <row r="102">
          <cell r="D102">
            <v>11068.250000011176</v>
          </cell>
          <cell r="E102" t="str">
            <v>I3 Start</v>
          </cell>
        </row>
        <row r="103">
          <cell r="D103">
            <v>11123.290000017732</v>
          </cell>
          <cell r="E103" t="str">
            <v>MCK Start / I3 Finish</v>
          </cell>
        </row>
        <row r="104">
          <cell r="D104">
            <v>11160.969999997178</v>
          </cell>
          <cell r="E104" t="str">
            <v>60km / MCK Finish</v>
          </cell>
        </row>
        <row r="105">
          <cell r="E105" t="str">
            <v>Midblock Crossing</v>
          </cell>
        </row>
        <row r="106">
          <cell r="E106" t="str">
            <v>50km</v>
          </cell>
        </row>
        <row r="107">
          <cell r="D107">
            <v>11501.510000001872</v>
          </cell>
          <cell r="E107" t="str">
            <v>I2 Start</v>
          </cell>
        </row>
        <row r="108">
          <cell r="E108" t="str">
            <v>20km / I02 Finish</v>
          </cell>
        </row>
        <row r="109">
          <cell r="D109">
            <v>11713.560000003781</v>
          </cell>
          <cell r="E109" t="str">
            <v>I01 Start</v>
          </cell>
        </row>
        <row r="110">
          <cell r="E110" t="str">
            <v>I01 Finish</v>
          </cell>
        </row>
        <row r="111">
          <cell r="E111" t="str">
            <v>15km</v>
          </cell>
        </row>
        <row r="112">
          <cell r="D112">
            <v>11867.259999999078</v>
          </cell>
          <cell r="E112" t="str">
            <v>GGN Start</v>
          </cell>
        </row>
        <row r="113">
          <cell r="D113">
            <v>11901.050000014948</v>
          </cell>
          <cell r="E113" t="str">
            <v>GGN Finish</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ps"/>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6BF46-0EEC-456D-BC73-C3B2289C8D24}">
  <dimension ref="A1:A8"/>
  <sheetViews>
    <sheetView workbookViewId="0">
      <selection activeCell="A44" sqref="A44"/>
    </sheetView>
  </sheetViews>
  <sheetFormatPr defaultColWidth="9.140625" defaultRowHeight="15.75" x14ac:dyDescent="0.25"/>
  <cols>
    <col min="1" max="1" width="192" style="16" customWidth="1"/>
    <col min="2" max="16384" width="9.140625" style="16"/>
  </cols>
  <sheetData>
    <row r="1" spans="1:1" x14ac:dyDescent="0.25">
      <c r="A1" s="16" t="s">
        <v>0</v>
      </c>
    </row>
    <row r="2" spans="1:1" x14ac:dyDescent="0.25">
      <c r="A2" s="16" t="s">
        <v>1</v>
      </c>
    </row>
    <row r="3" spans="1:1" x14ac:dyDescent="0.25">
      <c r="A3" s="16" t="s">
        <v>2</v>
      </c>
    </row>
    <row r="4" spans="1:1" x14ac:dyDescent="0.25">
      <c r="A4" s="16" t="s">
        <v>3</v>
      </c>
    </row>
    <row r="5" spans="1:1" x14ac:dyDescent="0.25">
      <c r="A5" s="16" t="s">
        <v>4</v>
      </c>
    </row>
    <row r="6" spans="1:1" x14ac:dyDescent="0.25">
      <c r="A6" s="16" t="s">
        <v>5</v>
      </c>
    </row>
    <row r="7" spans="1:1" x14ac:dyDescent="0.25">
      <c r="A7" s="16" t="s">
        <v>6</v>
      </c>
    </row>
    <row r="8" spans="1:1" x14ac:dyDescent="0.25">
      <c r="A8" s="16"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C2B4-EC59-46CD-A3DE-A39840F0A1E3}">
  <dimension ref="A1:Z25"/>
  <sheetViews>
    <sheetView topLeftCell="F1" zoomScale="90" zoomScaleNormal="90" workbookViewId="0">
      <selection activeCell="F1" sqref="F1"/>
    </sheetView>
  </sheetViews>
  <sheetFormatPr defaultColWidth="0" defaultRowHeight="14.45" customHeight="1" zeroHeight="1" x14ac:dyDescent="0.25"/>
  <cols>
    <col min="1" max="5" width="50.5703125" hidden="1" customWidth="1"/>
    <col min="6" max="26" width="50.5703125" customWidth="1"/>
    <col min="27" max="16384" width="8.7109375" hidden="1"/>
  </cols>
  <sheetData>
    <row r="1" ht="15" x14ac:dyDescent="0.25"/>
    <row r="2" ht="15" x14ac:dyDescent="0.25"/>
    <row r="3" ht="15" x14ac:dyDescent="0.25"/>
    <row r="4" ht="15" x14ac:dyDescent="0.25"/>
    <row r="5" ht="15" x14ac:dyDescent="0.25"/>
    <row r="6" ht="15" x14ac:dyDescent="0.25"/>
    <row r="7" ht="15" x14ac:dyDescent="0.25"/>
    <row r="8" ht="15" x14ac:dyDescent="0.25"/>
    <row r="9" ht="15" x14ac:dyDescent="0.25"/>
    <row r="10" ht="15" x14ac:dyDescent="0.25"/>
    <row r="11" ht="15" x14ac:dyDescent="0.25"/>
    <row r="12" ht="15" x14ac:dyDescent="0.25"/>
    <row r="13" ht="15" x14ac:dyDescent="0.25"/>
    <row r="14" ht="15" x14ac:dyDescent="0.25"/>
    <row r="15" ht="15" x14ac:dyDescent="0.25"/>
    <row r="16" ht="15" x14ac:dyDescent="0.25"/>
    <row r="17" ht="15" x14ac:dyDescent="0.25"/>
    <row r="18" ht="15" x14ac:dyDescent="0.25"/>
    <row r="19" ht="15" x14ac:dyDescent="0.25"/>
    <row r="20" ht="15" x14ac:dyDescent="0.25"/>
    <row r="21" ht="15" x14ac:dyDescent="0.25"/>
    <row r="22" ht="15" x14ac:dyDescent="0.25"/>
    <row r="23" ht="15" x14ac:dyDescent="0.25"/>
    <row r="24" ht="15" x14ac:dyDescent="0.25"/>
    <row r="25" 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0338D-F1E5-4157-A324-6522C15C2739}">
  <dimension ref="A1:B2808"/>
  <sheetViews>
    <sheetView topLeftCell="A602" workbookViewId="0">
      <selection activeCell="A2" sqref="A2:B1532"/>
    </sheetView>
  </sheetViews>
  <sheetFormatPr defaultColWidth="0" defaultRowHeight="15" zeroHeight="1" x14ac:dyDescent="0.25"/>
  <cols>
    <col min="1" max="1" width="19.85546875" customWidth="1"/>
    <col min="2" max="2" width="15.5703125" customWidth="1"/>
    <col min="3" max="16384" width="8.7109375" hidden="1"/>
  </cols>
  <sheetData>
    <row r="1" spans="1:2" ht="35.1" customHeight="1" x14ac:dyDescent="0.25">
      <c r="A1" s="1" t="s">
        <v>8</v>
      </c>
      <c r="B1" s="1" t="s">
        <v>9</v>
      </c>
    </row>
    <row r="2" spans="1:2" x14ac:dyDescent="0.25">
      <c r="A2" s="15">
        <v>45701.281261574077</v>
      </c>
      <c r="B2" s="14">
        <v>0.53611111099999997</v>
      </c>
    </row>
    <row r="3" spans="1:2" x14ac:dyDescent="0.25">
      <c r="A3" s="15">
        <v>45701.281261574077</v>
      </c>
      <c r="B3" s="14">
        <v>0.81944444400000005</v>
      </c>
    </row>
    <row r="4" spans="1:2" x14ac:dyDescent="0.25">
      <c r="A4" s="15">
        <v>45701.281273148146</v>
      </c>
      <c r="B4" s="14">
        <v>1.3833333329999999</v>
      </c>
    </row>
    <row r="5" spans="1:2" x14ac:dyDescent="0.25">
      <c r="A5" s="15">
        <v>45701.281284722223</v>
      </c>
      <c r="B5" s="14">
        <v>1.888888889</v>
      </c>
    </row>
    <row r="6" spans="1:2" x14ac:dyDescent="0.25">
      <c r="A6" s="15">
        <v>45701.2812962963</v>
      </c>
      <c r="B6" s="14">
        <v>2.266666667</v>
      </c>
    </row>
    <row r="7" spans="1:2" x14ac:dyDescent="0.25">
      <c r="A7" s="15">
        <v>45701.281307870369</v>
      </c>
      <c r="B7" s="14">
        <v>2.8222222220000002</v>
      </c>
    </row>
    <row r="8" spans="1:2" x14ac:dyDescent="0.25">
      <c r="A8" s="15">
        <v>45701.281319444446</v>
      </c>
      <c r="B8" s="14">
        <v>3.1</v>
      </c>
    </row>
    <row r="9" spans="1:2" x14ac:dyDescent="0.25">
      <c r="A9" s="15">
        <v>45701.281319444446</v>
      </c>
      <c r="B9" s="14">
        <v>3.3250000000000002</v>
      </c>
    </row>
    <row r="10" spans="1:2" x14ac:dyDescent="0.25">
      <c r="A10" s="15">
        <v>45701.281342592592</v>
      </c>
      <c r="B10" s="14">
        <v>3.4722222220000001</v>
      </c>
    </row>
    <row r="11" spans="1:2" x14ac:dyDescent="0.25">
      <c r="A11" s="15">
        <v>45701.281354166669</v>
      </c>
      <c r="B11" s="14">
        <v>3.4138888889999999</v>
      </c>
    </row>
    <row r="12" spans="1:2" x14ac:dyDescent="0.25">
      <c r="A12" s="15">
        <v>45701.281365740739</v>
      </c>
      <c r="B12" s="14">
        <v>3.377777778</v>
      </c>
    </row>
    <row r="13" spans="1:2" x14ac:dyDescent="0.25">
      <c r="A13" s="15">
        <v>45701.281377314815</v>
      </c>
      <c r="B13" s="14">
        <v>3.4083333329999999</v>
      </c>
    </row>
    <row r="14" spans="1:2" x14ac:dyDescent="0.25">
      <c r="A14" s="15">
        <v>45701.281388888892</v>
      </c>
      <c r="B14" s="14">
        <v>3.6472222219999999</v>
      </c>
    </row>
    <row r="15" spans="1:2" x14ac:dyDescent="0.25">
      <c r="A15" s="15">
        <v>45701.281400462962</v>
      </c>
      <c r="B15" s="14">
        <v>3.9194444439999998</v>
      </c>
    </row>
    <row r="16" spans="1:2" x14ac:dyDescent="0.25">
      <c r="A16" s="15">
        <v>45701.281412037039</v>
      </c>
      <c r="B16" s="14">
        <v>4.141666667</v>
      </c>
    </row>
    <row r="17" spans="1:2" x14ac:dyDescent="0.25">
      <c r="A17" s="15">
        <v>45701.281423611108</v>
      </c>
      <c r="B17" s="14">
        <v>4.3416666670000001</v>
      </c>
    </row>
    <row r="18" spans="1:2" x14ac:dyDescent="0.25">
      <c r="A18" s="15">
        <v>45701.281435185185</v>
      </c>
      <c r="B18" s="14">
        <v>4.488888889</v>
      </c>
    </row>
    <row r="19" spans="1:2" x14ac:dyDescent="0.25">
      <c r="A19" s="15">
        <v>45701.281435185185</v>
      </c>
      <c r="B19" s="14">
        <v>4.6611111110000003</v>
      </c>
    </row>
    <row r="20" spans="1:2" x14ac:dyDescent="0.25">
      <c r="A20" s="15">
        <v>45701.281458333331</v>
      </c>
      <c r="B20" s="14">
        <v>4.8527777780000001</v>
      </c>
    </row>
    <row r="21" spans="1:2" x14ac:dyDescent="0.25">
      <c r="A21" s="15">
        <v>45701.281469907408</v>
      </c>
      <c r="B21" s="14">
        <v>5.0833333329999997</v>
      </c>
    </row>
    <row r="22" spans="1:2" x14ac:dyDescent="0.25">
      <c r="A22" s="15">
        <v>45701.281481481485</v>
      </c>
      <c r="B22" s="14">
        <v>5.2944444439999998</v>
      </c>
    </row>
    <row r="23" spans="1:2" x14ac:dyDescent="0.25">
      <c r="A23" s="15">
        <v>45701.281493055554</v>
      </c>
      <c r="B23" s="14">
        <v>5.5138888890000004</v>
      </c>
    </row>
    <row r="24" spans="1:2" x14ac:dyDescent="0.25">
      <c r="A24" s="15">
        <v>45701.281504629631</v>
      </c>
      <c r="B24" s="14">
        <v>6.1694444439999998</v>
      </c>
    </row>
    <row r="25" spans="1:2" x14ac:dyDescent="0.25">
      <c r="A25" s="15">
        <v>45701.281504629631</v>
      </c>
      <c r="B25" s="14">
        <v>6.255555556</v>
      </c>
    </row>
    <row r="26" spans="1:2" x14ac:dyDescent="0.25">
      <c r="A26" s="15">
        <v>45701.281504629631</v>
      </c>
      <c r="B26" s="14">
        <v>7.4444444440000002</v>
      </c>
    </row>
    <row r="27" spans="1:2" x14ac:dyDescent="0.25">
      <c r="A27" s="15">
        <v>45701.2815162037</v>
      </c>
      <c r="B27" s="14">
        <v>7.4972222220000004</v>
      </c>
    </row>
    <row r="28" spans="1:2" x14ac:dyDescent="0.25">
      <c r="A28" s="15">
        <v>45701.281527777777</v>
      </c>
      <c r="B28" s="14">
        <v>8.2027777779999997</v>
      </c>
    </row>
    <row r="29" spans="1:2" x14ac:dyDescent="0.25">
      <c r="A29" s="15">
        <v>45701.281539351854</v>
      </c>
      <c r="B29" s="14">
        <v>8.6166666670000005</v>
      </c>
    </row>
    <row r="30" spans="1:2" x14ac:dyDescent="0.25">
      <c r="A30" s="15">
        <v>45701.281550925924</v>
      </c>
      <c r="B30" s="14">
        <v>9.0222222219999999</v>
      </c>
    </row>
    <row r="31" spans="1:2" x14ac:dyDescent="0.25">
      <c r="A31" s="15">
        <v>45701.2815625</v>
      </c>
      <c r="B31" s="14">
        <v>9.4027777780000008</v>
      </c>
    </row>
    <row r="32" spans="1:2" x14ac:dyDescent="0.25">
      <c r="A32" s="15">
        <v>45701.281574074077</v>
      </c>
      <c r="B32" s="14">
        <v>9.3416666670000001</v>
      </c>
    </row>
    <row r="33" spans="1:2" x14ac:dyDescent="0.25">
      <c r="A33" s="15">
        <v>45701.281585648147</v>
      </c>
      <c r="B33" s="14">
        <v>9.2416666670000005</v>
      </c>
    </row>
    <row r="34" spans="1:2" x14ac:dyDescent="0.25">
      <c r="A34" s="15">
        <v>45701.281597222223</v>
      </c>
      <c r="B34" s="14">
        <v>9.1305555559999991</v>
      </c>
    </row>
    <row r="35" spans="1:2" x14ac:dyDescent="0.25">
      <c r="A35" s="15">
        <v>45701.281608796293</v>
      </c>
      <c r="B35" s="14">
        <v>9.0277777780000008</v>
      </c>
    </row>
    <row r="36" spans="1:2" x14ac:dyDescent="0.25">
      <c r="A36" s="15">
        <v>45701.281608796293</v>
      </c>
      <c r="B36" s="14">
        <v>8.9583333330000006</v>
      </c>
    </row>
    <row r="37" spans="1:2" x14ac:dyDescent="0.25">
      <c r="A37" s="15">
        <v>45701.28162037037</v>
      </c>
      <c r="B37" s="14">
        <v>8.5777777779999997</v>
      </c>
    </row>
    <row r="38" spans="1:2" x14ac:dyDescent="0.25">
      <c r="A38" s="15">
        <v>45701.281631944446</v>
      </c>
      <c r="B38" s="14">
        <v>8.2333333329999991</v>
      </c>
    </row>
    <row r="39" spans="1:2" x14ac:dyDescent="0.25">
      <c r="A39" s="15">
        <v>45701.281643518516</v>
      </c>
      <c r="B39" s="14">
        <v>7.9027777779999999</v>
      </c>
    </row>
    <row r="40" spans="1:2" x14ac:dyDescent="0.25">
      <c r="A40" s="15">
        <v>45701.281643518516</v>
      </c>
      <c r="B40" s="14">
        <v>7.7305555559999997</v>
      </c>
    </row>
    <row r="41" spans="1:2" x14ac:dyDescent="0.25">
      <c r="A41" s="15">
        <v>45701.281643518516</v>
      </c>
      <c r="B41" s="14">
        <v>7.6749999999999998</v>
      </c>
    </row>
    <row r="42" spans="1:2" x14ac:dyDescent="0.25">
      <c r="A42" s="15">
        <v>45701.281655092593</v>
      </c>
      <c r="B42" s="14">
        <v>7.6638888889999999</v>
      </c>
    </row>
    <row r="43" spans="1:2" x14ac:dyDescent="0.25">
      <c r="A43" s="15">
        <v>45701.281666666669</v>
      </c>
      <c r="B43" s="14">
        <v>7.7166666670000001</v>
      </c>
    </row>
    <row r="44" spans="1:2" x14ac:dyDescent="0.25">
      <c r="A44" s="15">
        <v>45701.281678240739</v>
      </c>
      <c r="B44" s="14">
        <v>7.8388888889999997</v>
      </c>
    </row>
    <row r="45" spans="1:2" x14ac:dyDescent="0.25">
      <c r="A45" s="15">
        <v>45701.281689814816</v>
      </c>
      <c r="B45" s="14">
        <v>8.0416666669999994</v>
      </c>
    </row>
    <row r="46" spans="1:2" x14ac:dyDescent="0.25">
      <c r="A46" s="15">
        <v>45701.281701388885</v>
      </c>
      <c r="B46" s="14">
        <v>8.2472222219999995</v>
      </c>
    </row>
    <row r="47" spans="1:2" x14ac:dyDescent="0.25">
      <c r="A47" s="15">
        <v>45701.281701388885</v>
      </c>
      <c r="B47" s="14">
        <v>8.2694444439999995</v>
      </c>
    </row>
    <row r="48" spans="1:2" x14ac:dyDescent="0.25">
      <c r="A48" s="15">
        <v>45701.281712962962</v>
      </c>
      <c r="B48" s="14">
        <v>8.4722222219999992</v>
      </c>
    </row>
    <row r="49" spans="1:2" x14ac:dyDescent="0.25">
      <c r="A49" s="15">
        <v>45701.281724537039</v>
      </c>
      <c r="B49" s="14">
        <v>8.6611111110000003</v>
      </c>
    </row>
    <row r="50" spans="1:2" x14ac:dyDescent="0.25">
      <c r="A50" s="15">
        <v>45701.281736111108</v>
      </c>
      <c r="B50" s="14">
        <v>8.9527777779999997</v>
      </c>
    </row>
    <row r="51" spans="1:2" x14ac:dyDescent="0.25">
      <c r="A51" s="15">
        <v>45701.281736111108</v>
      </c>
      <c r="B51" s="14">
        <v>9.7916666669999994</v>
      </c>
    </row>
    <row r="52" spans="1:2" x14ac:dyDescent="0.25">
      <c r="A52" s="15">
        <v>45701.281747685185</v>
      </c>
      <c r="B52" s="14">
        <v>9.9666666670000001</v>
      </c>
    </row>
    <row r="53" spans="1:2" x14ac:dyDescent="0.25">
      <c r="A53" s="15">
        <v>45701.281759259262</v>
      </c>
      <c r="B53" s="14">
        <v>11.247222219999999</v>
      </c>
    </row>
    <row r="54" spans="1:2" x14ac:dyDescent="0.25">
      <c r="A54" s="15">
        <v>45701.281770833331</v>
      </c>
      <c r="B54" s="14">
        <v>12.505555559999999</v>
      </c>
    </row>
    <row r="55" spans="1:2" x14ac:dyDescent="0.25">
      <c r="A55" s="15">
        <v>45701.281770833331</v>
      </c>
      <c r="B55" s="14">
        <v>12.633333329999999</v>
      </c>
    </row>
    <row r="56" spans="1:2" x14ac:dyDescent="0.25">
      <c r="A56" s="15">
        <v>45701.281782407408</v>
      </c>
      <c r="B56" s="14">
        <v>13.574999999999999</v>
      </c>
    </row>
    <row r="57" spans="1:2" x14ac:dyDescent="0.25">
      <c r="A57" s="15">
        <v>45701.281793981485</v>
      </c>
      <c r="B57" s="14">
        <v>13.919444439999999</v>
      </c>
    </row>
    <row r="58" spans="1:2" x14ac:dyDescent="0.25">
      <c r="A58" s="15">
        <v>45701.281805555554</v>
      </c>
      <c r="B58" s="14">
        <v>14.008333329999999</v>
      </c>
    </row>
    <row r="59" spans="1:2" x14ac:dyDescent="0.25">
      <c r="A59" s="15">
        <v>45701.281817129631</v>
      </c>
      <c r="B59" s="14">
        <v>14.097222220000001</v>
      </c>
    </row>
    <row r="60" spans="1:2" x14ac:dyDescent="0.25">
      <c r="A60" s="15">
        <v>45701.281817129631</v>
      </c>
      <c r="B60" s="14">
        <v>14.086111109999999</v>
      </c>
    </row>
    <row r="61" spans="1:2" x14ac:dyDescent="0.25">
      <c r="A61" s="15">
        <v>45701.281828703701</v>
      </c>
      <c r="B61" s="14">
        <v>14.20277778</v>
      </c>
    </row>
    <row r="62" spans="1:2" x14ac:dyDescent="0.25">
      <c r="A62" s="15">
        <v>45701.281840277778</v>
      </c>
      <c r="B62" s="14">
        <v>14.28611111</v>
      </c>
    </row>
    <row r="63" spans="1:2" x14ac:dyDescent="0.25">
      <c r="A63" s="15">
        <v>45701.281840277778</v>
      </c>
      <c r="B63" s="14">
        <v>14.33888889</v>
      </c>
    </row>
    <row r="64" spans="1:2" x14ac:dyDescent="0.25">
      <c r="A64" s="15">
        <v>45701.281840277778</v>
      </c>
      <c r="B64" s="14">
        <v>14.35277778</v>
      </c>
    </row>
    <row r="65" spans="1:2" x14ac:dyDescent="0.25">
      <c r="A65" s="15">
        <v>45701.281851851854</v>
      </c>
      <c r="B65" s="14">
        <v>14.38888889</v>
      </c>
    </row>
    <row r="66" spans="1:2" x14ac:dyDescent="0.25">
      <c r="A66" s="15">
        <v>45701.281851851854</v>
      </c>
      <c r="B66" s="14">
        <v>14.391666669999999</v>
      </c>
    </row>
    <row r="67" spans="1:2" x14ac:dyDescent="0.25">
      <c r="A67" s="15">
        <v>45701.281851851854</v>
      </c>
      <c r="B67" s="14">
        <v>14.35277778</v>
      </c>
    </row>
    <row r="68" spans="1:2" x14ac:dyDescent="0.25">
      <c r="A68" s="15">
        <v>45701.281863425924</v>
      </c>
      <c r="B68" s="14">
        <v>14.311111110000001</v>
      </c>
    </row>
    <row r="69" spans="1:2" x14ac:dyDescent="0.25">
      <c r="A69" s="15">
        <v>45701.281875000001</v>
      </c>
      <c r="B69" s="14">
        <v>14.08333333</v>
      </c>
    </row>
    <row r="70" spans="1:2" x14ac:dyDescent="0.25">
      <c r="A70" s="15">
        <v>45701.281898148147</v>
      </c>
      <c r="B70" s="14">
        <v>13.419444439999999</v>
      </c>
    </row>
    <row r="71" spans="1:2" x14ac:dyDescent="0.25">
      <c r="A71" s="15">
        <v>45701.281898148147</v>
      </c>
      <c r="B71" s="14">
        <v>13.425000000000001</v>
      </c>
    </row>
    <row r="72" spans="1:2" x14ac:dyDescent="0.25">
      <c r="A72" s="15">
        <v>45701.281898148147</v>
      </c>
      <c r="B72" s="14">
        <v>13.14722222</v>
      </c>
    </row>
    <row r="73" spans="1:2" x14ac:dyDescent="0.25">
      <c r="A73" s="15">
        <v>45701.281921296293</v>
      </c>
      <c r="B73" s="14">
        <v>12.77222222</v>
      </c>
    </row>
    <row r="74" spans="1:2" x14ac:dyDescent="0.25">
      <c r="A74" s="15">
        <v>45701.28193287037</v>
      </c>
      <c r="B74" s="14">
        <v>12.175000000000001</v>
      </c>
    </row>
    <row r="75" spans="1:2" x14ac:dyDescent="0.25">
      <c r="A75" s="15">
        <v>45701.281944444447</v>
      </c>
      <c r="B75" s="14">
        <v>11.563888889999999</v>
      </c>
    </row>
    <row r="76" spans="1:2" x14ac:dyDescent="0.25">
      <c r="A76" s="15">
        <v>45701.281956018516</v>
      </c>
      <c r="B76" s="14">
        <v>11.04166667</v>
      </c>
    </row>
    <row r="77" spans="1:2" x14ac:dyDescent="0.25">
      <c r="A77" s="15">
        <v>45701.281956018516</v>
      </c>
      <c r="B77" s="14">
        <v>11.002777780000001</v>
      </c>
    </row>
    <row r="78" spans="1:2" x14ac:dyDescent="0.25">
      <c r="A78" s="15">
        <v>45701.281967592593</v>
      </c>
      <c r="B78" s="14">
        <v>10.56944444</v>
      </c>
    </row>
    <row r="79" spans="1:2" x14ac:dyDescent="0.25">
      <c r="A79" s="15">
        <v>45701.28197916667</v>
      </c>
      <c r="B79" s="14">
        <v>10.13888889</v>
      </c>
    </row>
    <row r="80" spans="1:2" x14ac:dyDescent="0.25">
      <c r="A80" s="15">
        <v>45701.281990740739</v>
      </c>
      <c r="B80" s="14">
        <v>9.6999999999999993</v>
      </c>
    </row>
    <row r="81" spans="1:2" x14ac:dyDescent="0.25">
      <c r="A81" s="15">
        <v>45701.282002314816</v>
      </c>
      <c r="B81" s="14">
        <v>9.2361111109999996</v>
      </c>
    </row>
    <row r="82" spans="1:2" x14ac:dyDescent="0.25">
      <c r="A82" s="15">
        <v>45701.282002314816</v>
      </c>
      <c r="B82" s="14">
        <v>9.1833333330000002</v>
      </c>
    </row>
    <row r="83" spans="1:2" x14ac:dyDescent="0.25">
      <c r="A83" s="15">
        <v>45701.282013888886</v>
      </c>
      <c r="B83" s="14">
        <v>8.6111111109999996</v>
      </c>
    </row>
    <row r="84" spans="1:2" x14ac:dyDescent="0.25">
      <c r="A84" s="15">
        <v>45701.282013888886</v>
      </c>
      <c r="B84" s="14">
        <v>8.5611111110000007</v>
      </c>
    </row>
    <row r="85" spans="1:2" x14ac:dyDescent="0.25">
      <c r="A85" s="15">
        <v>45701.282025462962</v>
      </c>
      <c r="B85" s="14">
        <v>7.8944444440000003</v>
      </c>
    </row>
    <row r="86" spans="1:2" x14ac:dyDescent="0.25">
      <c r="A86" s="15">
        <v>45701.282037037039</v>
      </c>
      <c r="B86" s="14">
        <v>7.4083333329999999</v>
      </c>
    </row>
    <row r="87" spans="1:2" x14ac:dyDescent="0.25">
      <c r="A87" s="15">
        <v>45701.282048611109</v>
      </c>
      <c r="B87" s="14">
        <v>6.886111111</v>
      </c>
    </row>
    <row r="88" spans="1:2" x14ac:dyDescent="0.25">
      <c r="A88" s="15">
        <v>45701.282060185185</v>
      </c>
      <c r="B88" s="14">
        <v>6.2027777779999997</v>
      </c>
    </row>
    <row r="89" spans="1:2" x14ac:dyDescent="0.25">
      <c r="A89" s="15">
        <v>45701.282071759262</v>
      </c>
      <c r="B89" s="14">
        <v>5.375</v>
      </c>
    </row>
    <row r="90" spans="1:2" x14ac:dyDescent="0.25">
      <c r="A90" s="15">
        <v>45701.282083333332</v>
      </c>
      <c r="B90" s="14">
        <v>4.3888888890000004</v>
      </c>
    </row>
    <row r="91" spans="1:2" x14ac:dyDescent="0.25">
      <c r="A91" s="15">
        <v>45701.282094907408</v>
      </c>
      <c r="B91" s="14">
        <v>3.2055555560000002</v>
      </c>
    </row>
    <row r="92" spans="1:2" x14ac:dyDescent="0.25">
      <c r="A92" s="15">
        <v>45701.282106481478</v>
      </c>
      <c r="B92" s="14">
        <v>2.238888889</v>
      </c>
    </row>
    <row r="93" spans="1:2" x14ac:dyDescent="0.25">
      <c r="A93" s="15">
        <v>45701.282118055555</v>
      </c>
      <c r="B93" s="14">
        <v>1.438888889</v>
      </c>
    </row>
    <row r="94" spans="1:2" x14ac:dyDescent="0.25">
      <c r="A94" s="15">
        <v>45701.282118055555</v>
      </c>
      <c r="B94" s="14">
        <v>1.297222222</v>
      </c>
    </row>
    <row r="95" spans="1:2" x14ac:dyDescent="0.25">
      <c r="A95" s="15">
        <v>45701.282129629632</v>
      </c>
      <c r="B95" s="14">
        <v>0.37777777800000001</v>
      </c>
    </row>
    <row r="96" spans="1:2" x14ac:dyDescent="0.25">
      <c r="A96" s="15">
        <v>45701.282141203701</v>
      </c>
      <c r="B96" s="14">
        <v>0.15555555600000001</v>
      </c>
    </row>
    <row r="97" spans="1:2" x14ac:dyDescent="0.25">
      <c r="A97" s="15">
        <v>45701.282141203701</v>
      </c>
      <c r="B97" s="14">
        <v>4.7222222000000001E-2</v>
      </c>
    </row>
    <row r="98" spans="1:2" x14ac:dyDescent="0.25">
      <c r="A98" s="15">
        <v>45701.282152777778</v>
      </c>
      <c r="B98" s="14">
        <v>3.6111111000000001E-2</v>
      </c>
    </row>
    <row r="99" spans="1:2" x14ac:dyDescent="0.25">
      <c r="A99" s="15">
        <v>45701.282164351855</v>
      </c>
      <c r="B99" s="14">
        <v>0</v>
      </c>
    </row>
    <row r="100" spans="1:2" x14ac:dyDescent="0.25">
      <c r="A100" s="15">
        <v>45701.282395833332</v>
      </c>
      <c r="B100" s="14">
        <v>3.3333333E-2</v>
      </c>
    </row>
    <row r="101" spans="1:2" x14ac:dyDescent="0.25">
      <c r="A101" s="15">
        <v>45701.282395833332</v>
      </c>
      <c r="B101" s="14">
        <v>0.86388888900000005</v>
      </c>
    </row>
    <row r="102" spans="1:2" x14ac:dyDescent="0.25">
      <c r="A102" s="15">
        <v>45701.282407407409</v>
      </c>
      <c r="B102" s="14">
        <v>1.1944444439999999</v>
      </c>
    </row>
    <row r="103" spans="1:2" x14ac:dyDescent="0.25">
      <c r="A103" s="15">
        <v>45701.282418981478</v>
      </c>
      <c r="B103" s="14">
        <v>2.483333333</v>
      </c>
    </row>
    <row r="104" spans="1:2" x14ac:dyDescent="0.25">
      <c r="A104" s="15">
        <v>45701.282430555555</v>
      </c>
      <c r="B104" s="14">
        <v>3.8416666670000001</v>
      </c>
    </row>
    <row r="105" spans="1:2" x14ac:dyDescent="0.25">
      <c r="A105" s="15">
        <v>45701.282442129632</v>
      </c>
      <c r="B105" s="14">
        <v>5.1166666669999996</v>
      </c>
    </row>
    <row r="106" spans="1:2" x14ac:dyDescent="0.25">
      <c r="A106" s="15">
        <v>45701.282442129632</v>
      </c>
      <c r="B106" s="14">
        <v>5.1888888890000002</v>
      </c>
    </row>
    <row r="107" spans="1:2" x14ac:dyDescent="0.25">
      <c r="A107" s="15">
        <v>45701.282442129632</v>
      </c>
      <c r="B107" s="14">
        <v>6.0722222219999997</v>
      </c>
    </row>
    <row r="108" spans="1:2" x14ac:dyDescent="0.25">
      <c r="A108" s="15">
        <v>45701.282453703701</v>
      </c>
      <c r="B108" s="14">
        <v>6.2361111109999996</v>
      </c>
    </row>
    <row r="109" spans="1:2" x14ac:dyDescent="0.25">
      <c r="A109" s="15">
        <v>45701.282465277778</v>
      </c>
      <c r="B109" s="14">
        <v>7.6444444440000003</v>
      </c>
    </row>
    <row r="110" spans="1:2" x14ac:dyDescent="0.25">
      <c r="A110" s="15">
        <v>45701.282476851855</v>
      </c>
      <c r="B110" s="14">
        <v>8.9</v>
      </c>
    </row>
    <row r="111" spans="1:2" x14ac:dyDescent="0.25">
      <c r="A111" s="15">
        <v>45701.282488425924</v>
      </c>
      <c r="B111" s="14">
        <v>9.7777777780000008</v>
      </c>
    </row>
    <row r="112" spans="1:2" x14ac:dyDescent="0.25">
      <c r="A112" s="15">
        <v>45701.282500000001</v>
      </c>
      <c r="B112" s="14">
        <v>10.686111110000001</v>
      </c>
    </row>
    <row r="113" spans="1:2" x14ac:dyDescent="0.25">
      <c r="A113" s="15">
        <v>45701.282511574071</v>
      </c>
      <c r="B113" s="14">
        <v>11.54722222</v>
      </c>
    </row>
    <row r="114" spans="1:2" x14ac:dyDescent="0.25">
      <c r="A114" s="15">
        <v>45701.282511574071</v>
      </c>
      <c r="B114" s="14">
        <v>11.872222219999999</v>
      </c>
    </row>
    <row r="115" spans="1:2" x14ac:dyDescent="0.25">
      <c r="A115" s="15">
        <v>45701.282523148147</v>
      </c>
      <c r="B115" s="14">
        <v>11.91111111</v>
      </c>
    </row>
    <row r="116" spans="1:2" x14ac:dyDescent="0.25">
      <c r="A116" s="15">
        <v>45701.282523148147</v>
      </c>
      <c r="B116" s="14">
        <v>11.919444439999999</v>
      </c>
    </row>
    <row r="117" spans="1:2" x14ac:dyDescent="0.25">
      <c r="A117" s="15">
        <v>45701.282534722224</v>
      </c>
      <c r="B117" s="14">
        <v>12.141666669999999</v>
      </c>
    </row>
    <row r="118" spans="1:2" x14ac:dyDescent="0.25">
      <c r="A118" s="15">
        <v>45701.282546296294</v>
      </c>
      <c r="B118" s="14">
        <v>12.35</v>
      </c>
    </row>
    <row r="119" spans="1:2" x14ac:dyDescent="0.25">
      <c r="A119" s="15">
        <v>45701.282557870371</v>
      </c>
      <c r="B119" s="14">
        <v>12.563888889999999</v>
      </c>
    </row>
    <row r="120" spans="1:2" x14ac:dyDescent="0.25">
      <c r="A120" s="15">
        <v>45701.282557870371</v>
      </c>
      <c r="B120" s="14">
        <v>12.59166667</v>
      </c>
    </row>
    <row r="121" spans="1:2" x14ac:dyDescent="0.25">
      <c r="A121" s="15">
        <v>45701.282569444447</v>
      </c>
      <c r="B121" s="14">
        <v>12.53055556</v>
      </c>
    </row>
    <row r="122" spans="1:2" x14ac:dyDescent="0.25">
      <c r="A122" s="15">
        <v>45701.282569444447</v>
      </c>
      <c r="B122" s="14">
        <v>12.48888889</v>
      </c>
    </row>
    <row r="123" spans="1:2" x14ac:dyDescent="0.25">
      <c r="A123" s="15">
        <v>45701.282581018517</v>
      </c>
      <c r="B123" s="14">
        <v>12.425000000000001</v>
      </c>
    </row>
    <row r="124" spans="1:2" x14ac:dyDescent="0.25">
      <c r="A124" s="15">
        <v>45701.282581018517</v>
      </c>
      <c r="B124" s="14">
        <v>12.28611111</v>
      </c>
    </row>
    <row r="125" spans="1:2" x14ac:dyDescent="0.25">
      <c r="A125" s="15">
        <v>45701.282592592594</v>
      </c>
      <c r="B125" s="14">
        <v>11.79166667</v>
      </c>
    </row>
    <row r="126" spans="1:2" x14ac:dyDescent="0.25">
      <c r="A126" s="15">
        <v>45701.282604166663</v>
      </c>
      <c r="B126" s="14">
        <v>11.255555559999999</v>
      </c>
    </row>
    <row r="127" spans="1:2" x14ac:dyDescent="0.25">
      <c r="A127" s="15">
        <v>45701.28261574074</v>
      </c>
      <c r="B127" s="14">
        <v>10.96944444</v>
      </c>
    </row>
    <row r="128" spans="1:2" x14ac:dyDescent="0.25">
      <c r="A128" s="15">
        <v>45701.282627314817</v>
      </c>
      <c r="B128" s="14">
        <v>10.730555560000001</v>
      </c>
    </row>
    <row r="129" spans="1:2" x14ac:dyDescent="0.25">
      <c r="A129" s="15">
        <v>45701.282638888886</v>
      </c>
      <c r="B129" s="14">
        <v>10.502777780000001</v>
      </c>
    </row>
    <row r="130" spans="1:2" x14ac:dyDescent="0.25">
      <c r="A130" s="15">
        <v>45701.282650462963</v>
      </c>
      <c r="B130" s="14">
        <v>10.35</v>
      </c>
    </row>
    <row r="131" spans="1:2" x14ac:dyDescent="0.25">
      <c r="A131" s="15">
        <v>45701.28266203704</v>
      </c>
      <c r="B131" s="14">
        <v>10.23888889</v>
      </c>
    </row>
    <row r="132" spans="1:2" x14ac:dyDescent="0.25">
      <c r="A132" s="15">
        <v>45701.28266203704</v>
      </c>
      <c r="B132" s="14">
        <v>10.19444444</v>
      </c>
    </row>
    <row r="133" spans="1:2" x14ac:dyDescent="0.25">
      <c r="A133" s="15">
        <v>45701.28266203704</v>
      </c>
      <c r="B133" s="14">
        <v>10.13888889</v>
      </c>
    </row>
    <row r="134" spans="1:2" x14ac:dyDescent="0.25">
      <c r="A134" s="15">
        <v>45701.28266203704</v>
      </c>
      <c r="B134" s="14">
        <v>10.1</v>
      </c>
    </row>
    <row r="135" spans="1:2" x14ac:dyDescent="0.25">
      <c r="A135" s="15">
        <v>45701.282685185186</v>
      </c>
      <c r="B135" s="14">
        <v>10.08333333</v>
      </c>
    </row>
    <row r="136" spans="1:2" x14ac:dyDescent="0.25">
      <c r="A136" s="15">
        <v>45701.282696759263</v>
      </c>
      <c r="B136" s="14">
        <v>10.105555560000001</v>
      </c>
    </row>
    <row r="137" spans="1:2" x14ac:dyDescent="0.25">
      <c r="A137" s="15">
        <v>45701.282719907409</v>
      </c>
      <c r="B137" s="14">
        <v>10.108333330000001</v>
      </c>
    </row>
    <row r="138" spans="1:2" x14ac:dyDescent="0.25">
      <c r="A138" s="15">
        <v>45701.282731481479</v>
      </c>
      <c r="B138" s="14">
        <v>10.125</v>
      </c>
    </row>
    <row r="139" spans="1:2" x14ac:dyDescent="0.25">
      <c r="A139" s="15">
        <v>45701.282743055555</v>
      </c>
      <c r="B139" s="14">
        <v>10.127777780000001</v>
      </c>
    </row>
    <row r="140" spans="1:2" x14ac:dyDescent="0.25">
      <c r="A140" s="15">
        <v>45701.282754629632</v>
      </c>
      <c r="B140" s="14">
        <v>10.09166667</v>
      </c>
    </row>
    <row r="141" spans="1:2" x14ac:dyDescent="0.25">
      <c r="A141" s="15">
        <v>45701.282766203702</v>
      </c>
      <c r="B141" s="14">
        <v>10.06944444</v>
      </c>
    </row>
    <row r="142" spans="1:2" x14ac:dyDescent="0.25">
      <c r="A142" s="15">
        <v>45701.282777777778</v>
      </c>
      <c r="B142" s="14">
        <v>10.175000000000001</v>
      </c>
    </row>
    <row r="143" spans="1:2" x14ac:dyDescent="0.25">
      <c r="A143" s="15">
        <v>45701.282789351855</v>
      </c>
      <c r="B143" s="14">
        <v>11.019444439999999</v>
      </c>
    </row>
    <row r="144" spans="1:2" x14ac:dyDescent="0.25">
      <c r="A144" s="15">
        <v>45701.282789351855</v>
      </c>
      <c r="B144" s="14">
        <v>12.266666669999999</v>
      </c>
    </row>
    <row r="145" spans="1:2" x14ac:dyDescent="0.25">
      <c r="A145" s="15">
        <v>45701.282812500001</v>
      </c>
      <c r="B145" s="14">
        <v>13.369444440000001</v>
      </c>
    </row>
    <row r="146" spans="1:2" x14ac:dyDescent="0.25">
      <c r="A146" s="15">
        <v>45701.282824074071</v>
      </c>
      <c r="B146" s="14">
        <v>13.83333333</v>
      </c>
    </row>
    <row r="147" spans="1:2" x14ac:dyDescent="0.25">
      <c r="A147" s="15">
        <v>45701.282824074071</v>
      </c>
      <c r="B147" s="14">
        <v>13.85277778</v>
      </c>
    </row>
    <row r="148" spans="1:2" x14ac:dyDescent="0.25">
      <c r="A148" s="15">
        <v>45701.282835648148</v>
      </c>
      <c r="B148" s="14">
        <v>14.21388889</v>
      </c>
    </row>
    <row r="149" spans="1:2" x14ac:dyDescent="0.25">
      <c r="A149" s="15">
        <v>45701.282835648148</v>
      </c>
      <c r="B149" s="14">
        <v>14.19166667</v>
      </c>
    </row>
    <row r="150" spans="1:2" x14ac:dyDescent="0.25">
      <c r="A150" s="15">
        <v>45701.282847222225</v>
      </c>
      <c r="B150" s="14">
        <v>14.580555560000001</v>
      </c>
    </row>
    <row r="151" spans="1:2" x14ac:dyDescent="0.25">
      <c r="A151" s="15">
        <v>45701.282858796294</v>
      </c>
      <c r="B151" s="14">
        <v>14.86111111</v>
      </c>
    </row>
    <row r="152" spans="1:2" x14ac:dyDescent="0.25">
      <c r="A152" s="15">
        <v>45701.282858796294</v>
      </c>
      <c r="B152" s="14">
        <v>15.13888889</v>
      </c>
    </row>
    <row r="153" spans="1:2" x14ac:dyDescent="0.25">
      <c r="A153" s="15">
        <v>45701.282870370371</v>
      </c>
      <c r="B153" s="14">
        <v>15.15</v>
      </c>
    </row>
    <row r="154" spans="1:2" x14ac:dyDescent="0.25">
      <c r="A154" s="15">
        <v>45701.282881944448</v>
      </c>
      <c r="B154" s="14">
        <v>15.133333329999999</v>
      </c>
    </row>
    <row r="155" spans="1:2" x14ac:dyDescent="0.25">
      <c r="A155" s="15">
        <v>45701.282881944448</v>
      </c>
      <c r="B155" s="14">
        <v>15.130555559999999</v>
      </c>
    </row>
    <row r="156" spans="1:2" x14ac:dyDescent="0.25">
      <c r="A156" s="15">
        <v>45701.282893518517</v>
      </c>
      <c r="B156" s="14">
        <v>15.15833333</v>
      </c>
    </row>
    <row r="157" spans="1:2" x14ac:dyDescent="0.25">
      <c r="A157" s="15">
        <v>45701.282905092594</v>
      </c>
      <c r="B157" s="14">
        <v>15</v>
      </c>
    </row>
    <row r="158" spans="1:2" x14ac:dyDescent="0.25">
      <c r="A158" s="15">
        <v>45701.282916666663</v>
      </c>
      <c r="B158" s="14">
        <v>14.938888889999999</v>
      </c>
    </row>
    <row r="159" spans="1:2" x14ac:dyDescent="0.25">
      <c r="A159" s="15">
        <v>45701.28292824074</v>
      </c>
      <c r="B159" s="14">
        <v>14.93055556</v>
      </c>
    </row>
    <row r="160" spans="1:2" x14ac:dyDescent="0.25">
      <c r="A160" s="15">
        <v>45701.282939814817</v>
      </c>
      <c r="B160" s="14">
        <v>14.93333333</v>
      </c>
    </row>
    <row r="161" spans="1:2" x14ac:dyDescent="0.25">
      <c r="A161" s="15">
        <v>45701.282939814817</v>
      </c>
      <c r="B161" s="14">
        <v>14.925000000000001</v>
      </c>
    </row>
    <row r="162" spans="1:2" x14ac:dyDescent="0.25">
      <c r="A162" s="15">
        <v>45701.282951388886</v>
      </c>
      <c r="B162" s="14">
        <v>14.92222222</v>
      </c>
    </row>
    <row r="163" spans="1:2" x14ac:dyDescent="0.25">
      <c r="A163" s="15">
        <v>45701.282962962963</v>
      </c>
      <c r="B163" s="14">
        <v>14.961111109999999</v>
      </c>
    </row>
    <row r="164" spans="1:2" x14ac:dyDescent="0.25">
      <c r="A164" s="15">
        <v>45701.282962962963</v>
      </c>
      <c r="B164" s="14">
        <v>14.88888889</v>
      </c>
    </row>
    <row r="165" spans="1:2" x14ac:dyDescent="0.25">
      <c r="A165" s="15">
        <v>45701.28297453704</v>
      </c>
      <c r="B165" s="14">
        <v>14.83888889</v>
      </c>
    </row>
    <row r="166" spans="1:2" x14ac:dyDescent="0.25">
      <c r="A166" s="15">
        <v>45701.28297453704</v>
      </c>
      <c r="B166" s="14">
        <v>14.84166667</v>
      </c>
    </row>
    <row r="167" spans="1:2" x14ac:dyDescent="0.25">
      <c r="A167" s="15">
        <v>45701.282986111109</v>
      </c>
      <c r="B167" s="14">
        <v>14.59166667</v>
      </c>
    </row>
    <row r="168" spans="1:2" x14ac:dyDescent="0.25">
      <c r="A168" s="15">
        <v>45701.282997685186</v>
      </c>
      <c r="B168" s="14">
        <v>14.17222222</v>
      </c>
    </row>
    <row r="169" spans="1:2" x14ac:dyDescent="0.25">
      <c r="A169" s="15">
        <v>45701.283009259256</v>
      </c>
      <c r="B169" s="14">
        <v>13.55277778</v>
      </c>
    </row>
    <row r="170" spans="1:2" x14ac:dyDescent="0.25">
      <c r="A170" s="15">
        <v>45701.283020833333</v>
      </c>
      <c r="B170" s="14">
        <v>12.925000000000001</v>
      </c>
    </row>
    <row r="171" spans="1:2" x14ac:dyDescent="0.25">
      <c r="A171" s="15">
        <v>45701.283020833333</v>
      </c>
      <c r="B171" s="14">
        <v>12.330555560000001</v>
      </c>
    </row>
    <row r="172" spans="1:2" x14ac:dyDescent="0.25">
      <c r="A172" s="15">
        <v>45701.283032407409</v>
      </c>
      <c r="B172" s="14">
        <v>12.28055556</v>
      </c>
    </row>
    <row r="173" spans="1:2" x14ac:dyDescent="0.25">
      <c r="A173" s="15">
        <v>45701.283043981479</v>
      </c>
      <c r="B173" s="14">
        <v>11.69444444</v>
      </c>
    </row>
    <row r="174" spans="1:2" x14ac:dyDescent="0.25">
      <c r="A174" s="15">
        <v>45701.283043981479</v>
      </c>
      <c r="B174" s="14">
        <v>11.32222222</v>
      </c>
    </row>
    <row r="175" spans="1:2" x14ac:dyDescent="0.25">
      <c r="A175" s="15">
        <v>45701.283055555556</v>
      </c>
      <c r="B175" s="14">
        <v>11.29166667</v>
      </c>
    </row>
    <row r="176" spans="1:2" x14ac:dyDescent="0.25">
      <c r="A176" s="15">
        <v>45701.283067129632</v>
      </c>
      <c r="B176" s="14">
        <v>10.81666667</v>
      </c>
    </row>
    <row r="177" spans="1:2" x14ac:dyDescent="0.25">
      <c r="A177" s="15">
        <v>45701.283067129632</v>
      </c>
      <c r="B177" s="14">
        <v>10.788888890000001</v>
      </c>
    </row>
    <row r="178" spans="1:2" x14ac:dyDescent="0.25">
      <c r="A178" s="15">
        <v>45701.283067129632</v>
      </c>
      <c r="B178" s="14">
        <v>10.57222222</v>
      </c>
    </row>
    <row r="179" spans="1:2" x14ac:dyDescent="0.25">
      <c r="A179" s="15">
        <v>45701.283078703702</v>
      </c>
      <c r="B179" s="14">
        <v>10.55555556</v>
      </c>
    </row>
    <row r="180" spans="1:2" x14ac:dyDescent="0.25">
      <c r="A180" s="15">
        <v>45701.283090277779</v>
      </c>
      <c r="B180" s="14">
        <v>10.330555560000001</v>
      </c>
    </row>
    <row r="181" spans="1:2" x14ac:dyDescent="0.25">
      <c r="A181" s="15">
        <v>45701.283090277779</v>
      </c>
      <c r="B181" s="14">
        <v>10.313888889999999</v>
      </c>
    </row>
    <row r="182" spans="1:2" x14ac:dyDescent="0.25">
      <c r="A182" s="15">
        <v>45701.283101851855</v>
      </c>
      <c r="B182" s="14">
        <v>9.9472222220000006</v>
      </c>
    </row>
    <row r="183" spans="1:2" x14ac:dyDescent="0.25">
      <c r="A183" s="15">
        <v>45701.283113425925</v>
      </c>
      <c r="B183" s="14">
        <v>9.4944444440000009</v>
      </c>
    </row>
    <row r="184" spans="1:2" x14ac:dyDescent="0.25">
      <c r="A184" s="15">
        <v>45701.283113425925</v>
      </c>
      <c r="B184" s="14">
        <v>9.4305555559999998</v>
      </c>
    </row>
    <row r="185" spans="1:2" x14ac:dyDescent="0.25">
      <c r="A185" s="15">
        <v>45701.283125000002</v>
      </c>
      <c r="B185" s="14">
        <v>8.8361111109999992</v>
      </c>
    </row>
    <row r="186" spans="1:2" x14ac:dyDescent="0.25">
      <c r="A186" s="15">
        <v>45701.283136574071</v>
      </c>
      <c r="B186" s="14">
        <v>8.2361111109999996</v>
      </c>
    </row>
    <row r="187" spans="1:2" x14ac:dyDescent="0.25">
      <c r="A187" s="15">
        <v>45701.283148148148</v>
      </c>
      <c r="B187" s="14">
        <v>7.7833333329999999</v>
      </c>
    </row>
    <row r="188" spans="1:2" x14ac:dyDescent="0.25">
      <c r="A188" s="15">
        <v>45701.283159722225</v>
      </c>
      <c r="B188" s="14">
        <v>7.4305555559999998</v>
      </c>
    </row>
    <row r="189" spans="1:2" x14ac:dyDescent="0.25">
      <c r="A189" s="15">
        <v>45701.283171296294</v>
      </c>
      <c r="B189" s="14">
        <v>7.0472222220000003</v>
      </c>
    </row>
    <row r="190" spans="1:2" x14ac:dyDescent="0.25">
      <c r="A190" s="15">
        <v>45701.283182870371</v>
      </c>
      <c r="B190" s="14">
        <v>6.261111111</v>
      </c>
    </row>
    <row r="191" spans="1:2" x14ac:dyDescent="0.25">
      <c r="A191" s="15">
        <v>45701.283194444448</v>
      </c>
      <c r="B191" s="14">
        <v>5.4083333329999999</v>
      </c>
    </row>
    <row r="192" spans="1:2" x14ac:dyDescent="0.25">
      <c r="A192" s="15">
        <v>45701.283206018517</v>
      </c>
      <c r="B192" s="14">
        <v>4.3361111110000001</v>
      </c>
    </row>
    <row r="193" spans="1:2" x14ac:dyDescent="0.25">
      <c r="A193" s="15">
        <v>45701.283206018517</v>
      </c>
      <c r="B193" s="14">
        <v>3.3416666670000001</v>
      </c>
    </row>
    <row r="194" spans="1:2" x14ac:dyDescent="0.25">
      <c r="A194" s="15">
        <v>45701.283217592594</v>
      </c>
      <c r="B194" s="14">
        <v>3.255555556</v>
      </c>
    </row>
    <row r="195" spans="1:2" x14ac:dyDescent="0.25">
      <c r="A195" s="15">
        <v>45701.283229166664</v>
      </c>
      <c r="B195" s="14">
        <v>2.2777777779999999</v>
      </c>
    </row>
    <row r="196" spans="1:2" x14ac:dyDescent="0.25">
      <c r="A196" s="15">
        <v>45701.28324074074</v>
      </c>
      <c r="B196" s="14">
        <v>1.313888889</v>
      </c>
    </row>
    <row r="197" spans="1:2" x14ac:dyDescent="0.25">
      <c r="A197" s="15">
        <v>45701.283252314817</v>
      </c>
      <c r="B197" s="14">
        <v>0.36111111099999998</v>
      </c>
    </row>
    <row r="198" spans="1:2" x14ac:dyDescent="0.25">
      <c r="A198" s="15">
        <v>45701.283263888887</v>
      </c>
      <c r="B198" s="14">
        <v>4.1666666999999998E-2</v>
      </c>
    </row>
    <row r="199" spans="1:2" x14ac:dyDescent="0.25">
      <c r="A199" s="15">
        <v>45701.283275462964</v>
      </c>
      <c r="B199" s="14">
        <v>0</v>
      </c>
    </row>
    <row r="200" spans="1:2" x14ac:dyDescent="0.25">
      <c r="A200" s="15">
        <v>45701.283414351848</v>
      </c>
      <c r="B200" s="14">
        <v>0.41944444400000003</v>
      </c>
    </row>
    <row r="201" spans="1:2" x14ac:dyDescent="0.25">
      <c r="A201" s="15">
        <v>45701.283414351848</v>
      </c>
      <c r="B201" s="14">
        <v>0.936111111</v>
      </c>
    </row>
    <row r="202" spans="1:2" x14ac:dyDescent="0.25">
      <c r="A202" s="15">
        <v>45701.283425925925</v>
      </c>
      <c r="B202" s="14">
        <v>1.7166666669999999</v>
      </c>
    </row>
    <row r="203" spans="1:2" x14ac:dyDescent="0.25">
      <c r="A203" s="15">
        <v>45701.283437500002</v>
      </c>
      <c r="B203" s="14">
        <v>2.8222222220000002</v>
      </c>
    </row>
    <row r="204" spans="1:2" x14ac:dyDescent="0.25">
      <c r="A204" s="15">
        <v>45701.283437500002</v>
      </c>
      <c r="B204" s="14">
        <v>3.4305555559999998</v>
      </c>
    </row>
    <row r="205" spans="1:2" x14ac:dyDescent="0.25">
      <c r="A205" s="15">
        <v>45701.283449074072</v>
      </c>
      <c r="B205" s="14">
        <v>3.988888889</v>
      </c>
    </row>
    <row r="206" spans="1:2" x14ac:dyDescent="0.25">
      <c r="A206" s="15">
        <v>45701.283449074072</v>
      </c>
      <c r="B206" s="14">
        <v>4.3361111110000001</v>
      </c>
    </row>
    <row r="207" spans="1:2" x14ac:dyDescent="0.25">
      <c r="A207" s="15">
        <v>45701.283460648148</v>
      </c>
      <c r="B207" s="14">
        <v>5.0861111110000001</v>
      </c>
    </row>
    <row r="208" spans="1:2" x14ac:dyDescent="0.25">
      <c r="A208" s="15">
        <v>45701.283472222225</v>
      </c>
      <c r="B208" s="14">
        <v>6.0833333329999997</v>
      </c>
    </row>
    <row r="209" spans="1:2" x14ac:dyDescent="0.25">
      <c r="A209" s="15">
        <v>45701.283483796295</v>
      </c>
      <c r="B209" s="14">
        <v>7.25</v>
      </c>
    </row>
    <row r="210" spans="1:2" x14ac:dyDescent="0.25">
      <c r="A210" s="15">
        <v>45701.283495370371</v>
      </c>
      <c r="B210" s="14">
        <v>8.3944444439999995</v>
      </c>
    </row>
    <row r="211" spans="1:2" x14ac:dyDescent="0.25">
      <c r="A211" s="15">
        <v>45701.283506944441</v>
      </c>
      <c r="B211" s="14">
        <v>9.5583333330000002</v>
      </c>
    </row>
    <row r="212" spans="1:2" x14ac:dyDescent="0.25">
      <c r="A212" s="15">
        <v>45701.283518518518</v>
      </c>
      <c r="B212" s="14">
        <v>10.70833333</v>
      </c>
    </row>
    <row r="213" spans="1:2" x14ac:dyDescent="0.25">
      <c r="A213" s="15">
        <v>45701.283530092594</v>
      </c>
      <c r="B213" s="14">
        <v>11.71388889</v>
      </c>
    </row>
    <row r="214" spans="1:2" x14ac:dyDescent="0.25">
      <c r="A214" s="15">
        <v>45701.283541666664</v>
      </c>
      <c r="B214" s="14">
        <v>12.47777778</v>
      </c>
    </row>
    <row r="215" spans="1:2" x14ac:dyDescent="0.25">
      <c r="A215" s="15">
        <v>45701.283553240741</v>
      </c>
      <c r="B215" s="14">
        <v>13.019444439999999</v>
      </c>
    </row>
    <row r="216" spans="1:2" x14ac:dyDescent="0.25">
      <c r="A216" s="15">
        <v>45701.283564814818</v>
      </c>
      <c r="B216" s="14">
        <v>13.413888890000001</v>
      </c>
    </row>
    <row r="217" spans="1:2" x14ac:dyDescent="0.25">
      <c r="A217" s="15">
        <v>45701.283576388887</v>
      </c>
      <c r="B217" s="14">
        <v>13.84166667</v>
      </c>
    </row>
    <row r="218" spans="1:2" x14ac:dyDescent="0.25">
      <c r="A218" s="15">
        <v>45701.283587962964</v>
      </c>
      <c r="B218" s="14">
        <v>14.258333329999999</v>
      </c>
    </row>
    <row r="219" spans="1:2" x14ac:dyDescent="0.25">
      <c r="A219" s="15">
        <v>45701.283599537041</v>
      </c>
      <c r="B219" s="14">
        <v>14.46388889</v>
      </c>
    </row>
    <row r="220" spans="1:2" x14ac:dyDescent="0.25">
      <c r="A220" s="15">
        <v>45701.28361111111</v>
      </c>
      <c r="B220" s="14">
        <v>14.67777778</v>
      </c>
    </row>
    <row r="221" spans="1:2" x14ac:dyDescent="0.25">
      <c r="A221" s="15">
        <v>45701.28361111111</v>
      </c>
      <c r="B221" s="14">
        <v>14.686111110000001</v>
      </c>
    </row>
    <row r="222" spans="1:2" x14ac:dyDescent="0.25">
      <c r="A222" s="15">
        <v>45701.283622685187</v>
      </c>
      <c r="B222" s="14">
        <v>14.877777780000001</v>
      </c>
    </row>
    <row r="223" spans="1:2" x14ac:dyDescent="0.25">
      <c r="A223" s="15">
        <v>45701.283622685187</v>
      </c>
      <c r="B223" s="14">
        <v>15.06944444</v>
      </c>
    </row>
    <row r="224" spans="1:2" x14ac:dyDescent="0.25">
      <c r="A224" s="15">
        <v>45701.283645833333</v>
      </c>
      <c r="B224" s="14">
        <v>15.29722222</v>
      </c>
    </row>
    <row r="225" spans="1:2" x14ac:dyDescent="0.25">
      <c r="A225" s="15">
        <v>45701.28365740741</v>
      </c>
      <c r="B225" s="14">
        <v>15.51111111</v>
      </c>
    </row>
    <row r="226" spans="1:2" x14ac:dyDescent="0.25">
      <c r="A226" s="15">
        <v>45701.28365740741</v>
      </c>
      <c r="B226" s="14">
        <v>15.53055556</v>
      </c>
    </row>
    <row r="227" spans="1:2" x14ac:dyDescent="0.25">
      <c r="A227" s="15">
        <v>45701.283668981479</v>
      </c>
      <c r="B227" s="14">
        <v>15.788888890000001</v>
      </c>
    </row>
    <row r="228" spans="1:2" x14ac:dyDescent="0.25">
      <c r="A228" s="15">
        <v>45701.283668981479</v>
      </c>
      <c r="B228" s="14">
        <v>15.891666669999999</v>
      </c>
    </row>
    <row r="229" spans="1:2" x14ac:dyDescent="0.25">
      <c r="A229" s="15">
        <v>45701.283680555556</v>
      </c>
      <c r="B229" s="14">
        <v>15.86111111</v>
      </c>
    </row>
    <row r="230" spans="1:2" x14ac:dyDescent="0.25">
      <c r="A230" s="15">
        <v>45701.283692129633</v>
      </c>
      <c r="B230" s="14">
        <v>15.81666667</v>
      </c>
    </row>
    <row r="231" spans="1:2" x14ac:dyDescent="0.25">
      <c r="A231" s="15">
        <v>45701.283703703702</v>
      </c>
      <c r="B231" s="14">
        <v>15.73611111</v>
      </c>
    </row>
    <row r="232" spans="1:2" x14ac:dyDescent="0.25">
      <c r="A232" s="15">
        <v>45701.283715277779</v>
      </c>
      <c r="B232" s="14">
        <v>15.66666667</v>
      </c>
    </row>
    <row r="233" spans="1:2" x14ac:dyDescent="0.25">
      <c r="A233" s="15">
        <v>45701.283726851849</v>
      </c>
      <c r="B233" s="14">
        <v>15.627777780000001</v>
      </c>
    </row>
    <row r="234" spans="1:2" x14ac:dyDescent="0.25">
      <c r="A234" s="15">
        <v>45701.283738425926</v>
      </c>
      <c r="B234" s="14">
        <v>15.538888890000001</v>
      </c>
    </row>
    <row r="235" spans="1:2" x14ac:dyDescent="0.25">
      <c r="A235" s="15">
        <v>45701.283750000002</v>
      </c>
      <c r="B235" s="14">
        <v>15.46666667</v>
      </c>
    </row>
    <row r="236" spans="1:2" x14ac:dyDescent="0.25">
      <c r="A236" s="15">
        <v>45701.283761574072</v>
      </c>
      <c r="B236" s="14">
        <v>15.438888889999999</v>
      </c>
    </row>
    <row r="237" spans="1:2" x14ac:dyDescent="0.25">
      <c r="A237" s="15">
        <v>45701.283761574072</v>
      </c>
      <c r="B237" s="14">
        <v>15.35277778</v>
      </c>
    </row>
    <row r="238" spans="1:2" x14ac:dyDescent="0.25">
      <c r="A238" s="15">
        <v>45701.283773148149</v>
      </c>
      <c r="B238" s="14">
        <v>15.366666670000001</v>
      </c>
    </row>
    <row r="239" spans="1:2" x14ac:dyDescent="0.25">
      <c r="A239" s="15">
        <v>45701.283784722225</v>
      </c>
      <c r="B239" s="14">
        <v>15.169444439999999</v>
      </c>
    </row>
    <row r="240" spans="1:2" x14ac:dyDescent="0.25">
      <c r="A240" s="15">
        <v>45701.283784722225</v>
      </c>
      <c r="B240" s="14">
        <v>15.15</v>
      </c>
    </row>
    <row r="241" spans="1:2" x14ac:dyDescent="0.25">
      <c r="A241" s="15">
        <v>45701.283796296295</v>
      </c>
      <c r="B241" s="14">
        <v>14.98611111</v>
      </c>
    </row>
    <row r="242" spans="1:2" x14ac:dyDescent="0.25">
      <c r="A242" s="15">
        <v>45701.283796296295</v>
      </c>
      <c r="B242" s="14">
        <v>14.96666667</v>
      </c>
    </row>
    <row r="243" spans="1:2" x14ac:dyDescent="0.25">
      <c r="A243" s="15">
        <v>45701.283807870372</v>
      </c>
      <c r="B243" s="14">
        <v>14.725</v>
      </c>
    </row>
    <row r="244" spans="1:2" x14ac:dyDescent="0.25">
      <c r="A244" s="15">
        <v>45701.283807870372</v>
      </c>
      <c r="B244" s="14">
        <v>14.3</v>
      </c>
    </row>
    <row r="245" spans="1:2" x14ac:dyDescent="0.25">
      <c r="A245" s="15">
        <v>45701.283819444441</v>
      </c>
      <c r="B245" s="14">
        <v>14.30833333</v>
      </c>
    </row>
    <row r="246" spans="1:2" x14ac:dyDescent="0.25">
      <c r="A246" s="15">
        <v>45701.283831018518</v>
      </c>
      <c r="B246" s="14">
        <v>13.96388889</v>
      </c>
    </row>
    <row r="247" spans="1:2" x14ac:dyDescent="0.25">
      <c r="A247" s="15">
        <v>45701.283842592595</v>
      </c>
      <c r="B247" s="14">
        <v>13.580555560000001</v>
      </c>
    </row>
    <row r="248" spans="1:2" x14ac:dyDescent="0.25">
      <c r="A248" s="15">
        <v>45701.283854166664</v>
      </c>
      <c r="B248" s="14">
        <v>13.30277778</v>
      </c>
    </row>
    <row r="249" spans="1:2" x14ac:dyDescent="0.25">
      <c r="A249" s="15">
        <v>45701.283865740741</v>
      </c>
      <c r="B249" s="14">
        <v>13.03333333</v>
      </c>
    </row>
    <row r="250" spans="1:2" x14ac:dyDescent="0.25">
      <c r="A250" s="15">
        <v>45701.283877314818</v>
      </c>
      <c r="B250" s="14">
        <v>12.586111109999999</v>
      </c>
    </row>
    <row r="251" spans="1:2" x14ac:dyDescent="0.25">
      <c r="A251" s="15">
        <v>45701.283888888887</v>
      </c>
      <c r="B251" s="14">
        <v>12.13611111</v>
      </c>
    </row>
    <row r="252" spans="1:2" x14ac:dyDescent="0.25">
      <c r="A252" s="15">
        <v>45701.283900462964</v>
      </c>
      <c r="B252" s="14">
        <v>11.877777780000001</v>
      </c>
    </row>
    <row r="253" spans="1:2" x14ac:dyDescent="0.25">
      <c r="A253" s="15">
        <v>45701.283912037034</v>
      </c>
      <c r="B253" s="14">
        <v>11.538888890000001</v>
      </c>
    </row>
    <row r="254" spans="1:2" x14ac:dyDescent="0.25">
      <c r="A254" s="15">
        <v>45701.28392361111</v>
      </c>
      <c r="B254" s="14">
        <v>11.06944444</v>
      </c>
    </row>
    <row r="255" spans="1:2" x14ac:dyDescent="0.25">
      <c r="A255" s="15">
        <v>45701.283935185187</v>
      </c>
      <c r="B255" s="14">
        <v>10.597222220000001</v>
      </c>
    </row>
    <row r="256" spans="1:2" x14ac:dyDescent="0.25">
      <c r="A256" s="15">
        <v>45701.283946759257</v>
      </c>
      <c r="B256" s="14">
        <v>9.9944444440000009</v>
      </c>
    </row>
    <row r="257" spans="1:2" x14ac:dyDescent="0.25">
      <c r="A257" s="15">
        <v>45701.283958333333</v>
      </c>
      <c r="B257" s="14">
        <v>9.1388888890000004</v>
      </c>
    </row>
    <row r="258" spans="1:2" x14ac:dyDescent="0.25">
      <c r="A258" s="15">
        <v>45701.28396990741</v>
      </c>
      <c r="B258" s="14">
        <v>8.5722222220000006</v>
      </c>
    </row>
    <row r="259" spans="1:2" x14ac:dyDescent="0.25">
      <c r="A259" s="15">
        <v>45701.28396990741</v>
      </c>
      <c r="B259" s="14">
        <v>8.5194444439999995</v>
      </c>
    </row>
    <row r="260" spans="1:2" x14ac:dyDescent="0.25">
      <c r="A260" s="15">
        <v>45701.28398148148</v>
      </c>
      <c r="B260" s="14">
        <v>7.7416666669999996</v>
      </c>
    </row>
    <row r="261" spans="1:2" x14ac:dyDescent="0.25">
      <c r="A261" s="15">
        <v>45701.28398148148</v>
      </c>
      <c r="B261" s="14">
        <v>7.7027777779999997</v>
      </c>
    </row>
    <row r="262" spans="1:2" x14ac:dyDescent="0.25">
      <c r="A262" s="15">
        <v>45701.283993055556</v>
      </c>
      <c r="B262" s="14">
        <v>6.7777777779999999</v>
      </c>
    </row>
    <row r="263" spans="1:2" x14ac:dyDescent="0.25">
      <c r="A263" s="15">
        <v>45701.284004629626</v>
      </c>
      <c r="B263" s="14">
        <v>5.8888888890000004</v>
      </c>
    </row>
    <row r="264" spans="1:2" x14ac:dyDescent="0.25">
      <c r="A264" s="15">
        <v>45701.284016203703</v>
      </c>
      <c r="B264" s="14">
        <v>5.0638888890000002</v>
      </c>
    </row>
    <row r="265" spans="1:2" x14ac:dyDescent="0.25">
      <c r="A265" s="15">
        <v>45701.28402777778</v>
      </c>
      <c r="B265" s="14">
        <v>4.2</v>
      </c>
    </row>
    <row r="266" spans="1:2" x14ac:dyDescent="0.25">
      <c r="A266" s="15">
        <v>45701.284039351849</v>
      </c>
      <c r="B266" s="14">
        <v>3.3555555560000001</v>
      </c>
    </row>
    <row r="267" spans="1:2" x14ac:dyDescent="0.25">
      <c r="A267" s="15">
        <v>45701.284050925926</v>
      </c>
      <c r="B267" s="14">
        <v>2.8555555560000001</v>
      </c>
    </row>
    <row r="268" spans="1:2" x14ac:dyDescent="0.25">
      <c r="A268" s="15">
        <v>45701.284050925926</v>
      </c>
      <c r="B268" s="14">
        <v>2.7749999999999999</v>
      </c>
    </row>
    <row r="269" spans="1:2" x14ac:dyDescent="0.25">
      <c r="A269" s="15">
        <v>45701.284062500003</v>
      </c>
      <c r="B269" s="14">
        <v>2.5416666669999999</v>
      </c>
    </row>
    <row r="270" spans="1:2" x14ac:dyDescent="0.25">
      <c r="A270" s="15">
        <v>45701.284074074072</v>
      </c>
      <c r="B270" s="14">
        <v>2.261111111</v>
      </c>
    </row>
    <row r="271" spans="1:2" x14ac:dyDescent="0.25">
      <c r="A271" s="15">
        <v>45701.284074074072</v>
      </c>
      <c r="B271" s="14">
        <v>2.016666667</v>
      </c>
    </row>
    <row r="272" spans="1:2" x14ac:dyDescent="0.25">
      <c r="A272" s="15">
        <v>45701.284085648149</v>
      </c>
      <c r="B272" s="14">
        <v>1.983333333</v>
      </c>
    </row>
    <row r="273" spans="1:2" x14ac:dyDescent="0.25">
      <c r="A273" s="15">
        <v>45701.284097222226</v>
      </c>
      <c r="B273" s="14">
        <v>1.7749999999999999</v>
      </c>
    </row>
    <row r="274" spans="1:2" x14ac:dyDescent="0.25">
      <c r="A274" s="15">
        <v>45701.284097222226</v>
      </c>
      <c r="B274" s="14">
        <v>1.575</v>
      </c>
    </row>
    <row r="275" spans="1:2" x14ac:dyDescent="0.25">
      <c r="A275" s="15">
        <v>45701.284120370372</v>
      </c>
      <c r="B275" s="14">
        <v>1.4166666670000001</v>
      </c>
    </row>
    <row r="276" spans="1:2" x14ac:dyDescent="0.25">
      <c r="A276" s="15">
        <v>45701.284131944441</v>
      </c>
      <c r="B276" s="14">
        <v>1.3444444440000001</v>
      </c>
    </row>
    <row r="277" spans="1:2" x14ac:dyDescent="0.25">
      <c r="A277" s="15">
        <v>45701.284143518518</v>
      </c>
      <c r="B277" s="14">
        <v>1.4166666670000001</v>
      </c>
    </row>
    <row r="278" spans="1:2" x14ac:dyDescent="0.25">
      <c r="A278" s="15">
        <v>45701.284155092595</v>
      </c>
      <c r="B278" s="14">
        <v>1.4694444440000001</v>
      </c>
    </row>
    <row r="279" spans="1:2" x14ac:dyDescent="0.25">
      <c r="A279" s="15">
        <v>45701.284166666665</v>
      </c>
      <c r="B279" s="14">
        <v>1.5277777779999999</v>
      </c>
    </row>
    <row r="280" spans="1:2" x14ac:dyDescent="0.25">
      <c r="A280" s="15">
        <v>45701.284166666665</v>
      </c>
      <c r="B280" s="14">
        <v>1.391666667</v>
      </c>
    </row>
    <row r="281" spans="1:2" x14ac:dyDescent="0.25">
      <c r="A281" s="15">
        <v>45701.284178240741</v>
      </c>
      <c r="B281" s="14">
        <v>1.297222222</v>
      </c>
    </row>
    <row r="282" spans="1:2" x14ac:dyDescent="0.25">
      <c r="A282" s="15">
        <v>45701.284178240741</v>
      </c>
      <c r="B282" s="14">
        <v>1.2833333330000001</v>
      </c>
    </row>
    <row r="283" spans="1:2" x14ac:dyDescent="0.25">
      <c r="A283" s="15">
        <v>45701.284178240741</v>
      </c>
      <c r="B283" s="14">
        <v>0.91388888899999998</v>
      </c>
    </row>
    <row r="284" spans="1:2" x14ac:dyDescent="0.25">
      <c r="A284" s="15">
        <v>45701.284201388888</v>
      </c>
      <c r="B284" s="14">
        <v>0.169444444</v>
      </c>
    </row>
    <row r="285" spans="1:2" x14ac:dyDescent="0.25">
      <c r="A285" s="15">
        <v>45701.284212962964</v>
      </c>
      <c r="B285" s="14">
        <v>0.13888888899999999</v>
      </c>
    </row>
    <row r="286" spans="1:2" x14ac:dyDescent="0.25">
      <c r="A286" s="15">
        <v>45701.284212962964</v>
      </c>
      <c r="B286" s="14">
        <v>8.3333332999999996E-2</v>
      </c>
    </row>
    <row r="287" spans="1:2" x14ac:dyDescent="0.25">
      <c r="A287" s="15">
        <v>45701.284224537034</v>
      </c>
      <c r="B287" s="14">
        <v>0</v>
      </c>
    </row>
    <row r="288" spans="1:2" x14ac:dyDescent="0.25">
      <c r="A288" s="15">
        <v>45701.284444444442</v>
      </c>
      <c r="B288" s="14">
        <v>0.71111111100000002</v>
      </c>
    </row>
    <row r="289" spans="1:2" x14ac:dyDescent="0.25">
      <c r="A289" s="15">
        <v>45701.284444444442</v>
      </c>
      <c r="B289" s="14">
        <v>0.99444444399999998</v>
      </c>
    </row>
    <row r="290" spans="1:2" x14ac:dyDescent="0.25">
      <c r="A290" s="15">
        <v>45701.284456018519</v>
      </c>
      <c r="B290" s="14">
        <v>1.891666667</v>
      </c>
    </row>
    <row r="291" spans="1:2" x14ac:dyDescent="0.25">
      <c r="A291" s="15">
        <v>45701.284467592595</v>
      </c>
      <c r="B291" s="14">
        <v>2.9805555560000001</v>
      </c>
    </row>
    <row r="292" spans="1:2" x14ac:dyDescent="0.25">
      <c r="A292" s="15">
        <v>45701.284479166665</v>
      </c>
      <c r="B292" s="14">
        <v>4.1277777779999996</v>
      </c>
    </row>
    <row r="293" spans="1:2" x14ac:dyDescent="0.25">
      <c r="A293" s="15">
        <v>45701.284490740742</v>
      </c>
      <c r="B293" s="14">
        <v>5.2722222219999999</v>
      </c>
    </row>
    <row r="294" spans="1:2" x14ac:dyDescent="0.25">
      <c r="A294" s="15">
        <v>45701.284502314818</v>
      </c>
      <c r="B294" s="14">
        <v>6.3472222220000001</v>
      </c>
    </row>
    <row r="295" spans="1:2" x14ac:dyDescent="0.25">
      <c r="A295" s="15">
        <v>45701.284502314818</v>
      </c>
      <c r="B295" s="14">
        <v>6.2861111110000003</v>
      </c>
    </row>
    <row r="296" spans="1:2" x14ac:dyDescent="0.25">
      <c r="A296" s="15">
        <v>45701.284502314818</v>
      </c>
      <c r="B296" s="14">
        <v>6.9416666669999998</v>
      </c>
    </row>
    <row r="297" spans="1:2" x14ac:dyDescent="0.25">
      <c r="A297" s="15">
        <v>45701.284513888888</v>
      </c>
      <c r="B297" s="14">
        <v>7.4444444440000002</v>
      </c>
    </row>
    <row r="298" spans="1:2" x14ac:dyDescent="0.25">
      <c r="A298" s="15">
        <v>45701.284525462965</v>
      </c>
      <c r="B298" s="14">
        <v>8.6888888889999993</v>
      </c>
    </row>
    <row r="299" spans="1:2" x14ac:dyDescent="0.25">
      <c r="A299" s="15">
        <v>45701.284537037034</v>
      </c>
      <c r="B299" s="14">
        <v>9.6638888890000008</v>
      </c>
    </row>
    <row r="300" spans="1:2" x14ac:dyDescent="0.25">
      <c r="A300" s="15">
        <v>45701.284548611111</v>
      </c>
      <c r="B300" s="14">
        <v>10.71388889</v>
      </c>
    </row>
    <row r="301" spans="1:2" x14ac:dyDescent="0.25">
      <c r="A301" s="15">
        <v>45701.284560185188</v>
      </c>
      <c r="B301" s="14">
        <v>11.269444439999999</v>
      </c>
    </row>
    <row r="302" spans="1:2" x14ac:dyDescent="0.25">
      <c r="A302" s="15">
        <v>45701.284571759257</v>
      </c>
      <c r="B302" s="14">
        <v>11.872222219999999</v>
      </c>
    </row>
    <row r="303" spans="1:2" x14ac:dyDescent="0.25">
      <c r="A303" s="15">
        <v>45701.284583333334</v>
      </c>
      <c r="B303" s="14">
        <v>12.46666667</v>
      </c>
    </row>
    <row r="304" spans="1:2" x14ac:dyDescent="0.25">
      <c r="A304" s="15">
        <v>45701.284583333334</v>
      </c>
      <c r="B304" s="14">
        <v>12.902777779999999</v>
      </c>
    </row>
    <row r="305" spans="1:2" x14ac:dyDescent="0.25">
      <c r="A305" s="15">
        <v>45701.28460648148</v>
      </c>
      <c r="B305" s="14">
        <v>13.402777779999999</v>
      </c>
    </row>
    <row r="306" spans="1:2" x14ac:dyDescent="0.25">
      <c r="A306" s="15">
        <v>45701.284618055557</v>
      </c>
      <c r="B306" s="14">
        <v>13.741666670000001</v>
      </c>
    </row>
    <row r="307" spans="1:2" x14ac:dyDescent="0.25">
      <c r="A307" s="15">
        <v>45701.284629629627</v>
      </c>
      <c r="B307" s="14">
        <v>14</v>
      </c>
    </row>
    <row r="308" spans="1:2" x14ac:dyDescent="0.25">
      <c r="A308" s="15">
        <v>45701.284629629627</v>
      </c>
      <c r="B308" s="14">
        <v>14.25</v>
      </c>
    </row>
    <row r="309" spans="1:2" x14ac:dyDescent="0.25">
      <c r="A309" s="15">
        <v>45701.284641203703</v>
      </c>
      <c r="B309" s="14">
        <v>14.255555559999999</v>
      </c>
    </row>
    <row r="310" spans="1:2" x14ac:dyDescent="0.25">
      <c r="A310" s="15">
        <v>45701.28465277778</v>
      </c>
      <c r="B310" s="14">
        <v>14.505555559999999</v>
      </c>
    </row>
    <row r="311" spans="1:2" x14ac:dyDescent="0.25">
      <c r="A311" s="15">
        <v>45701.28466435185</v>
      </c>
      <c r="B311" s="14">
        <v>14.66111111</v>
      </c>
    </row>
    <row r="312" spans="1:2" x14ac:dyDescent="0.25">
      <c r="A312" s="15">
        <v>45701.284675925926</v>
      </c>
      <c r="B312" s="14">
        <v>14.8</v>
      </c>
    </row>
    <row r="313" spans="1:2" x14ac:dyDescent="0.25">
      <c r="A313" s="15">
        <v>45701.284687500003</v>
      </c>
      <c r="B313" s="14">
        <v>14.86388889</v>
      </c>
    </row>
    <row r="314" spans="1:2" x14ac:dyDescent="0.25">
      <c r="A314" s="15">
        <v>45701.284699074073</v>
      </c>
      <c r="B314" s="14">
        <v>14.95277778</v>
      </c>
    </row>
    <row r="315" spans="1:2" x14ac:dyDescent="0.25">
      <c r="A315" s="15">
        <v>45701.284710648149</v>
      </c>
      <c r="B315" s="14">
        <v>14.97777778</v>
      </c>
    </row>
    <row r="316" spans="1:2" x14ac:dyDescent="0.25">
      <c r="A316" s="15">
        <v>45701.284722222219</v>
      </c>
      <c r="B316" s="14">
        <v>15.01388889</v>
      </c>
    </row>
    <row r="317" spans="1:2" x14ac:dyDescent="0.25">
      <c r="A317" s="15">
        <v>45701.284733796296</v>
      </c>
      <c r="B317" s="14">
        <v>15.06666667</v>
      </c>
    </row>
    <row r="318" spans="1:2" x14ac:dyDescent="0.25">
      <c r="A318" s="15">
        <v>45701.284733796296</v>
      </c>
      <c r="B318" s="14">
        <v>15.080555560000001</v>
      </c>
    </row>
    <row r="319" spans="1:2" x14ac:dyDescent="0.25">
      <c r="A319" s="15">
        <v>45701.284745370373</v>
      </c>
      <c r="B319" s="14">
        <v>15.15</v>
      </c>
    </row>
    <row r="320" spans="1:2" x14ac:dyDescent="0.25">
      <c r="A320" s="15">
        <v>45701.284745370373</v>
      </c>
      <c r="B320" s="14">
        <v>15.13888889</v>
      </c>
    </row>
    <row r="321" spans="1:2" x14ac:dyDescent="0.25">
      <c r="A321" s="15">
        <v>45701.284756944442</v>
      </c>
      <c r="B321" s="14">
        <v>15.18055556</v>
      </c>
    </row>
    <row r="322" spans="1:2" x14ac:dyDescent="0.25">
      <c r="A322" s="15">
        <v>45701.284756944442</v>
      </c>
      <c r="B322" s="14">
        <v>15.21666667</v>
      </c>
    </row>
    <row r="323" spans="1:2" x14ac:dyDescent="0.25">
      <c r="A323" s="15">
        <v>45701.284768518519</v>
      </c>
      <c r="B323" s="14">
        <v>15.225</v>
      </c>
    </row>
    <row r="324" spans="1:2" x14ac:dyDescent="0.25">
      <c r="A324" s="15">
        <v>45701.284768518519</v>
      </c>
      <c r="B324" s="14">
        <v>15.26111111</v>
      </c>
    </row>
    <row r="325" spans="1:2" x14ac:dyDescent="0.25">
      <c r="A325" s="15">
        <v>45701.284780092596</v>
      </c>
      <c r="B325" s="14">
        <v>15.144444439999999</v>
      </c>
    </row>
    <row r="326" spans="1:2" x14ac:dyDescent="0.25">
      <c r="A326" s="15">
        <v>45701.284791666665</v>
      </c>
      <c r="B326" s="14">
        <v>15.002777780000001</v>
      </c>
    </row>
    <row r="327" spans="1:2" x14ac:dyDescent="0.25">
      <c r="A327" s="15">
        <v>45701.284803240742</v>
      </c>
      <c r="B327" s="14">
        <v>14.96666667</v>
      </c>
    </row>
    <row r="328" spans="1:2" x14ac:dyDescent="0.25">
      <c r="A328" s="15">
        <v>45701.284814814811</v>
      </c>
      <c r="B328" s="14">
        <v>14.919444439999999</v>
      </c>
    </row>
    <row r="329" spans="1:2" x14ac:dyDescent="0.25">
      <c r="A329" s="15">
        <v>45701.284826388888</v>
      </c>
      <c r="B329" s="14">
        <v>14.855555560000001</v>
      </c>
    </row>
    <row r="330" spans="1:2" x14ac:dyDescent="0.25">
      <c r="A330" s="15">
        <v>45701.284837962965</v>
      </c>
      <c r="B330" s="14">
        <v>14.722222220000001</v>
      </c>
    </row>
    <row r="331" spans="1:2" x14ac:dyDescent="0.25">
      <c r="A331" s="15">
        <v>45701.284849537034</v>
      </c>
      <c r="B331" s="14">
        <v>14.527777779999999</v>
      </c>
    </row>
    <row r="332" spans="1:2" x14ac:dyDescent="0.25">
      <c r="A332" s="15">
        <v>45701.284849537034</v>
      </c>
      <c r="B332" s="14">
        <v>14.43055556</v>
      </c>
    </row>
    <row r="333" spans="1:2" x14ac:dyDescent="0.25">
      <c r="A333" s="15">
        <v>45701.284849537034</v>
      </c>
      <c r="B333" s="14">
        <v>14.36111111</v>
      </c>
    </row>
    <row r="334" spans="1:2" x14ac:dyDescent="0.25">
      <c r="A334" s="15">
        <v>45701.284861111111</v>
      </c>
      <c r="B334" s="14">
        <v>14.31944444</v>
      </c>
    </row>
    <row r="335" spans="1:2" x14ac:dyDescent="0.25">
      <c r="A335" s="15">
        <v>45701.284861111111</v>
      </c>
      <c r="B335" s="14">
        <v>14.26388889</v>
      </c>
    </row>
    <row r="336" spans="1:2" x14ac:dyDescent="0.25">
      <c r="A336" s="15">
        <v>45701.284872685188</v>
      </c>
      <c r="B336" s="14">
        <v>14.211111109999999</v>
      </c>
    </row>
    <row r="337" spans="1:2" x14ac:dyDescent="0.25">
      <c r="A337" s="15">
        <v>45701.284872685188</v>
      </c>
      <c r="B337" s="14">
        <v>14.233333330000001</v>
      </c>
    </row>
    <row r="338" spans="1:2" x14ac:dyDescent="0.25">
      <c r="A338" s="15">
        <v>45701.284872685188</v>
      </c>
      <c r="B338" s="14">
        <v>14.144444439999999</v>
      </c>
    </row>
    <row r="339" spans="1:2" x14ac:dyDescent="0.25">
      <c r="A339" s="15">
        <v>45701.284895833334</v>
      </c>
      <c r="B339" s="14">
        <v>14.03055556</v>
      </c>
    </row>
    <row r="340" spans="1:2" x14ac:dyDescent="0.25">
      <c r="A340" s="15">
        <v>45701.284895833334</v>
      </c>
      <c r="B340" s="14">
        <v>14.01111111</v>
      </c>
    </row>
    <row r="341" spans="1:2" x14ac:dyDescent="0.25">
      <c r="A341" s="15">
        <v>45701.284907407404</v>
      </c>
      <c r="B341" s="14">
        <v>13.983333330000001</v>
      </c>
    </row>
    <row r="342" spans="1:2" x14ac:dyDescent="0.25">
      <c r="A342" s="15">
        <v>45701.284907407404</v>
      </c>
      <c r="B342" s="14">
        <v>13.913888890000001</v>
      </c>
    </row>
    <row r="343" spans="1:2" x14ac:dyDescent="0.25">
      <c r="A343" s="15">
        <v>45701.284918981481</v>
      </c>
      <c r="B343" s="14">
        <v>13.82222222</v>
      </c>
    </row>
    <row r="344" spans="1:2" x14ac:dyDescent="0.25">
      <c r="A344" s="15">
        <v>45701.284918981481</v>
      </c>
      <c r="B344" s="14">
        <v>13.80555556</v>
      </c>
    </row>
    <row r="345" spans="1:2" x14ac:dyDescent="0.25">
      <c r="A345" s="15">
        <v>45701.284930555557</v>
      </c>
      <c r="B345" s="14">
        <v>13.574999999999999</v>
      </c>
    </row>
    <row r="346" spans="1:2" x14ac:dyDescent="0.25">
      <c r="A346" s="15">
        <v>45701.284942129627</v>
      </c>
      <c r="B346" s="14">
        <v>13.38888889</v>
      </c>
    </row>
    <row r="347" spans="1:2" x14ac:dyDescent="0.25">
      <c r="A347" s="15">
        <v>45701.284942129627</v>
      </c>
      <c r="B347" s="14">
        <v>13.31944444</v>
      </c>
    </row>
    <row r="348" spans="1:2" x14ac:dyDescent="0.25">
      <c r="A348" s="15">
        <v>45701.284953703704</v>
      </c>
      <c r="B348" s="14">
        <v>13.241666670000001</v>
      </c>
    </row>
    <row r="349" spans="1:2" x14ac:dyDescent="0.25">
      <c r="A349" s="15">
        <v>45701.28496527778</v>
      </c>
      <c r="B349" s="14">
        <v>13.11111111</v>
      </c>
    </row>
    <row r="350" spans="1:2" x14ac:dyDescent="0.25">
      <c r="A350" s="15">
        <v>45701.28496527778</v>
      </c>
      <c r="B350" s="14">
        <v>13.09444444</v>
      </c>
    </row>
    <row r="351" spans="1:2" x14ac:dyDescent="0.25">
      <c r="A351" s="15">
        <v>45701.28497685185</v>
      </c>
      <c r="B351" s="14">
        <v>12.991666670000001</v>
      </c>
    </row>
    <row r="352" spans="1:2" x14ac:dyDescent="0.25">
      <c r="A352" s="15">
        <v>45701.284988425927</v>
      </c>
      <c r="B352" s="14">
        <v>12.85</v>
      </c>
    </row>
    <row r="353" spans="1:2" x14ac:dyDescent="0.25">
      <c r="A353" s="15">
        <v>45701.284988425927</v>
      </c>
      <c r="B353" s="14">
        <v>12.880555559999999</v>
      </c>
    </row>
    <row r="354" spans="1:2" x14ac:dyDescent="0.25">
      <c r="A354" s="15">
        <v>45701.285000000003</v>
      </c>
      <c r="B354" s="14">
        <v>12.91111111</v>
      </c>
    </row>
    <row r="355" spans="1:2" x14ac:dyDescent="0.25">
      <c r="A355" s="15">
        <v>45701.285011574073</v>
      </c>
      <c r="B355" s="14">
        <v>12.811111110000001</v>
      </c>
    </row>
    <row r="356" spans="1:2" x14ac:dyDescent="0.25">
      <c r="A356" s="15">
        <v>45701.285011574073</v>
      </c>
      <c r="B356" s="14">
        <v>12.76388889</v>
      </c>
    </row>
    <row r="357" spans="1:2" x14ac:dyDescent="0.25">
      <c r="A357" s="15">
        <v>45701.28502314815</v>
      </c>
      <c r="B357" s="14">
        <v>12.73611111</v>
      </c>
    </row>
    <row r="358" spans="1:2" x14ac:dyDescent="0.25">
      <c r="A358" s="15">
        <v>45701.28502314815</v>
      </c>
      <c r="B358" s="14">
        <v>12.68055556</v>
      </c>
    </row>
    <row r="359" spans="1:2" x14ac:dyDescent="0.25">
      <c r="A359" s="15">
        <v>45701.285034722219</v>
      </c>
      <c r="B359" s="14">
        <v>12.330555560000001</v>
      </c>
    </row>
    <row r="360" spans="1:2" x14ac:dyDescent="0.25">
      <c r="A360" s="15">
        <v>45701.285034722219</v>
      </c>
      <c r="B360" s="14">
        <v>12.275</v>
      </c>
    </row>
    <row r="361" spans="1:2" x14ac:dyDescent="0.25">
      <c r="A361" s="15">
        <v>45701.285046296296</v>
      </c>
      <c r="B361" s="14">
        <v>11.86111111</v>
      </c>
    </row>
    <row r="362" spans="1:2" x14ac:dyDescent="0.25">
      <c r="A362" s="15">
        <v>45701.285057870373</v>
      </c>
      <c r="B362" s="14">
        <v>11.46944444</v>
      </c>
    </row>
    <row r="363" spans="1:2" x14ac:dyDescent="0.25">
      <c r="A363" s="15">
        <v>45701.285069444442</v>
      </c>
      <c r="B363" s="14">
        <v>10.866666670000001</v>
      </c>
    </row>
    <row r="364" spans="1:2" x14ac:dyDescent="0.25">
      <c r="A364" s="15">
        <v>45701.285081018519</v>
      </c>
      <c r="B364" s="14">
        <v>10.3</v>
      </c>
    </row>
    <row r="365" spans="1:2" x14ac:dyDescent="0.25">
      <c r="A365" s="15">
        <v>45701.285081018519</v>
      </c>
      <c r="B365" s="14">
        <v>10.188888889999999</v>
      </c>
    </row>
    <row r="366" spans="1:2" x14ac:dyDescent="0.25">
      <c r="A366" s="15">
        <v>45701.285081018519</v>
      </c>
      <c r="B366" s="14">
        <v>10.133333329999999</v>
      </c>
    </row>
    <row r="367" spans="1:2" x14ac:dyDescent="0.25">
      <c r="A367" s="15">
        <v>45701.285081018519</v>
      </c>
      <c r="B367" s="14">
        <v>10.07222222</v>
      </c>
    </row>
    <row r="368" spans="1:2" x14ac:dyDescent="0.25">
      <c r="A368" s="15">
        <v>45701.285092592596</v>
      </c>
      <c r="B368" s="14">
        <v>10.061111110000001</v>
      </c>
    </row>
    <row r="369" spans="1:2" x14ac:dyDescent="0.25">
      <c r="A369" s="15">
        <v>45701.285104166665</v>
      </c>
      <c r="B369" s="14">
        <v>10.074999999999999</v>
      </c>
    </row>
    <row r="370" spans="1:2" x14ac:dyDescent="0.25">
      <c r="A370" s="15">
        <v>45701.285115740742</v>
      </c>
      <c r="B370" s="14">
        <v>10.05555556</v>
      </c>
    </row>
    <row r="371" spans="1:2" x14ac:dyDescent="0.25">
      <c r="A371" s="15">
        <v>45701.285127314812</v>
      </c>
      <c r="B371" s="14">
        <v>10.06944444</v>
      </c>
    </row>
    <row r="372" spans="1:2" x14ac:dyDescent="0.25">
      <c r="A372" s="15">
        <v>45701.285138888888</v>
      </c>
      <c r="B372" s="14">
        <v>10.141666669999999</v>
      </c>
    </row>
    <row r="373" spans="1:2" x14ac:dyDescent="0.25">
      <c r="A373" s="15">
        <v>45701.285150462965</v>
      </c>
      <c r="B373" s="14">
        <v>10.25</v>
      </c>
    </row>
    <row r="374" spans="1:2" x14ac:dyDescent="0.25">
      <c r="A374" s="15">
        <v>45701.285162037035</v>
      </c>
      <c r="B374" s="14">
        <v>10.313888889999999</v>
      </c>
    </row>
    <row r="375" spans="1:2" x14ac:dyDescent="0.25">
      <c r="A375" s="15">
        <v>45701.285173611112</v>
      </c>
      <c r="B375" s="14">
        <v>10.527777779999999</v>
      </c>
    </row>
    <row r="376" spans="1:2" x14ac:dyDescent="0.25">
      <c r="A376" s="15">
        <v>45701.285185185188</v>
      </c>
      <c r="B376" s="14">
        <v>10.641666669999999</v>
      </c>
    </row>
    <row r="377" spans="1:2" x14ac:dyDescent="0.25">
      <c r="A377" s="15">
        <v>45701.285185185188</v>
      </c>
      <c r="B377" s="14">
        <v>10.73888889</v>
      </c>
    </row>
    <row r="378" spans="1:2" x14ac:dyDescent="0.25">
      <c r="A378" s="15">
        <v>45701.285196759258</v>
      </c>
      <c r="B378" s="14">
        <v>10.84444444</v>
      </c>
    </row>
    <row r="379" spans="1:2" x14ac:dyDescent="0.25">
      <c r="A379" s="15">
        <v>45701.285219907404</v>
      </c>
      <c r="B379" s="14">
        <v>10.83888889</v>
      </c>
    </row>
    <row r="380" spans="1:2" x14ac:dyDescent="0.25">
      <c r="A380" s="15">
        <v>45701.285231481481</v>
      </c>
      <c r="B380" s="14">
        <v>10.85</v>
      </c>
    </row>
    <row r="381" spans="1:2" x14ac:dyDescent="0.25">
      <c r="A381" s="15">
        <v>45701.285231481481</v>
      </c>
      <c r="B381" s="14">
        <v>10.836111109999999</v>
      </c>
    </row>
    <row r="382" spans="1:2" x14ac:dyDescent="0.25">
      <c r="A382" s="15">
        <v>45701.285243055558</v>
      </c>
      <c r="B382" s="14">
        <v>10.84166667</v>
      </c>
    </row>
    <row r="383" spans="1:2" x14ac:dyDescent="0.25">
      <c r="A383" s="15">
        <v>45701.285254629627</v>
      </c>
      <c r="B383" s="14">
        <v>10.81666667</v>
      </c>
    </row>
    <row r="384" spans="1:2" x14ac:dyDescent="0.25">
      <c r="A384" s="15">
        <v>45701.285254629627</v>
      </c>
      <c r="B384" s="14">
        <v>10.811111110000001</v>
      </c>
    </row>
    <row r="385" spans="1:2" x14ac:dyDescent="0.25">
      <c r="A385" s="15">
        <v>45701.285266203704</v>
      </c>
      <c r="B385" s="14">
        <v>10.80833333</v>
      </c>
    </row>
    <row r="386" spans="1:2" x14ac:dyDescent="0.25">
      <c r="A386" s="15">
        <v>45701.285266203704</v>
      </c>
      <c r="B386" s="14">
        <v>10.824999999999999</v>
      </c>
    </row>
    <row r="387" spans="1:2" x14ac:dyDescent="0.25">
      <c r="A387" s="15">
        <v>45701.285277777781</v>
      </c>
      <c r="B387" s="14">
        <v>10.80833333</v>
      </c>
    </row>
    <row r="388" spans="1:2" x14ac:dyDescent="0.25">
      <c r="A388" s="15">
        <v>45701.285277777781</v>
      </c>
      <c r="B388" s="14">
        <v>10.80555556</v>
      </c>
    </row>
    <row r="389" spans="1:2" x14ac:dyDescent="0.25">
      <c r="A389" s="15">
        <v>45701.28528935185</v>
      </c>
      <c r="B389" s="14">
        <v>10.72777778</v>
      </c>
    </row>
    <row r="390" spans="1:2" x14ac:dyDescent="0.25">
      <c r="A390" s="15">
        <v>45701.285300925927</v>
      </c>
      <c r="B390" s="14">
        <v>10.644444439999999</v>
      </c>
    </row>
    <row r="391" spans="1:2" x14ac:dyDescent="0.25">
      <c r="A391" s="15">
        <v>45701.285312499997</v>
      </c>
      <c r="B391" s="14">
        <v>10.55833333</v>
      </c>
    </row>
    <row r="392" spans="1:2" x14ac:dyDescent="0.25">
      <c r="A392" s="15">
        <v>45701.285312499997</v>
      </c>
      <c r="B392" s="14">
        <v>10.563888889999999</v>
      </c>
    </row>
    <row r="393" spans="1:2" x14ac:dyDescent="0.25">
      <c r="A393" s="15">
        <v>45701.285312499997</v>
      </c>
      <c r="B393" s="14">
        <v>10.516666669999999</v>
      </c>
    </row>
    <row r="394" spans="1:2" x14ac:dyDescent="0.25">
      <c r="A394" s="15">
        <v>45701.285324074073</v>
      </c>
      <c r="B394" s="14">
        <v>10.347222220000001</v>
      </c>
    </row>
    <row r="395" spans="1:2" x14ac:dyDescent="0.25">
      <c r="A395" s="15">
        <v>45701.285324074073</v>
      </c>
      <c r="B395" s="14">
        <v>10.30277778</v>
      </c>
    </row>
    <row r="396" spans="1:2" x14ac:dyDescent="0.25">
      <c r="A396" s="15">
        <v>45701.285324074073</v>
      </c>
      <c r="B396" s="14">
        <v>10.233333330000001</v>
      </c>
    </row>
    <row r="397" spans="1:2" x14ac:dyDescent="0.25">
      <c r="A397" s="15">
        <v>45701.28533564815</v>
      </c>
      <c r="B397" s="14">
        <v>10.080555560000001</v>
      </c>
    </row>
    <row r="398" spans="1:2" x14ac:dyDescent="0.25">
      <c r="A398" s="15">
        <v>45701.28534722222</v>
      </c>
      <c r="B398" s="14">
        <v>9.7166666670000001</v>
      </c>
    </row>
    <row r="399" spans="1:2" x14ac:dyDescent="0.25">
      <c r="A399" s="15">
        <v>45701.285358796296</v>
      </c>
      <c r="B399" s="14">
        <v>9.1888888889999993</v>
      </c>
    </row>
    <row r="400" spans="1:2" x14ac:dyDescent="0.25">
      <c r="A400" s="15">
        <v>45701.285370370373</v>
      </c>
      <c r="B400" s="14">
        <v>8.5666666669999998</v>
      </c>
    </row>
    <row r="401" spans="1:2" x14ac:dyDescent="0.25">
      <c r="A401" s="15">
        <v>45701.285381944443</v>
      </c>
      <c r="B401" s="14">
        <v>8.1111111109999996</v>
      </c>
    </row>
    <row r="402" spans="1:2" x14ac:dyDescent="0.25">
      <c r="A402" s="15">
        <v>45701.285393518519</v>
      </c>
      <c r="B402" s="14">
        <v>7.8194444440000002</v>
      </c>
    </row>
    <row r="403" spans="1:2" x14ac:dyDescent="0.25">
      <c r="A403" s="15">
        <v>45701.285393518519</v>
      </c>
      <c r="B403" s="14">
        <v>7.3944444440000003</v>
      </c>
    </row>
    <row r="404" spans="1:2" x14ac:dyDescent="0.25">
      <c r="A404" s="15">
        <v>45701.285416666666</v>
      </c>
      <c r="B404" s="14">
        <v>6.9055555560000004</v>
      </c>
    </row>
    <row r="405" spans="1:2" x14ac:dyDescent="0.25">
      <c r="A405" s="15">
        <v>45701.285428240742</v>
      </c>
      <c r="B405" s="14">
        <v>6.358333333</v>
      </c>
    </row>
    <row r="406" spans="1:2" x14ac:dyDescent="0.25">
      <c r="A406" s="15">
        <v>45701.285439814812</v>
      </c>
      <c r="B406" s="14">
        <v>5.7972222220000003</v>
      </c>
    </row>
    <row r="407" spans="1:2" x14ac:dyDescent="0.25">
      <c r="A407" s="15">
        <v>45701.285439814812</v>
      </c>
      <c r="B407" s="14">
        <v>5.3555555559999997</v>
      </c>
    </row>
    <row r="408" spans="1:2" x14ac:dyDescent="0.25">
      <c r="A408" s="15">
        <v>45701.285451388889</v>
      </c>
      <c r="B408" s="14">
        <v>5.25</v>
      </c>
    </row>
    <row r="409" spans="1:2" x14ac:dyDescent="0.25">
      <c r="A409" s="15">
        <v>45701.285451388889</v>
      </c>
      <c r="B409" s="14">
        <v>5.1805555559999998</v>
      </c>
    </row>
    <row r="410" spans="1:2" x14ac:dyDescent="0.25">
      <c r="A410" s="15">
        <v>45701.285462962966</v>
      </c>
      <c r="B410" s="14">
        <v>5.1222222220000004</v>
      </c>
    </row>
    <row r="411" spans="1:2" x14ac:dyDescent="0.25">
      <c r="A411" s="15">
        <v>45701.285474537035</v>
      </c>
      <c r="B411" s="14">
        <v>5.0638888890000002</v>
      </c>
    </row>
    <row r="412" spans="1:2" x14ac:dyDescent="0.25">
      <c r="A412" s="15">
        <v>45701.285486111112</v>
      </c>
      <c r="B412" s="14">
        <v>5.1638888889999999</v>
      </c>
    </row>
    <row r="413" spans="1:2" x14ac:dyDescent="0.25">
      <c r="A413" s="15">
        <v>45701.285497685189</v>
      </c>
      <c r="B413" s="14">
        <v>5.386111111</v>
      </c>
    </row>
    <row r="414" spans="1:2" x14ac:dyDescent="0.25">
      <c r="A414" s="15">
        <v>45701.285497685189</v>
      </c>
      <c r="B414" s="14">
        <v>5.3972222219999999</v>
      </c>
    </row>
    <row r="415" spans="1:2" x14ac:dyDescent="0.25">
      <c r="A415" s="15">
        <v>45701.285509259258</v>
      </c>
      <c r="B415" s="14">
        <v>5.6388888890000004</v>
      </c>
    </row>
    <row r="416" spans="1:2" x14ac:dyDescent="0.25">
      <c r="A416" s="15">
        <v>45701.285520833335</v>
      </c>
      <c r="B416" s="14">
        <v>5.8611111109999996</v>
      </c>
    </row>
    <row r="417" spans="1:2" x14ac:dyDescent="0.25">
      <c r="A417" s="15">
        <v>45701.285532407404</v>
      </c>
      <c r="B417" s="14">
        <v>6.0277777779999999</v>
      </c>
    </row>
    <row r="418" spans="1:2" x14ac:dyDescent="0.25">
      <c r="A418" s="15">
        <v>45701.285543981481</v>
      </c>
      <c r="B418" s="14">
        <v>6.0611111109999998</v>
      </c>
    </row>
    <row r="419" spans="1:2" x14ac:dyDescent="0.25">
      <c r="A419" s="15">
        <v>45701.285543981481</v>
      </c>
      <c r="B419" s="14">
        <v>6.0750000000000002</v>
      </c>
    </row>
    <row r="420" spans="1:2" x14ac:dyDescent="0.25">
      <c r="A420" s="15">
        <v>45701.285555555558</v>
      </c>
      <c r="B420" s="14">
        <v>6</v>
      </c>
    </row>
    <row r="421" spans="1:2" x14ac:dyDescent="0.25">
      <c r="A421" s="15">
        <v>45701.285555555558</v>
      </c>
      <c r="B421" s="14">
        <v>5.9472222219999997</v>
      </c>
    </row>
    <row r="422" spans="1:2" x14ac:dyDescent="0.25">
      <c r="A422" s="15">
        <v>45701.285555555558</v>
      </c>
      <c r="B422" s="14">
        <v>5.8166666669999998</v>
      </c>
    </row>
    <row r="423" spans="1:2" x14ac:dyDescent="0.25">
      <c r="A423" s="15">
        <v>45701.285578703704</v>
      </c>
      <c r="B423" s="14">
        <v>5.3166666669999998</v>
      </c>
    </row>
    <row r="424" spans="1:2" x14ac:dyDescent="0.25">
      <c r="A424" s="15">
        <v>45701.285590277781</v>
      </c>
      <c r="B424" s="14">
        <v>4.733333333</v>
      </c>
    </row>
    <row r="425" spans="1:2" x14ac:dyDescent="0.25">
      <c r="A425" s="15">
        <v>45701.285601851851</v>
      </c>
      <c r="B425" s="14">
        <v>4.016666667</v>
      </c>
    </row>
    <row r="426" spans="1:2" x14ac:dyDescent="0.25">
      <c r="A426" s="15">
        <v>45701.285601851851</v>
      </c>
      <c r="B426" s="14">
        <v>4.0583333330000002</v>
      </c>
    </row>
    <row r="427" spans="1:2" x14ac:dyDescent="0.25">
      <c r="A427" s="15">
        <v>45701.285601851851</v>
      </c>
      <c r="B427" s="14">
        <v>3.2805555559999999</v>
      </c>
    </row>
    <row r="428" spans="1:2" x14ac:dyDescent="0.25">
      <c r="A428" s="15">
        <v>45701.285624999997</v>
      </c>
      <c r="B428" s="14">
        <v>2.3944444439999999</v>
      </c>
    </row>
    <row r="429" spans="1:2" x14ac:dyDescent="0.25">
      <c r="A429" s="15">
        <v>45701.285624999997</v>
      </c>
      <c r="B429" s="14">
        <v>1.630555556</v>
      </c>
    </row>
    <row r="430" spans="1:2" x14ac:dyDescent="0.25">
      <c r="A430" s="15">
        <v>45701.285636574074</v>
      </c>
      <c r="B430" s="14">
        <v>0.91111111099999997</v>
      </c>
    </row>
    <row r="431" spans="1:2" x14ac:dyDescent="0.25">
      <c r="A431" s="15">
        <v>45701.28565972222</v>
      </c>
      <c r="B431" s="14">
        <v>0.21944444399999999</v>
      </c>
    </row>
    <row r="432" spans="1:2" x14ac:dyDescent="0.25">
      <c r="A432" s="15">
        <v>45701.285671296297</v>
      </c>
      <c r="B432" s="14">
        <v>0.108333333</v>
      </c>
    </row>
    <row r="433" spans="1:2" x14ac:dyDescent="0.25">
      <c r="A433" s="15">
        <v>45701.285671296297</v>
      </c>
      <c r="B433" s="14">
        <v>0</v>
      </c>
    </row>
    <row r="434" spans="1:2" x14ac:dyDescent="0.25">
      <c r="A434" s="15">
        <v>45701.285914351851</v>
      </c>
      <c r="B434" s="14">
        <v>0.24722222199999999</v>
      </c>
    </row>
    <row r="435" spans="1:2" x14ac:dyDescent="0.25">
      <c r="A435" s="15">
        <v>45701.285914351851</v>
      </c>
      <c r="B435" s="14">
        <v>0.58333333300000001</v>
      </c>
    </row>
    <row r="436" spans="1:2" x14ac:dyDescent="0.25">
      <c r="A436" s="15">
        <v>45701.285925925928</v>
      </c>
      <c r="B436" s="14">
        <v>0.85</v>
      </c>
    </row>
    <row r="437" spans="1:2" x14ac:dyDescent="0.25">
      <c r="A437" s="15">
        <v>45701.285937499997</v>
      </c>
      <c r="B437" s="14">
        <v>1.988888889</v>
      </c>
    </row>
    <row r="438" spans="1:2" x14ac:dyDescent="0.25">
      <c r="A438" s="15">
        <v>45701.285937499997</v>
      </c>
      <c r="B438" s="14">
        <v>3.380555556</v>
      </c>
    </row>
    <row r="439" spans="1:2" x14ac:dyDescent="0.25">
      <c r="A439" s="15">
        <v>45701.285949074074</v>
      </c>
      <c r="B439" s="14">
        <v>3.5</v>
      </c>
    </row>
    <row r="440" spans="1:2" x14ac:dyDescent="0.25">
      <c r="A440" s="15">
        <v>45701.285949074074</v>
      </c>
      <c r="B440" s="14">
        <v>4.5333333329999999</v>
      </c>
    </row>
    <row r="441" spans="1:2" x14ac:dyDescent="0.25">
      <c r="A441" s="15">
        <v>45701.285960648151</v>
      </c>
      <c r="B441" s="14">
        <v>4.988888889</v>
      </c>
    </row>
    <row r="442" spans="1:2" x14ac:dyDescent="0.25">
      <c r="A442" s="15">
        <v>45701.28597222222</v>
      </c>
      <c r="B442" s="14">
        <v>5.4777777780000001</v>
      </c>
    </row>
    <row r="443" spans="1:2" x14ac:dyDescent="0.25">
      <c r="A443" s="15">
        <v>45701.285983796297</v>
      </c>
      <c r="B443" s="14">
        <v>6.3027777780000003</v>
      </c>
    </row>
    <row r="444" spans="1:2" x14ac:dyDescent="0.25">
      <c r="A444" s="15">
        <v>45701.285995370374</v>
      </c>
      <c r="B444" s="14">
        <v>7.2777777779999999</v>
      </c>
    </row>
    <row r="445" spans="1:2" x14ac:dyDescent="0.25">
      <c r="A445" s="15">
        <v>45701.286006944443</v>
      </c>
      <c r="B445" s="14">
        <v>8.1666666669999994</v>
      </c>
    </row>
    <row r="446" spans="1:2" x14ac:dyDescent="0.25">
      <c r="A446" s="15">
        <v>45701.286006944443</v>
      </c>
      <c r="B446" s="14">
        <v>8.9972222219999995</v>
      </c>
    </row>
    <row r="447" spans="1:2" x14ac:dyDescent="0.25">
      <c r="A447" s="15">
        <v>45701.28601851852</v>
      </c>
      <c r="B447" s="14">
        <v>9.0861111109999992</v>
      </c>
    </row>
    <row r="448" spans="1:2" x14ac:dyDescent="0.25">
      <c r="A448" s="15">
        <v>45701.286030092589</v>
      </c>
      <c r="B448" s="14">
        <v>9.3583333329999991</v>
      </c>
    </row>
    <row r="449" spans="1:2" x14ac:dyDescent="0.25">
      <c r="A449" s="15">
        <v>45701.286041666666</v>
      </c>
      <c r="B449" s="14">
        <v>9.2805555559999995</v>
      </c>
    </row>
    <row r="450" spans="1:2" x14ac:dyDescent="0.25">
      <c r="A450" s="15">
        <v>45701.286041666666</v>
      </c>
      <c r="B450" s="14">
        <v>9.2555555559999991</v>
      </c>
    </row>
    <row r="451" spans="1:2" x14ac:dyDescent="0.25">
      <c r="A451" s="15">
        <v>45701.286053240743</v>
      </c>
      <c r="B451" s="14">
        <v>9.261111111</v>
      </c>
    </row>
    <row r="452" spans="1:2" x14ac:dyDescent="0.25">
      <c r="A452" s="15">
        <v>45701.286053240743</v>
      </c>
      <c r="B452" s="14">
        <v>9.2027777779999997</v>
      </c>
    </row>
    <row r="453" spans="1:2" x14ac:dyDescent="0.25">
      <c r="A453" s="15">
        <v>45701.286076388889</v>
      </c>
      <c r="B453" s="14">
        <v>9.1416666670000009</v>
      </c>
    </row>
    <row r="454" spans="1:2" x14ac:dyDescent="0.25">
      <c r="A454" s="15">
        <v>45701.286076388889</v>
      </c>
      <c r="B454" s="14">
        <v>9.125</v>
      </c>
    </row>
    <row r="455" spans="1:2" x14ac:dyDescent="0.25">
      <c r="A455" s="15">
        <v>45701.286087962966</v>
      </c>
      <c r="B455" s="14">
        <v>9.1305555559999991</v>
      </c>
    </row>
    <row r="456" spans="1:2" x14ac:dyDescent="0.25">
      <c r="A456" s="15">
        <v>45701.286099537036</v>
      </c>
      <c r="B456" s="14">
        <v>9.1611111110000003</v>
      </c>
    </row>
    <row r="457" spans="1:2" x14ac:dyDescent="0.25">
      <c r="A457" s="15">
        <v>45701.286099537036</v>
      </c>
      <c r="B457" s="14">
        <v>9.1583333329999999</v>
      </c>
    </row>
    <row r="458" spans="1:2" x14ac:dyDescent="0.25">
      <c r="A458" s="15">
        <v>45701.286111111112</v>
      </c>
      <c r="B458" s="14">
        <v>9.1611111110000003</v>
      </c>
    </row>
    <row r="459" spans="1:2" x14ac:dyDescent="0.25">
      <c r="A459" s="15">
        <v>45701.286111111112</v>
      </c>
      <c r="B459" s="14">
        <v>9.4194444439999998</v>
      </c>
    </row>
    <row r="460" spans="1:2" x14ac:dyDescent="0.25">
      <c r="A460" s="15">
        <v>45701.286134259259</v>
      </c>
      <c r="B460" s="14">
        <v>9.4777777780000001</v>
      </c>
    </row>
    <row r="461" spans="1:2" x14ac:dyDescent="0.25">
      <c r="A461" s="15">
        <v>45701.286134259259</v>
      </c>
      <c r="B461" s="14">
        <v>9.4833333329999991</v>
      </c>
    </row>
    <row r="462" spans="1:2" x14ac:dyDescent="0.25">
      <c r="A462" s="15">
        <v>45701.286157407405</v>
      </c>
      <c r="B462" s="14">
        <v>9.4194444439999998</v>
      </c>
    </row>
    <row r="463" spans="1:2" x14ac:dyDescent="0.25">
      <c r="A463" s="15">
        <v>45701.286168981482</v>
      </c>
      <c r="B463" s="14">
        <v>9.4277777779999994</v>
      </c>
    </row>
    <row r="464" spans="1:2" x14ac:dyDescent="0.25">
      <c r="A464" s="15">
        <v>45701.286180555559</v>
      </c>
      <c r="B464" s="14">
        <v>9.2527777780000005</v>
      </c>
    </row>
    <row r="465" spans="1:2" x14ac:dyDescent="0.25">
      <c r="A465" s="15">
        <v>45701.286192129628</v>
      </c>
      <c r="B465" s="14">
        <v>9.1444444439999995</v>
      </c>
    </row>
    <row r="466" spans="1:2" x14ac:dyDescent="0.25">
      <c r="A466" s="15">
        <v>45701.286203703705</v>
      </c>
      <c r="B466" s="14">
        <v>9.0472222220000003</v>
      </c>
    </row>
    <row r="467" spans="1:2" x14ac:dyDescent="0.25">
      <c r="A467" s="15">
        <v>45701.286215277774</v>
      </c>
      <c r="B467" s="14">
        <v>8.9527777779999997</v>
      </c>
    </row>
    <row r="468" spans="1:2" x14ac:dyDescent="0.25">
      <c r="A468" s="15">
        <v>45701.286226851851</v>
      </c>
      <c r="B468" s="14">
        <v>8.9694444440000005</v>
      </c>
    </row>
    <row r="469" spans="1:2" x14ac:dyDescent="0.25">
      <c r="A469" s="15">
        <v>45701.286238425928</v>
      </c>
      <c r="B469" s="14">
        <v>8.9666666670000001</v>
      </c>
    </row>
    <row r="470" spans="1:2" x14ac:dyDescent="0.25">
      <c r="A470" s="15">
        <v>45701.286249999997</v>
      </c>
      <c r="B470" s="14">
        <v>8.9194444439999998</v>
      </c>
    </row>
    <row r="471" spans="1:2" x14ac:dyDescent="0.25">
      <c r="A471" s="15">
        <v>45701.286261574074</v>
      </c>
      <c r="B471" s="14">
        <v>8.9138888890000008</v>
      </c>
    </row>
    <row r="472" spans="1:2" x14ac:dyDescent="0.25">
      <c r="A472" s="15">
        <v>45701.286273148151</v>
      </c>
      <c r="B472" s="14">
        <v>8.9444444440000002</v>
      </c>
    </row>
    <row r="473" spans="1:2" x14ac:dyDescent="0.25">
      <c r="A473" s="15">
        <v>45701.28628472222</v>
      </c>
      <c r="B473" s="14">
        <v>8.9833333329999991</v>
      </c>
    </row>
    <row r="474" spans="1:2" x14ac:dyDescent="0.25">
      <c r="A474" s="15">
        <v>45701.286296296297</v>
      </c>
      <c r="B474" s="14">
        <v>9.0250000000000004</v>
      </c>
    </row>
    <row r="475" spans="1:2" x14ac:dyDescent="0.25">
      <c r="A475" s="15">
        <v>45701.286307870374</v>
      </c>
      <c r="B475" s="14">
        <v>9.1027777780000001</v>
      </c>
    </row>
    <row r="476" spans="1:2" x14ac:dyDescent="0.25">
      <c r="A476" s="15">
        <v>45701.286319444444</v>
      </c>
      <c r="B476" s="14">
        <v>9.2138888889999997</v>
      </c>
    </row>
    <row r="477" spans="1:2" x14ac:dyDescent="0.25">
      <c r="A477" s="15">
        <v>45701.28633101852</v>
      </c>
      <c r="B477" s="14">
        <v>9.2833333329999999</v>
      </c>
    </row>
    <row r="478" spans="1:2" x14ac:dyDescent="0.25">
      <c r="A478" s="15">
        <v>45701.28634259259</v>
      </c>
      <c r="B478" s="14">
        <v>9.4222222220000003</v>
      </c>
    </row>
    <row r="479" spans="1:2" x14ac:dyDescent="0.25">
      <c r="A479" s="15">
        <v>45701.28634259259</v>
      </c>
      <c r="B479" s="14">
        <v>10.07222222</v>
      </c>
    </row>
    <row r="480" spans="1:2" x14ac:dyDescent="0.25">
      <c r="A480" s="15">
        <v>45701.286365740743</v>
      </c>
      <c r="B480" s="14">
        <v>11.380555559999999</v>
      </c>
    </row>
    <row r="481" spans="1:2" x14ac:dyDescent="0.25">
      <c r="A481" s="15">
        <v>45701.286377314813</v>
      </c>
      <c r="B481" s="14">
        <v>12.61111111</v>
      </c>
    </row>
    <row r="482" spans="1:2" x14ac:dyDescent="0.25">
      <c r="A482" s="15">
        <v>45701.28638888889</v>
      </c>
      <c r="B482" s="14">
        <v>13.25</v>
      </c>
    </row>
    <row r="483" spans="1:2" x14ac:dyDescent="0.25">
      <c r="A483" s="15">
        <v>45701.28638888889</v>
      </c>
      <c r="B483" s="14">
        <v>13.625</v>
      </c>
    </row>
    <row r="484" spans="1:2" x14ac:dyDescent="0.25">
      <c r="A484" s="15">
        <v>45701.286400462966</v>
      </c>
      <c r="B484" s="14">
        <v>14.31666667</v>
      </c>
    </row>
    <row r="485" spans="1:2" x14ac:dyDescent="0.25">
      <c r="A485" s="15">
        <v>45701.286400462966</v>
      </c>
      <c r="B485" s="14">
        <v>14.29722222</v>
      </c>
    </row>
    <row r="486" spans="1:2" x14ac:dyDescent="0.25">
      <c r="A486" s="15">
        <v>45701.286412037036</v>
      </c>
      <c r="B486" s="14">
        <v>14.46666667</v>
      </c>
    </row>
    <row r="487" spans="1:2" x14ac:dyDescent="0.25">
      <c r="A487" s="15">
        <v>45701.286423611113</v>
      </c>
      <c r="B487" s="14">
        <v>14.55833333</v>
      </c>
    </row>
    <row r="488" spans="1:2" x14ac:dyDescent="0.25">
      <c r="A488" s="15">
        <v>45701.286435185182</v>
      </c>
      <c r="B488" s="14">
        <v>14.67222222</v>
      </c>
    </row>
    <row r="489" spans="1:2" x14ac:dyDescent="0.25">
      <c r="A489" s="15">
        <v>45701.286446759259</v>
      </c>
      <c r="B489" s="14">
        <v>14.705555560000001</v>
      </c>
    </row>
    <row r="490" spans="1:2" x14ac:dyDescent="0.25">
      <c r="A490" s="15">
        <v>45701.286446759259</v>
      </c>
      <c r="B490" s="14">
        <v>14.69722222</v>
      </c>
    </row>
    <row r="491" spans="1:2" x14ac:dyDescent="0.25">
      <c r="A491" s="15">
        <v>45701.286458333336</v>
      </c>
      <c r="B491" s="14">
        <v>14.711111109999999</v>
      </c>
    </row>
    <row r="492" spans="1:2" x14ac:dyDescent="0.25">
      <c r="A492" s="15">
        <v>45701.286469907405</v>
      </c>
      <c r="B492" s="14">
        <v>14.67777778</v>
      </c>
    </row>
    <row r="493" spans="1:2" x14ac:dyDescent="0.25">
      <c r="A493" s="15">
        <v>45701.286481481482</v>
      </c>
      <c r="B493" s="14">
        <v>14.64722222</v>
      </c>
    </row>
    <row r="494" spans="1:2" x14ac:dyDescent="0.25">
      <c r="A494" s="15">
        <v>45701.286481481482</v>
      </c>
      <c r="B494" s="14">
        <v>14.641666669999999</v>
      </c>
    </row>
    <row r="495" spans="1:2" x14ac:dyDescent="0.25">
      <c r="A495" s="15">
        <v>45701.286481481482</v>
      </c>
      <c r="B495" s="14">
        <v>14.65833333</v>
      </c>
    </row>
    <row r="496" spans="1:2" x14ac:dyDescent="0.25">
      <c r="A496" s="15">
        <v>45701.286493055559</v>
      </c>
      <c r="B496" s="14">
        <v>14.597222220000001</v>
      </c>
    </row>
    <row r="497" spans="1:2" x14ac:dyDescent="0.25">
      <c r="A497" s="15">
        <v>45701.286493055559</v>
      </c>
      <c r="B497" s="14">
        <v>14.57222222</v>
      </c>
    </row>
    <row r="498" spans="1:2" x14ac:dyDescent="0.25">
      <c r="A498" s="15">
        <v>45701.286504629628</v>
      </c>
      <c r="B498" s="14">
        <v>14.16666667</v>
      </c>
    </row>
    <row r="499" spans="1:2" x14ac:dyDescent="0.25">
      <c r="A499" s="15">
        <v>45701.286516203705</v>
      </c>
      <c r="B499" s="14">
        <v>13.663888890000001</v>
      </c>
    </row>
    <row r="500" spans="1:2" x14ac:dyDescent="0.25">
      <c r="A500" s="15">
        <v>45701.286527777775</v>
      </c>
      <c r="B500" s="14">
        <v>13.255555559999999</v>
      </c>
    </row>
    <row r="501" spans="1:2" x14ac:dyDescent="0.25">
      <c r="A501" s="15">
        <v>45701.286527777775</v>
      </c>
      <c r="B501" s="14">
        <v>12.95277778</v>
      </c>
    </row>
    <row r="502" spans="1:2" x14ac:dyDescent="0.25">
      <c r="A502" s="15">
        <v>45701.286539351851</v>
      </c>
      <c r="B502" s="14">
        <v>12.92777778</v>
      </c>
    </row>
    <row r="503" spans="1:2" x14ac:dyDescent="0.25">
      <c r="A503" s="15">
        <v>45701.286550925928</v>
      </c>
      <c r="B503" s="14">
        <v>12.277777779999999</v>
      </c>
    </row>
    <row r="504" spans="1:2" x14ac:dyDescent="0.25">
      <c r="A504" s="15">
        <v>45701.286562499998</v>
      </c>
      <c r="B504" s="14">
        <v>11.46666667</v>
      </c>
    </row>
    <row r="505" spans="1:2" x14ac:dyDescent="0.25">
      <c r="A505" s="15">
        <v>45701.286562499998</v>
      </c>
      <c r="B505" s="14">
        <v>10.71388889</v>
      </c>
    </row>
    <row r="506" spans="1:2" x14ac:dyDescent="0.25">
      <c r="A506" s="15">
        <v>45701.286585648151</v>
      </c>
      <c r="B506" s="14">
        <v>9.738888889</v>
      </c>
    </row>
    <row r="507" spans="1:2" x14ac:dyDescent="0.25">
      <c r="A507" s="15">
        <v>45701.286585648151</v>
      </c>
      <c r="B507" s="14">
        <v>9</v>
      </c>
    </row>
    <row r="508" spans="1:2" x14ac:dyDescent="0.25">
      <c r="A508" s="15">
        <v>45701.286608796298</v>
      </c>
      <c r="B508" s="14">
        <v>8.1972222220000006</v>
      </c>
    </row>
    <row r="509" spans="1:2" x14ac:dyDescent="0.25">
      <c r="A509" s="15">
        <v>45701.286620370367</v>
      </c>
      <c r="B509" s="14">
        <v>7.6222222220000004</v>
      </c>
    </row>
    <row r="510" spans="1:2" x14ac:dyDescent="0.25">
      <c r="A510" s="15">
        <v>45701.286620370367</v>
      </c>
      <c r="B510" s="14">
        <v>7.5861111110000001</v>
      </c>
    </row>
    <row r="511" spans="1:2" x14ac:dyDescent="0.25">
      <c r="A511" s="15">
        <v>45701.286631944444</v>
      </c>
      <c r="B511" s="14">
        <v>6.9749999999999996</v>
      </c>
    </row>
    <row r="512" spans="1:2" x14ac:dyDescent="0.25">
      <c r="A512" s="15">
        <v>45701.286643518521</v>
      </c>
      <c r="B512" s="14">
        <v>6.4111111110000003</v>
      </c>
    </row>
    <row r="513" spans="1:2" x14ac:dyDescent="0.25">
      <c r="A513" s="15">
        <v>45701.28665509259</v>
      </c>
      <c r="B513" s="14">
        <v>5.8833333330000004</v>
      </c>
    </row>
    <row r="514" spans="1:2" x14ac:dyDescent="0.25">
      <c r="A514" s="15">
        <v>45701.286666666667</v>
      </c>
      <c r="B514" s="14">
        <v>5.55</v>
      </c>
    </row>
    <row r="515" spans="1:2" x14ac:dyDescent="0.25">
      <c r="A515" s="15">
        <v>45701.286666666667</v>
      </c>
      <c r="B515" s="14">
        <v>5.4777777780000001</v>
      </c>
    </row>
    <row r="516" spans="1:2" x14ac:dyDescent="0.25">
      <c r="A516" s="15">
        <v>45701.286666666667</v>
      </c>
      <c r="B516" s="14">
        <v>5.0638888890000002</v>
      </c>
    </row>
    <row r="517" spans="1:2" x14ac:dyDescent="0.25">
      <c r="A517" s="15">
        <v>45701.286678240744</v>
      </c>
      <c r="B517" s="14">
        <v>5.0333333329999999</v>
      </c>
    </row>
    <row r="518" spans="1:2" x14ac:dyDescent="0.25">
      <c r="A518" s="15">
        <v>45701.286689814813</v>
      </c>
      <c r="B518" s="14">
        <v>4.3416666670000001</v>
      </c>
    </row>
    <row r="519" spans="1:2" x14ac:dyDescent="0.25">
      <c r="A519" s="15">
        <v>45701.28670138889</v>
      </c>
      <c r="B519" s="14">
        <v>3.5</v>
      </c>
    </row>
    <row r="520" spans="1:2" x14ac:dyDescent="0.25">
      <c r="A520" s="15">
        <v>45701.286712962959</v>
      </c>
      <c r="B520" s="14">
        <v>2.7222222220000001</v>
      </c>
    </row>
    <row r="521" spans="1:2" x14ac:dyDescent="0.25">
      <c r="A521" s="15">
        <v>45701.286724537036</v>
      </c>
      <c r="B521" s="14">
        <v>1.936111111</v>
      </c>
    </row>
    <row r="522" spans="1:2" x14ac:dyDescent="0.25">
      <c r="A522" s="15">
        <v>45701.286736111113</v>
      </c>
      <c r="B522" s="14">
        <v>1.063888889</v>
      </c>
    </row>
    <row r="523" spans="1:2" x14ac:dyDescent="0.25">
      <c r="A523" s="15">
        <v>45701.286736111113</v>
      </c>
      <c r="B523" s="14">
        <v>1.0305555559999999</v>
      </c>
    </row>
    <row r="524" spans="1:2" x14ac:dyDescent="0.25">
      <c r="A524" s="15">
        <v>45701.286736111113</v>
      </c>
      <c r="B524" s="14">
        <v>0.436111111</v>
      </c>
    </row>
    <row r="525" spans="1:2" x14ac:dyDescent="0.25">
      <c r="A525" s="15">
        <v>45701.286747685182</v>
      </c>
      <c r="B525" s="14">
        <v>0.40277777799999998</v>
      </c>
    </row>
    <row r="526" spans="1:2" x14ac:dyDescent="0.25">
      <c r="A526" s="15">
        <v>45701.286759259259</v>
      </c>
      <c r="B526" s="14">
        <v>0.12777777800000001</v>
      </c>
    </row>
    <row r="527" spans="1:2" x14ac:dyDescent="0.25">
      <c r="A527" s="15">
        <v>45701.286759259259</v>
      </c>
      <c r="B527" s="14">
        <v>0</v>
      </c>
    </row>
    <row r="528" spans="1:2" x14ac:dyDescent="0.25">
      <c r="A528" s="15">
        <v>45701.287002314813</v>
      </c>
      <c r="B528" s="14">
        <v>0.59444444399999996</v>
      </c>
    </row>
    <row r="529" spans="1:2" x14ac:dyDescent="0.25">
      <c r="A529" s="15">
        <v>45701.287002314813</v>
      </c>
      <c r="B529" s="14">
        <v>0.84444444399999996</v>
      </c>
    </row>
    <row r="530" spans="1:2" x14ac:dyDescent="0.25">
      <c r="A530" s="15">
        <v>45701.28701388889</v>
      </c>
      <c r="B530" s="14">
        <v>1.6</v>
      </c>
    </row>
    <row r="531" spans="1:2" x14ac:dyDescent="0.25">
      <c r="A531" s="15">
        <v>45701.28701388889</v>
      </c>
      <c r="B531" s="14">
        <v>2.763888889</v>
      </c>
    </row>
    <row r="532" spans="1:2" x14ac:dyDescent="0.25">
      <c r="A532" s="15">
        <v>45701.28702546296</v>
      </c>
      <c r="B532" s="14">
        <v>2.8333333330000001</v>
      </c>
    </row>
    <row r="533" spans="1:2" x14ac:dyDescent="0.25">
      <c r="A533" s="15">
        <v>45701.287037037036</v>
      </c>
      <c r="B533" s="14">
        <v>3.888888889</v>
      </c>
    </row>
    <row r="534" spans="1:2" x14ac:dyDescent="0.25">
      <c r="A534" s="15">
        <v>45701.287048611113</v>
      </c>
      <c r="B534" s="14">
        <v>5.1055555559999997</v>
      </c>
    </row>
    <row r="535" spans="1:2" x14ac:dyDescent="0.25">
      <c r="A535" s="15">
        <v>45701.287060185183</v>
      </c>
      <c r="B535" s="14">
        <v>6.2249999999999996</v>
      </c>
    </row>
    <row r="536" spans="1:2" x14ac:dyDescent="0.25">
      <c r="A536" s="15">
        <v>45701.287060185183</v>
      </c>
      <c r="B536" s="14">
        <v>6.3888888890000004</v>
      </c>
    </row>
    <row r="537" spans="1:2" x14ac:dyDescent="0.25">
      <c r="A537" s="15">
        <v>45701.287060185183</v>
      </c>
      <c r="B537" s="14">
        <v>7.4222222220000003</v>
      </c>
    </row>
    <row r="538" spans="1:2" x14ac:dyDescent="0.25">
      <c r="A538" s="15">
        <v>45701.287083333336</v>
      </c>
      <c r="B538" s="14">
        <v>8.636111111</v>
      </c>
    </row>
    <row r="539" spans="1:2" x14ac:dyDescent="0.25">
      <c r="A539" s="15">
        <v>45701.287094907406</v>
      </c>
      <c r="B539" s="14">
        <v>9.875</v>
      </c>
    </row>
    <row r="540" spans="1:2" x14ac:dyDescent="0.25">
      <c r="A540" s="15">
        <v>45701.287106481483</v>
      </c>
      <c r="B540" s="14">
        <v>11.03333333</v>
      </c>
    </row>
    <row r="541" spans="1:2" x14ac:dyDescent="0.25">
      <c r="A541" s="15">
        <v>45701.287106481483</v>
      </c>
      <c r="B541" s="14">
        <v>11.17222222</v>
      </c>
    </row>
    <row r="542" spans="1:2" x14ac:dyDescent="0.25">
      <c r="A542" s="15">
        <v>45701.287106481483</v>
      </c>
      <c r="B542" s="14">
        <v>11.95277778</v>
      </c>
    </row>
    <row r="543" spans="1:2" x14ac:dyDescent="0.25">
      <c r="A543" s="15">
        <v>45701.287118055552</v>
      </c>
      <c r="B543" s="14">
        <v>12.005555559999999</v>
      </c>
    </row>
    <row r="544" spans="1:2" x14ac:dyDescent="0.25">
      <c r="A544" s="15">
        <v>45701.287129629629</v>
      </c>
      <c r="B544" s="14">
        <v>12.747222219999999</v>
      </c>
    </row>
    <row r="545" spans="1:2" x14ac:dyDescent="0.25">
      <c r="A545" s="15">
        <v>45701.287141203706</v>
      </c>
      <c r="B545" s="14">
        <v>13.475</v>
      </c>
    </row>
    <row r="546" spans="1:2" x14ac:dyDescent="0.25">
      <c r="A546" s="15">
        <v>45701.287152777775</v>
      </c>
      <c r="B546" s="14">
        <v>14.07222222</v>
      </c>
    </row>
    <row r="547" spans="1:2" x14ac:dyDescent="0.25">
      <c r="A547" s="15">
        <v>45701.287152777775</v>
      </c>
      <c r="B547" s="14">
        <v>14.644444439999999</v>
      </c>
    </row>
    <row r="548" spans="1:2" x14ac:dyDescent="0.25">
      <c r="A548" s="15">
        <v>45701.287164351852</v>
      </c>
      <c r="B548" s="14">
        <v>14.688888889999999</v>
      </c>
    </row>
    <row r="549" spans="1:2" x14ac:dyDescent="0.25">
      <c r="A549" s="15">
        <v>45701.287175925929</v>
      </c>
      <c r="B549" s="14">
        <v>15.33333333</v>
      </c>
    </row>
    <row r="550" spans="1:2" x14ac:dyDescent="0.25">
      <c r="A550" s="15">
        <v>45701.287187499998</v>
      </c>
      <c r="B550" s="14">
        <v>15.81944444</v>
      </c>
    </row>
    <row r="551" spans="1:2" x14ac:dyDescent="0.25">
      <c r="A551" s="15">
        <v>45701.287199074075</v>
      </c>
      <c r="B551" s="14">
        <v>16.03055556</v>
      </c>
    </row>
    <row r="552" spans="1:2" x14ac:dyDescent="0.25">
      <c r="A552" s="15">
        <v>45701.287210648145</v>
      </c>
      <c r="B552" s="14">
        <v>16.194444440000002</v>
      </c>
    </row>
    <row r="553" spans="1:2" x14ac:dyDescent="0.25">
      <c r="A553" s="15">
        <v>45701.287210648145</v>
      </c>
      <c r="B553" s="14">
        <v>16.413888889999999</v>
      </c>
    </row>
    <row r="554" spans="1:2" x14ac:dyDescent="0.25">
      <c r="A554" s="15">
        <v>45701.287233796298</v>
      </c>
      <c r="B554" s="14">
        <v>16.461111110000001</v>
      </c>
    </row>
    <row r="555" spans="1:2" x14ac:dyDescent="0.25">
      <c r="A555" s="15">
        <v>45701.287245370368</v>
      </c>
      <c r="B555" s="14">
        <v>16.51388889</v>
      </c>
    </row>
    <row r="556" spans="1:2" x14ac:dyDescent="0.25">
      <c r="A556" s="15">
        <v>45701.287256944444</v>
      </c>
      <c r="B556" s="14">
        <v>16.613888889999998</v>
      </c>
    </row>
    <row r="557" spans="1:2" x14ac:dyDescent="0.25">
      <c r="A557" s="15">
        <v>45701.287268518521</v>
      </c>
      <c r="B557" s="14">
        <v>16.669444439999999</v>
      </c>
    </row>
    <row r="558" spans="1:2" x14ac:dyDescent="0.25">
      <c r="A558" s="15">
        <v>45701.287268518521</v>
      </c>
      <c r="B558" s="14">
        <v>16.672222219999998</v>
      </c>
    </row>
    <row r="559" spans="1:2" x14ac:dyDescent="0.25">
      <c r="A559" s="15">
        <v>45701.287268518521</v>
      </c>
      <c r="B559" s="14">
        <v>16.605555559999999</v>
      </c>
    </row>
    <row r="560" spans="1:2" x14ac:dyDescent="0.25">
      <c r="A560" s="15">
        <v>45701.287291666667</v>
      </c>
      <c r="B560" s="14">
        <v>16.491666670000001</v>
      </c>
    </row>
    <row r="561" spans="1:2" x14ac:dyDescent="0.25">
      <c r="A561" s="15">
        <v>45701.287303240744</v>
      </c>
      <c r="B561" s="14">
        <v>16.341666669999999</v>
      </c>
    </row>
    <row r="562" spans="1:2" x14ac:dyDescent="0.25">
      <c r="A562" s="15">
        <v>45701.287303240744</v>
      </c>
      <c r="B562" s="14">
        <v>16.311111109999999</v>
      </c>
    </row>
    <row r="563" spans="1:2" x14ac:dyDescent="0.25">
      <c r="A563" s="15">
        <v>45701.287303240744</v>
      </c>
      <c r="B563" s="14">
        <v>16.26388889</v>
      </c>
    </row>
    <row r="564" spans="1:2" x14ac:dyDescent="0.25">
      <c r="A564" s="15">
        <v>45701.287314814814</v>
      </c>
      <c r="B564" s="14">
        <v>16.18333333</v>
      </c>
    </row>
    <row r="565" spans="1:2" x14ac:dyDescent="0.25">
      <c r="A565" s="15">
        <v>45701.287326388891</v>
      </c>
      <c r="B565" s="14">
        <v>15.70833333</v>
      </c>
    </row>
    <row r="566" spans="1:2" x14ac:dyDescent="0.25">
      <c r="A566" s="15">
        <v>45701.287326388891</v>
      </c>
      <c r="B566" s="14">
        <v>15.355555560000001</v>
      </c>
    </row>
    <row r="567" spans="1:2" x14ac:dyDescent="0.25">
      <c r="A567" s="15">
        <v>45701.287349537037</v>
      </c>
      <c r="B567" s="14">
        <v>14.95833333</v>
      </c>
    </row>
    <row r="568" spans="1:2" x14ac:dyDescent="0.25">
      <c r="A568" s="15">
        <v>45701.287361111114</v>
      </c>
      <c r="B568" s="14">
        <v>14.5</v>
      </c>
    </row>
    <row r="569" spans="1:2" x14ac:dyDescent="0.25">
      <c r="A569" s="15">
        <v>45701.287372685183</v>
      </c>
      <c r="B569" s="14">
        <v>14.186111110000001</v>
      </c>
    </row>
    <row r="570" spans="1:2" x14ac:dyDescent="0.25">
      <c r="A570" s="15">
        <v>45701.287372685183</v>
      </c>
      <c r="B570" s="14">
        <v>14.17222222</v>
      </c>
    </row>
    <row r="571" spans="1:2" x14ac:dyDescent="0.25">
      <c r="A571" s="15">
        <v>45701.28738425926</v>
      </c>
      <c r="B571" s="14">
        <v>13.880555559999999</v>
      </c>
    </row>
    <row r="572" spans="1:2" x14ac:dyDescent="0.25">
      <c r="A572" s="15">
        <v>45701.287395833337</v>
      </c>
      <c r="B572" s="14">
        <v>13.380555559999999</v>
      </c>
    </row>
    <row r="573" spans="1:2" x14ac:dyDescent="0.25">
      <c r="A573" s="15">
        <v>45701.287395833337</v>
      </c>
      <c r="B573" s="14">
        <v>13.277777779999999</v>
      </c>
    </row>
    <row r="574" spans="1:2" x14ac:dyDescent="0.25">
      <c r="A574" s="15">
        <v>45701.287395833337</v>
      </c>
      <c r="B574" s="14">
        <v>13.152777779999999</v>
      </c>
    </row>
    <row r="575" spans="1:2" x14ac:dyDescent="0.25">
      <c r="A575" s="15">
        <v>45701.287407407406</v>
      </c>
      <c r="B575" s="14">
        <v>13.105555560000001</v>
      </c>
    </row>
    <row r="576" spans="1:2" x14ac:dyDescent="0.25">
      <c r="A576" s="15">
        <v>45701.287418981483</v>
      </c>
      <c r="B576" s="14">
        <v>13.038888890000001</v>
      </c>
    </row>
    <row r="577" spans="1:2" x14ac:dyDescent="0.25">
      <c r="A577" s="15">
        <v>45701.287418981483</v>
      </c>
      <c r="B577" s="14">
        <v>13.01388889</v>
      </c>
    </row>
    <row r="578" spans="1:2" x14ac:dyDescent="0.25">
      <c r="A578" s="15">
        <v>45701.287418981483</v>
      </c>
      <c r="B578" s="14">
        <v>13.016666669999999</v>
      </c>
    </row>
    <row r="579" spans="1:2" x14ac:dyDescent="0.25">
      <c r="A579" s="15">
        <v>45701.287430555552</v>
      </c>
      <c r="B579" s="14">
        <v>13.169444439999999</v>
      </c>
    </row>
    <row r="580" spans="1:2" x14ac:dyDescent="0.25">
      <c r="A580" s="15">
        <v>45701.287442129629</v>
      </c>
      <c r="B580" s="14">
        <v>13.51388889</v>
      </c>
    </row>
    <row r="581" spans="1:2" x14ac:dyDescent="0.25">
      <c r="A581" s="15">
        <v>45701.287453703706</v>
      </c>
      <c r="B581" s="14">
        <v>13.811111110000001</v>
      </c>
    </row>
    <row r="582" spans="1:2" x14ac:dyDescent="0.25">
      <c r="A582" s="15">
        <v>45701.287465277775</v>
      </c>
      <c r="B582" s="14">
        <v>14.116666670000001</v>
      </c>
    </row>
    <row r="583" spans="1:2" x14ac:dyDescent="0.25">
      <c r="A583" s="15">
        <v>45701.287476851852</v>
      </c>
      <c r="B583" s="14">
        <v>14.79166667</v>
      </c>
    </row>
    <row r="584" spans="1:2" x14ac:dyDescent="0.25">
      <c r="A584" s="15">
        <v>45701.287488425929</v>
      </c>
      <c r="B584" s="14">
        <v>15.619444440000001</v>
      </c>
    </row>
    <row r="585" spans="1:2" x14ac:dyDescent="0.25">
      <c r="A585" s="15">
        <v>45701.287499999999</v>
      </c>
      <c r="B585" s="14">
        <v>16.341666669999999</v>
      </c>
    </row>
    <row r="586" spans="1:2" x14ac:dyDescent="0.25">
      <c r="A586" s="15">
        <v>45701.287499999999</v>
      </c>
      <c r="B586" s="14">
        <v>17.016666669999999</v>
      </c>
    </row>
    <row r="587" spans="1:2" x14ac:dyDescent="0.25">
      <c r="A587" s="15">
        <v>45701.287511574075</v>
      </c>
      <c r="B587" s="14">
        <v>17.063888890000001</v>
      </c>
    </row>
    <row r="588" spans="1:2" x14ac:dyDescent="0.25">
      <c r="A588" s="15">
        <v>45701.287523148145</v>
      </c>
      <c r="B588" s="14">
        <v>17.402777780000001</v>
      </c>
    </row>
    <row r="589" spans="1:2" x14ac:dyDescent="0.25">
      <c r="A589" s="15">
        <v>45701.287523148145</v>
      </c>
      <c r="B589" s="14">
        <v>17.419444439999999</v>
      </c>
    </row>
    <row r="590" spans="1:2" x14ac:dyDescent="0.25">
      <c r="A590" s="15">
        <v>45701.287523148145</v>
      </c>
      <c r="B590" s="14">
        <v>17.586111110000001</v>
      </c>
    </row>
    <row r="591" spans="1:2" x14ac:dyDescent="0.25">
      <c r="A591" s="15">
        <v>45701.287546296298</v>
      </c>
      <c r="B591" s="14">
        <v>17.744444439999999</v>
      </c>
    </row>
    <row r="592" spans="1:2" x14ac:dyDescent="0.25">
      <c r="A592" s="15">
        <v>45701.287546296298</v>
      </c>
      <c r="B592" s="14">
        <v>17.73611111</v>
      </c>
    </row>
    <row r="593" spans="1:2" x14ac:dyDescent="0.25">
      <c r="A593" s="15">
        <v>45701.287557870368</v>
      </c>
      <c r="B593" s="14">
        <v>17.850000000000001</v>
      </c>
    </row>
    <row r="594" spans="1:2" x14ac:dyDescent="0.25">
      <c r="A594" s="15">
        <v>45701.287569444445</v>
      </c>
      <c r="B594" s="14">
        <v>18.008333329999999</v>
      </c>
    </row>
    <row r="595" spans="1:2" x14ac:dyDescent="0.25">
      <c r="A595" s="15">
        <v>45701.287581018521</v>
      </c>
      <c r="B595" s="14">
        <v>18.055555559999998</v>
      </c>
    </row>
    <row r="596" spans="1:2" x14ac:dyDescent="0.25">
      <c r="A596" s="15">
        <v>45701.287592592591</v>
      </c>
      <c r="B596" s="14">
        <v>18.108333330000001</v>
      </c>
    </row>
    <row r="597" spans="1:2" x14ac:dyDescent="0.25">
      <c r="A597" s="15">
        <v>45701.287604166668</v>
      </c>
      <c r="B597" s="14">
        <v>18.086111110000001</v>
      </c>
    </row>
    <row r="598" spans="1:2" x14ac:dyDescent="0.25">
      <c r="A598" s="15">
        <v>45701.287615740737</v>
      </c>
      <c r="B598" s="14">
        <v>17.988888889999998</v>
      </c>
    </row>
    <row r="599" spans="1:2" x14ac:dyDescent="0.25">
      <c r="A599" s="15">
        <v>45701.287627314814</v>
      </c>
      <c r="B599" s="14">
        <v>17.994444439999999</v>
      </c>
    </row>
    <row r="600" spans="1:2" x14ac:dyDescent="0.25">
      <c r="A600" s="15">
        <v>45701.287638888891</v>
      </c>
      <c r="B600" s="14">
        <v>18.024999999999999</v>
      </c>
    </row>
    <row r="601" spans="1:2" x14ac:dyDescent="0.25">
      <c r="A601" s="15">
        <v>45701.28765046296</v>
      </c>
      <c r="B601" s="14">
        <v>18.063888890000001</v>
      </c>
    </row>
    <row r="602" spans="1:2" x14ac:dyDescent="0.25">
      <c r="A602" s="15">
        <v>45701.287662037037</v>
      </c>
      <c r="B602" s="14">
        <v>18.105555559999999</v>
      </c>
    </row>
    <row r="603" spans="1:2" x14ac:dyDescent="0.25">
      <c r="A603" s="15">
        <v>45701.287673611114</v>
      </c>
      <c r="B603" s="14">
        <v>18.108333330000001</v>
      </c>
    </row>
    <row r="604" spans="1:2" x14ac:dyDescent="0.25">
      <c r="A604" s="15">
        <v>45701.287685185183</v>
      </c>
      <c r="B604" s="14">
        <v>18.169444439999999</v>
      </c>
    </row>
    <row r="605" spans="1:2" x14ac:dyDescent="0.25">
      <c r="A605" s="15">
        <v>45701.28769675926</v>
      </c>
      <c r="B605" s="14">
        <v>18.19166667</v>
      </c>
    </row>
    <row r="606" spans="1:2" x14ac:dyDescent="0.25">
      <c r="A606" s="15">
        <v>45701.287708333337</v>
      </c>
      <c r="B606" s="14">
        <v>18.216666669999999</v>
      </c>
    </row>
    <row r="607" spans="1:2" x14ac:dyDescent="0.25">
      <c r="A607" s="15">
        <v>45701.287708333337</v>
      </c>
      <c r="B607" s="14">
        <v>18.244444439999999</v>
      </c>
    </row>
    <row r="608" spans="1:2" x14ac:dyDescent="0.25">
      <c r="A608" s="15">
        <v>45701.287719907406</v>
      </c>
      <c r="B608" s="14">
        <v>18.277777780000001</v>
      </c>
    </row>
    <row r="609" spans="1:2" x14ac:dyDescent="0.25">
      <c r="A609" s="15">
        <v>45701.287731481483</v>
      </c>
      <c r="B609" s="14">
        <v>18.269444440000001</v>
      </c>
    </row>
    <row r="610" spans="1:2" x14ac:dyDescent="0.25">
      <c r="A610" s="15">
        <v>45701.287743055553</v>
      </c>
      <c r="B610" s="14">
        <v>18.26388889</v>
      </c>
    </row>
    <row r="611" spans="1:2" x14ac:dyDescent="0.25">
      <c r="A611" s="15">
        <v>45701.287754629629</v>
      </c>
      <c r="B611" s="14">
        <v>18.327777780000002</v>
      </c>
    </row>
    <row r="612" spans="1:2" x14ac:dyDescent="0.25">
      <c r="A612" s="15">
        <v>45701.287766203706</v>
      </c>
      <c r="B612" s="14">
        <v>18.18333333</v>
      </c>
    </row>
    <row r="613" spans="1:2" x14ac:dyDescent="0.25">
      <c r="A613" s="15">
        <v>45701.287766203706</v>
      </c>
      <c r="B613" s="14">
        <v>18.127777779999999</v>
      </c>
    </row>
    <row r="614" spans="1:2" x14ac:dyDescent="0.25">
      <c r="A614" s="15">
        <v>45701.287777777776</v>
      </c>
      <c r="B614" s="14">
        <v>18.105555559999999</v>
      </c>
    </row>
    <row r="615" spans="1:2" x14ac:dyDescent="0.25">
      <c r="A615" s="15">
        <v>45701.287777777776</v>
      </c>
      <c r="B615" s="14">
        <v>18.038888889999999</v>
      </c>
    </row>
    <row r="616" spans="1:2" x14ac:dyDescent="0.25">
      <c r="A616" s="15">
        <v>45701.287789351853</v>
      </c>
      <c r="B616" s="14">
        <v>17.919444439999999</v>
      </c>
    </row>
    <row r="617" spans="1:2" x14ac:dyDescent="0.25">
      <c r="A617" s="15">
        <v>45701.287800925929</v>
      </c>
      <c r="B617" s="14">
        <v>17.51388889</v>
      </c>
    </row>
    <row r="618" spans="1:2" x14ac:dyDescent="0.25">
      <c r="A618" s="15">
        <v>45701.287812499999</v>
      </c>
      <c r="B618" s="14">
        <v>17.277777780000001</v>
      </c>
    </row>
    <row r="619" spans="1:2" x14ac:dyDescent="0.25">
      <c r="A619" s="15">
        <v>45701.287812499999</v>
      </c>
      <c r="B619" s="14">
        <v>17.016666669999999</v>
      </c>
    </row>
    <row r="620" spans="1:2" x14ac:dyDescent="0.25">
      <c r="A620" s="15">
        <v>45701.287835648145</v>
      </c>
      <c r="B620" s="14">
        <v>16.73611111</v>
      </c>
    </row>
    <row r="621" spans="1:2" x14ac:dyDescent="0.25">
      <c r="A621" s="15">
        <v>45701.287835648145</v>
      </c>
      <c r="B621" s="14">
        <v>16.44166667</v>
      </c>
    </row>
    <row r="622" spans="1:2" x14ac:dyDescent="0.25">
      <c r="A622" s="15">
        <v>45701.287847222222</v>
      </c>
      <c r="B622" s="14">
        <v>16.422222219999998</v>
      </c>
    </row>
    <row r="623" spans="1:2" x14ac:dyDescent="0.25">
      <c r="A623" s="15">
        <v>45701.287858796299</v>
      </c>
      <c r="B623" s="14">
        <v>16.119444439999999</v>
      </c>
    </row>
    <row r="624" spans="1:2" x14ac:dyDescent="0.25">
      <c r="A624" s="15">
        <v>45701.287870370368</v>
      </c>
      <c r="B624" s="14">
        <v>15.71944444</v>
      </c>
    </row>
    <row r="625" spans="1:2" x14ac:dyDescent="0.25">
      <c r="A625" s="15">
        <v>45701.287881944445</v>
      </c>
      <c r="B625" s="14">
        <v>15.03055556</v>
      </c>
    </row>
    <row r="626" spans="1:2" x14ac:dyDescent="0.25">
      <c r="A626" s="15">
        <v>45701.287893518522</v>
      </c>
      <c r="B626" s="14">
        <v>14.425000000000001</v>
      </c>
    </row>
    <row r="627" spans="1:2" x14ac:dyDescent="0.25">
      <c r="A627" s="15">
        <v>45701.287905092591</v>
      </c>
      <c r="B627" s="14">
        <v>13.891666669999999</v>
      </c>
    </row>
    <row r="628" spans="1:2" x14ac:dyDescent="0.25">
      <c r="A628" s="15">
        <v>45701.287905092591</v>
      </c>
      <c r="B628" s="14">
        <v>13.461111109999999</v>
      </c>
    </row>
    <row r="629" spans="1:2" x14ac:dyDescent="0.25">
      <c r="A629" s="15">
        <v>45701.287916666668</v>
      </c>
      <c r="B629" s="14">
        <v>13.438888889999999</v>
      </c>
    </row>
    <row r="630" spans="1:2" x14ac:dyDescent="0.25">
      <c r="A630" s="15">
        <v>45701.287928240738</v>
      </c>
      <c r="B630" s="14">
        <v>13.016666669999999</v>
      </c>
    </row>
    <row r="631" spans="1:2" x14ac:dyDescent="0.25">
      <c r="A631" s="15">
        <v>45701.287939814814</v>
      </c>
      <c r="B631" s="14">
        <v>12.538888890000001</v>
      </c>
    </row>
    <row r="632" spans="1:2" x14ac:dyDescent="0.25">
      <c r="A632" s="15">
        <v>45701.287951388891</v>
      </c>
      <c r="B632" s="14">
        <v>12.04166667</v>
      </c>
    </row>
    <row r="633" spans="1:2" x14ac:dyDescent="0.25">
      <c r="A633" s="15">
        <v>45701.287962962961</v>
      </c>
      <c r="B633" s="14">
        <v>11.633333329999999</v>
      </c>
    </row>
    <row r="634" spans="1:2" x14ac:dyDescent="0.25">
      <c r="A634" s="15">
        <v>45701.287962962961</v>
      </c>
      <c r="B634" s="14">
        <v>11.52222222</v>
      </c>
    </row>
    <row r="635" spans="1:2" x14ac:dyDescent="0.25">
      <c r="A635" s="15">
        <v>45701.287962962961</v>
      </c>
      <c r="B635" s="14">
        <v>11.330555560000001</v>
      </c>
    </row>
    <row r="636" spans="1:2" x14ac:dyDescent="0.25">
      <c r="A636" s="15">
        <v>45701.287974537037</v>
      </c>
      <c r="B636" s="14">
        <v>11.30555556</v>
      </c>
    </row>
    <row r="637" spans="1:2" x14ac:dyDescent="0.25">
      <c r="A637" s="15">
        <v>45701.287986111114</v>
      </c>
      <c r="B637" s="14">
        <v>10.980555560000001</v>
      </c>
    </row>
    <row r="638" spans="1:2" x14ac:dyDescent="0.25">
      <c r="A638" s="15">
        <v>45701.287997685184</v>
      </c>
      <c r="B638" s="14">
        <v>10.733333330000001</v>
      </c>
    </row>
    <row r="639" spans="1:2" x14ac:dyDescent="0.25">
      <c r="A639" s="15">
        <v>45701.28800925926</v>
      </c>
      <c r="B639" s="14">
        <v>10.436111110000001</v>
      </c>
    </row>
    <row r="640" spans="1:2" x14ac:dyDescent="0.25">
      <c r="A640" s="15">
        <v>45701.28800925926</v>
      </c>
      <c r="B640" s="14">
        <v>10.38888889</v>
      </c>
    </row>
    <row r="641" spans="1:2" x14ac:dyDescent="0.25">
      <c r="A641" s="15">
        <v>45701.28800925926</v>
      </c>
      <c r="B641" s="14">
        <v>10.413888890000001</v>
      </c>
    </row>
    <row r="642" spans="1:2" x14ac:dyDescent="0.25">
      <c r="A642" s="15">
        <v>45701.28802083333</v>
      </c>
      <c r="B642" s="14">
        <v>10.06944444</v>
      </c>
    </row>
    <row r="643" spans="1:2" x14ac:dyDescent="0.25">
      <c r="A643" s="15">
        <v>45701.288032407407</v>
      </c>
      <c r="B643" s="14">
        <v>9.5694444440000002</v>
      </c>
    </row>
    <row r="644" spans="1:2" x14ac:dyDescent="0.25">
      <c r="A644" s="15">
        <v>45701.288043981483</v>
      </c>
      <c r="B644" s="14">
        <v>8.8777777780000005</v>
      </c>
    </row>
    <row r="645" spans="1:2" x14ac:dyDescent="0.25">
      <c r="A645" s="15">
        <v>45701.288055555553</v>
      </c>
      <c r="B645" s="14">
        <v>8.1055555560000005</v>
      </c>
    </row>
    <row r="646" spans="1:2" x14ac:dyDescent="0.25">
      <c r="A646" s="15">
        <v>45701.288055555553</v>
      </c>
      <c r="B646" s="14">
        <v>7.0277777779999999</v>
      </c>
    </row>
    <row r="647" spans="1:2" x14ac:dyDescent="0.25">
      <c r="A647" s="15">
        <v>45701.288078703707</v>
      </c>
      <c r="B647" s="14">
        <v>6.0416666670000003</v>
      </c>
    </row>
    <row r="648" spans="1:2" x14ac:dyDescent="0.25">
      <c r="A648" s="15">
        <v>45701.288090277776</v>
      </c>
      <c r="B648" s="14">
        <v>5.2416666669999996</v>
      </c>
    </row>
    <row r="649" spans="1:2" x14ac:dyDescent="0.25">
      <c r="A649" s="15">
        <v>45701.288101851853</v>
      </c>
      <c r="B649" s="14">
        <v>4.1749999999999998</v>
      </c>
    </row>
    <row r="650" spans="1:2" x14ac:dyDescent="0.25">
      <c r="A650" s="15">
        <v>45701.288101851853</v>
      </c>
      <c r="B650" s="14">
        <v>4.113888889</v>
      </c>
    </row>
    <row r="651" spans="1:2" x14ac:dyDescent="0.25">
      <c r="A651" s="15">
        <v>45701.288113425922</v>
      </c>
      <c r="B651" s="14">
        <v>3.0861111110000001</v>
      </c>
    </row>
    <row r="652" spans="1:2" x14ac:dyDescent="0.25">
      <c r="A652" s="15">
        <v>45701.288124999999</v>
      </c>
      <c r="B652" s="14">
        <v>1.9138888890000001</v>
      </c>
    </row>
    <row r="653" spans="1:2" x14ac:dyDescent="0.25">
      <c r="A653" s="15">
        <v>45701.288136574076</v>
      </c>
      <c r="B653" s="14">
        <v>0.91111111099999997</v>
      </c>
    </row>
    <row r="654" spans="1:2" x14ac:dyDescent="0.25">
      <c r="A654" s="15">
        <v>45701.288148148145</v>
      </c>
      <c r="B654" s="14">
        <v>0.241666667</v>
      </c>
    </row>
    <row r="655" spans="1:2" x14ac:dyDescent="0.25">
      <c r="A655" s="15">
        <v>45701.288159722222</v>
      </c>
      <c r="B655" s="14">
        <v>0.15</v>
      </c>
    </row>
    <row r="656" spans="1:2" x14ac:dyDescent="0.25">
      <c r="A656" s="15">
        <v>45701.288159722222</v>
      </c>
      <c r="B656" s="14">
        <v>3.8888889000000003E-2</v>
      </c>
    </row>
    <row r="657" spans="1:2" x14ac:dyDescent="0.25">
      <c r="A657" s="15">
        <v>45701.288171296299</v>
      </c>
      <c r="B657" s="14">
        <v>0</v>
      </c>
    </row>
    <row r="658" spans="1:2" x14ac:dyDescent="0.25">
      <c r="A658" s="15">
        <v>45701.288391203707</v>
      </c>
      <c r="B658" s="14">
        <v>0.53055555600000004</v>
      </c>
    </row>
    <row r="659" spans="1:2" x14ac:dyDescent="0.25">
      <c r="A659" s="15">
        <v>45701.288391203707</v>
      </c>
      <c r="B659" s="14">
        <v>0.98333333300000003</v>
      </c>
    </row>
    <row r="660" spans="1:2" x14ac:dyDescent="0.25">
      <c r="A660" s="15">
        <v>45701.288391203707</v>
      </c>
      <c r="B660" s="14">
        <v>0.91111111099999997</v>
      </c>
    </row>
    <row r="661" spans="1:2" x14ac:dyDescent="0.25">
      <c r="A661" s="15">
        <v>45701.288402777776</v>
      </c>
      <c r="B661" s="14">
        <v>1.686111111</v>
      </c>
    </row>
    <row r="662" spans="1:2" x14ac:dyDescent="0.25">
      <c r="A662" s="15">
        <v>45701.288414351853</v>
      </c>
      <c r="B662" s="14">
        <v>2.8250000000000002</v>
      </c>
    </row>
    <row r="663" spans="1:2" x14ac:dyDescent="0.25">
      <c r="A663" s="15">
        <v>45701.288414351853</v>
      </c>
      <c r="B663" s="14">
        <v>2.8972222219999999</v>
      </c>
    </row>
    <row r="664" spans="1:2" x14ac:dyDescent="0.25">
      <c r="A664" s="15">
        <v>45701.288425925923</v>
      </c>
      <c r="B664" s="14">
        <v>4.0333333329999999</v>
      </c>
    </row>
    <row r="665" spans="1:2" x14ac:dyDescent="0.25">
      <c r="A665" s="15">
        <v>45701.288437499999</v>
      </c>
      <c r="B665" s="14">
        <v>5.1666666670000003</v>
      </c>
    </row>
    <row r="666" spans="1:2" x14ac:dyDescent="0.25">
      <c r="A666" s="15">
        <v>45701.288437499999</v>
      </c>
      <c r="B666" s="14">
        <v>5.25</v>
      </c>
    </row>
    <row r="667" spans="1:2" x14ac:dyDescent="0.25">
      <c r="A667" s="15">
        <v>45701.288449074076</v>
      </c>
      <c r="B667" s="14">
        <v>6.358333333</v>
      </c>
    </row>
    <row r="668" spans="1:2" x14ac:dyDescent="0.25">
      <c r="A668" s="15">
        <v>45701.288460648146</v>
      </c>
      <c r="B668" s="14">
        <v>7.511111111</v>
      </c>
    </row>
    <row r="669" spans="1:2" x14ac:dyDescent="0.25">
      <c r="A669" s="15">
        <v>45701.288472222222</v>
      </c>
      <c r="B669" s="14">
        <v>8.6972222220000006</v>
      </c>
    </row>
    <row r="670" spans="1:2" x14ac:dyDescent="0.25">
      <c r="A670" s="15">
        <v>45701.288483796299</v>
      </c>
      <c r="B670" s="14">
        <v>9.4499999999999993</v>
      </c>
    </row>
    <row r="671" spans="1:2" x14ac:dyDescent="0.25">
      <c r="A671" s="15">
        <v>45701.288495370369</v>
      </c>
      <c r="B671" s="14">
        <v>9.7055555560000002</v>
      </c>
    </row>
    <row r="672" spans="1:2" x14ac:dyDescent="0.25">
      <c r="A672" s="15">
        <v>45701.288506944446</v>
      </c>
      <c r="B672" s="14">
        <v>9.9111111110000003</v>
      </c>
    </row>
    <row r="673" spans="1:2" x14ac:dyDescent="0.25">
      <c r="A673" s="15">
        <v>45701.288506944446</v>
      </c>
      <c r="B673" s="14">
        <v>9.9499999999999993</v>
      </c>
    </row>
    <row r="674" spans="1:2" x14ac:dyDescent="0.25">
      <c r="A674" s="15">
        <v>45701.288518518515</v>
      </c>
      <c r="B674" s="14">
        <v>10.10277778</v>
      </c>
    </row>
    <row r="675" spans="1:2" x14ac:dyDescent="0.25">
      <c r="A675" s="15">
        <v>45701.288518518515</v>
      </c>
      <c r="B675" s="14">
        <v>10.20833333</v>
      </c>
    </row>
    <row r="676" spans="1:2" x14ac:dyDescent="0.25">
      <c r="A676" s="15">
        <v>45701.288530092592</v>
      </c>
      <c r="B676" s="14">
        <v>10.26111111</v>
      </c>
    </row>
    <row r="677" spans="1:2" x14ac:dyDescent="0.25">
      <c r="A677" s="15">
        <v>45701.288541666669</v>
      </c>
      <c r="B677" s="14">
        <v>10.10277778</v>
      </c>
    </row>
    <row r="678" spans="1:2" x14ac:dyDescent="0.25">
      <c r="A678" s="15">
        <v>45701.288553240738</v>
      </c>
      <c r="B678" s="14">
        <v>9.9</v>
      </c>
    </row>
    <row r="679" spans="1:2" x14ac:dyDescent="0.25">
      <c r="A679" s="15">
        <v>45701.288553240738</v>
      </c>
      <c r="B679" s="14">
        <v>9.8277777779999997</v>
      </c>
    </row>
    <row r="680" spans="1:2" x14ac:dyDescent="0.25">
      <c r="A680" s="15">
        <v>45701.288564814815</v>
      </c>
      <c r="B680" s="14">
        <v>9.5638888889999993</v>
      </c>
    </row>
    <row r="681" spans="1:2" x14ac:dyDescent="0.25">
      <c r="A681" s="15">
        <v>45701.288576388892</v>
      </c>
      <c r="B681" s="14">
        <v>9.0250000000000004</v>
      </c>
    </row>
    <row r="682" spans="1:2" x14ac:dyDescent="0.25">
      <c r="A682" s="15">
        <v>45701.288587962961</v>
      </c>
      <c r="B682" s="14">
        <v>8.613888889</v>
      </c>
    </row>
    <row r="683" spans="1:2" x14ac:dyDescent="0.25">
      <c r="A683" s="15">
        <v>45701.288599537038</v>
      </c>
      <c r="B683" s="14">
        <v>8.2166666670000001</v>
      </c>
    </row>
    <row r="684" spans="1:2" x14ac:dyDescent="0.25">
      <c r="A684" s="15">
        <v>45701.288611111115</v>
      </c>
      <c r="B684" s="14">
        <v>7.7416666669999996</v>
      </c>
    </row>
    <row r="685" spans="1:2" x14ac:dyDescent="0.25">
      <c r="A685" s="15">
        <v>45701.288622685184</v>
      </c>
      <c r="B685" s="14">
        <v>7.1777777780000003</v>
      </c>
    </row>
    <row r="686" spans="1:2" x14ac:dyDescent="0.25">
      <c r="A686" s="15">
        <v>45701.288634259261</v>
      </c>
      <c r="B686" s="14">
        <v>6.619444444</v>
      </c>
    </row>
    <row r="687" spans="1:2" x14ac:dyDescent="0.25">
      <c r="A687" s="15">
        <v>45701.288634259261</v>
      </c>
      <c r="B687" s="14">
        <v>6.1277777779999996</v>
      </c>
    </row>
    <row r="688" spans="1:2" x14ac:dyDescent="0.25">
      <c r="A688" s="15">
        <v>45701.288645833331</v>
      </c>
      <c r="B688" s="14">
        <v>5.6749999999999998</v>
      </c>
    </row>
    <row r="689" spans="1:2" x14ac:dyDescent="0.25">
      <c r="A689" s="15">
        <v>45701.288657407407</v>
      </c>
      <c r="B689" s="14">
        <v>5.5416666670000003</v>
      </c>
    </row>
    <row r="690" spans="1:2" x14ac:dyDescent="0.25">
      <c r="A690" s="15">
        <v>45701.288657407407</v>
      </c>
      <c r="B690" s="14">
        <v>5.4722222220000001</v>
      </c>
    </row>
    <row r="691" spans="1:2" x14ac:dyDescent="0.25">
      <c r="A691" s="15">
        <v>45701.288657407407</v>
      </c>
      <c r="B691" s="14">
        <v>5.3888888890000004</v>
      </c>
    </row>
    <row r="692" spans="1:2" x14ac:dyDescent="0.25">
      <c r="A692" s="15">
        <v>45701.288680555554</v>
      </c>
      <c r="B692" s="14">
        <v>5.3138888890000002</v>
      </c>
    </row>
    <row r="693" spans="1:2" x14ac:dyDescent="0.25">
      <c r="A693" s="15">
        <v>45701.28869212963</v>
      </c>
      <c r="B693" s="14">
        <v>5.2694444440000003</v>
      </c>
    </row>
    <row r="694" spans="1:2" x14ac:dyDescent="0.25">
      <c r="A694" s="15">
        <v>45701.288703703707</v>
      </c>
      <c r="B694" s="14">
        <v>5.2249999999999996</v>
      </c>
    </row>
    <row r="695" spans="1:2" x14ac:dyDescent="0.25">
      <c r="A695" s="15">
        <v>45701.288715277777</v>
      </c>
      <c r="B695" s="14">
        <v>5.2138888889999997</v>
      </c>
    </row>
    <row r="696" spans="1:2" x14ac:dyDescent="0.25">
      <c r="A696" s="15">
        <v>45701.288726851853</v>
      </c>
      <c r="B696" s="14">
        <v>5.2083333329999997</v>
      </c>
    </row>
    <row r="697" spans="1:2" x14ac:dyDescent="0.25">
      <c r="A697" s="15">
        <v>45701.288738425923</v>
      </c>
      <c r="B697" s="14">
        <v>5.15</v>
      </c>
    </row>
    <row r="698" spans="1:2" x14ac:dyDescent="0.25">
      <c r="A698" s="15">
        <v>45701.28875</v>
      </c>
      <c r="B698" s="14">
        <v>5.136111111</v>
      </c>
    </row>
    <row r="699" spans="1:2" x14ac:dyDescent="0.25">
      <c r="A699" s="15">
        <v>45701.288761574076</v>
      </c>
      <c r="B699" s="14">
        <v>5.0694444440000002</v>
      </c>
    </row>
    <row r="700" spans="1:2" x14ac:dyDescent="0.25">
      <c r="A700" s="15">
        <v>45701.288773148146</v>
      </c>
      <c r="B700" s="14">
        <v>4.988888889</v>
      </c>
    </row>
    <row r="701" spans="1:2" x14ac:dyDescent="0.25">
      <c r="A701" s="15">
        <v>45701.288784722223</v>
      </c>
      <c r="B701" s="14">
        <v>4.9722222220000001</v>
      </c>
    </row>
    <row r="702" spans="1:2" x14ac:dyDescent="0.25">
      <c r="A702" s="15">
        <v>45701.2887962963</v>
      </c>
      <c r="B702" s="14">
        <v>4.994444444</v>
      </c>
    </row>
    <row r="703" spans="1:2" x14ac:dyDescent="0.25">
      <c r="A703" s="15">
        <v>45701.288819444446</v>
      </c>
      <c r="B703" s="14">
        <v>5.0527777780000003</v>
      </c>
    </row>
    <row r="704" spans="1:2" x14ac:dyDescent="0.25">
      <c r="A704" s="15">
        <v>45701.288831018515</v>
      </c>
      <c r="B704" s="14">
        <v>5.119444444</v>
      </c>
    </row>
    <row r="705" spans="1:2" x14ac:dyDescent="0.25">
      <c r="A705" s="15">
        <v>45701.288842592592</v>
      </c>
      <c r="B705" s="14">
        <v>5.1916666669999998</v>
      </c>
    </row>
    <row r="706" spans="1:2" x14ac:dyDescent="0.25">
      <c r="A706" s="15">
        <v>45701.288854166669</v>
      </c>
      <c r="B706" s="14">
        <v>5.2805555560000004</v>
      </c>
    </row>
    <row r="707" spans="1:2" x14ac:dyDescent="0.25">
      <c r="A707" s="15">
        <v>45701.288854166669</v>
      </c>
      <c r="B707" s="14">
        <v>5.4027777779999999</v>
      </c>
    </row>
    <row r="708" spans="1:2" x14ac:dyDescent="0.25">
      <c r="A708" s="15">
        <v>45701.288877314815</v>
      </c>
      <c r="B708" s="14">
        <v>5.5083333330000004</v>
      </c>
    </row>
    <row r="709" spans="1:2" x14ac:dyDescent="0.25">
      <c r="A709" s="15">
        <v>45701.288888888892</v>
      </c>
      <c r="B709" s="14">
        <v>5.5972222220000001</v>
      </c>
    </row>
    <row r="710" spans="1:2" x14ac:dyDescent="0.25">
      <c r="A710" s="15">
        <v>45701.288888888892</v>
      </c>
      <c r="B710" s="14">
        <v>5.7249999999999996</v>
      </c>
    </row>
    <row r="711" spans="1:2" x14ac:dyDescent="0.25">
      <c r="A711" s="15">
        <v>45701.288912037038</v>
      </c>
      <c r="B711" s="14">
        <v>6.05</v>
      </c>
    </row>
    <row r="712" spans="1:2" x14ac:dyDescent="0.25">
      <c r="A712" s="15">
        <v>45701.288912037038</v>
      </c>
      <c r="B712" s="14">
        <v>6.9972222220000004</v>
      </c>
    </row>
    <row r="713" spans="1:2" x14ac:dyDescent="0.25">
      <c r="A713" s="15">
        <v>45701.288935185185</v>
      </c>
      <c r="B713" s="14">
        <v>7.5888888889999997</v>
      </c>
    </row>
    <row r="714" spans="1:2" x14ac:dyDescent="0.25">
      <c r="A714" s="15">
        <v>45701.288946759261</v>
      </c>
      <c r="B714" s="14">
        <v>8.1861111110000007</v>
      </c>
    </row>
    <row r="715" spans="1:2" x14ac:dyDescent="0.25">
      <c r="A715" s="15">
        <v>45701.288958333331</v>
      </c>
      <c r="B715" s="14">
        <v>8.7722222219999999</v>
      </c>
    </row>
    <row r="716" spans="1:2" x14ac:dyDescent="0.25">
      <c r="A716" s="15">
        <v>45701.288969907408</v>
      </c>
      <c r="B716" s="14">
        <v>9.2638888890000004</v>
      </c>
    </row>
    <row r="717" spans="1:2" x14ac:dyDescent="0.25">
      <c r="A717" s="15">
        <v>45701.288969907408</v>
      </c>
      <c r="B717" s="14">
        <v>9.2888888890000008</v>
      </c>
    </row>
    <row r="718" spans="1:2" x14ac:dyDescent="0.25">
      <c r="A718" s="15">
        <v>45701.288981481484</v>
      </c>
      <c r="B718" s="14">
        <v>9.6861111110000007</v>
      </c>
    </row>
    <row r="719" spans="1:2" x14ac:dyDescent="0.25">
      <c r="A719" s="15">
        <v>45701.288981481484</v>
      </c>
      <c r="B719" s="14">
        <v>9.9638888889999997</v>
      </c>
    </row>
    <row r="720" spans="1:2" x14ac:dyDescent="0.25">
      <c r="A720" s="15">
        <v>45701.288981481484</v>
      </c>
      <c r="B720" s="14">
        <v>10.06666667</v>
      </c>
    </row>
    <row r="721" spans="1:2" x14ac:dyDescent="0.25">
      <c r="A721" s="15">
        <v>45701.289004629631</v>
      </c>
      <c r="B721" s="14">
        <v>10.16666667</v>
      </c>
    </row>
    <row r="722" spans="1:2" x14ac:dyDescent="0.25">
      <c r="A722" s="15">
        <v>45701.2890162037</v>
      </c>
      <c r="B722" s="14">
        <v>10.222222220000001</v>
      </c>
    </row>
    <row r="723" spans="1:2" x14ac:dyDescent="0.25">
      <c r="A723" s="15">
        <v>45701.2890162037</v>
      </c>
      <c r="B723" s="14">
        <v>10.25</v>
      </c>
    </row>
    <row r="724" spans="1:2" x14ac:dyDescent="0.25">
      <c r="A724" s="15">
        <v>45701.2890162037</v>
      </c>
      <c r="B724" s="14">
        <v>10.26111111</v>
      </c>
    </row>
    <row r="725" spans="1:2" x14ac:dyDescent="0.25">
      <c r="A725" s="15">
        <v>45701.289039351854</v>
      </c>
      <c r="B725" s="14">
        <v>9.9666666670000001</v>
      </c>
    </row>
    <row r="726" spans="1:2" x14ac:dyDescent="0.25">
      <c r="A726" s="15">
        <v>45701.289050925923</v>
      </c>
      <c r="B726" s="14">
        <v>9.8333333330000006</v>
      </c>
    </row>
    <row r="727" spans="1:2" x14ac:dyDescent="0.25">
      <c r="A727" s="15">
        <v>45701.2890625</v>
      </c>
      <c r="B727" s="14">
        <v>9.8416666670000001</v>
      </c>
    </row>
    <row r="728" spans="1:2" x14ac:dyDescent="0.25">
      <c r="A728" s="15">
        <v>45701.2890625</v>
      </c>
      <c r="B728" s="14">
        <v>9.8249999999999993</v>
      </c>
    </row>
    <row r="729" spans="1:2" x14ac:dyDescent="0.25">
      <c r="A729" s="15">
        <v>45701.289074074077</v>
      </c>
      <c r="B729" s="14">
        <v>9.8333333330000006</v>
      </c>
    </row>
    <row r="730" spans="1:2" x14ac:dyDescent="0.25">
      <c r="A730" s="15">
        <v>45701.289085648146</v>
      </c>
      <c r="B730" s="14">
        <v>9.9361111110000007</v>
      </c>
    </row>
    <row r="731" spans="1:2" x14ac:dyDescent="0.25">
      <c r="A731" s="15">
        <v>45701.289097222223</v>
      </c>
      <c r="B731" s="14">
        <v>10.019444439999999</v>
      </c>
    </row>
    <row r="732" spans="1:2" x14ac:dyDescent="0.25">
      <c r="A732" s="15">
        <v>45701.2891087963</v>
      </c>
      <c r="B732" s="14">
        <v>10.08333333</v>
      </c>
    </row>
    <row r="733" spans="1:2" x14ac:dyDescent="0.25">
      <c r="A733" s="15">
        <v>45701.2891087963</v>
      </c>
      <c r="B733" s="14">
        <v>10.105555560000001</v>
      </c>
    </row>
    <row r="734" spans="1:2" x14ac:dyDescent="0.25">
      <c r="A734" s="15">
        <v>45701.289120370369</v>
      </c>
      <c r="B734" s="14">
        <v>10.23611111</v>
      </c>
    </row>
    <row r="735" spans="1:2" x14ac:dyDescent="0.25">
      <c r="A735" s="15">
        <v>45701.289131944446</v>
      </c>
      <c r="B735" s="14">
        <v>10.57777778</v>
      </c>
    </row>
    <row r="736" spans="1:2" x14ac:dyDescent="0.25">
      <c r="A736" s="15">
        <v>45701.289143518516</v>
      </c>
      <c r="B736" s="14">
        <v>11.836111109999999</v>
      </c>
    </row>
    <row r="737" spans="1:2" x14ac:dyDescent="0.25">
      <c r="A737" s="15">
        <v>45701.289143518516</v>
      </c>
      <c r="B737" s="14">
        <v>11.75</v>
      </c>
    </row>
    <row r="738" spans="1:2" x14ac:dyDescent="0.25">
      <c r="A738" s="15">
        <v>45701.289155092592</v>
      </c>
      <c r="B738" s="14">
        <v>13.01111111</v>
      </c>
    </row>
    <row r="739" spans="1:2" x14ac:dyDescent="0.25">
      <c r="A739" s="15">
        <v>45701.289166666669</v>
      </c>
      <c r="B739" s="14">
        <v>14.05833333</v>
      </c>
    </row>
    <row r="740" spans="1:2" x14ac:dyDescent="0.25">
      <c r="A740" s="15">
        <v>45701.289178240739</v>
      </c>
      <c r="B740" s="14">
        <v>15</v>
      </c>
    </row>
    <row r="741" spans="1:2" x14ac:dyDescent="0.25">
      <c r="A741" s="15">
        <v>45701.289178240739</v>
      </c>
      <c r="B741" s="14">
        <v>15.505555559999999</v>
      </c>
    </row>
    <row r="742" spans="1:2" x14ac:dyDescent="0.25">
      <c r="A742" s="15">
        <v>45701.289189814815</v>
      </c>
      <c r="B742" s="14">
        <v>15.55</v>
      </c>
    </row>
    <row r="743" spans="1:2" x14ac:dyDescent="0.25">
      <c r="A743" s="15">
        <v>45701.289201388892</v>
      </c>
      <c r="B743" s="14">
        <v>15.85</v>
      </c>
    </row>
    <row r="744" spans="1:2" x14ac:dyDescent="0.25">
      <c r="A744" s="15">
        <v>45701.289201388892</v>
      </c>
      <c r="B744" s="14">
        <v>16.205555560000001</v>
      </c>
    </row>
    <row r="745" spans="1:2" x14ac:dyDescent="0.25">
      <c r="A745" s="15">
        <v>45701.289212962962</v>
      </c>
      <c r="B745" s="14">
        <v>16.21388889</v>
      </c>
    </row>
    <row r="746" spans="1:2" x14ac:dyDescent="0.25">
      <c r="A746" s="15">
        <v>45701.289224537039</v>
      </c>
      <c r="B746" s="14">
        <v>16.283333330000001</v>
      </c>
    </row>
    <row r="747" spans="1:2" x14ac:dyDescent="0.25">
      <c r="A747" s="15">
        <v>45701.289236111108</v>
      </c>
      <c r="B747" s="14">
        <v>16.19166667</v>
      </c>
    </row>
    <row r="748" spans="1:2" x14ac:dyDescent="0.25">
      <c r="A748" s="15">
        <v>45701.289247685185</v>
      </c>
      <c r="B748" s="14">
        <v>16.05277778</v>
      </c>
    </row>
    <row r="749" spans="1:2" x14ac:dyDescent="0.25">
      <c r="A749" s="15">
        <v>45701.289247685185</v>
      </c>
      <c r="B749" s="14">
        <v>15.98611111</v>
      </c>
    </row>
    <row r="750" spans="1:2" x14ac:dyDescent="0.25">
      <c r="A750" s="15">
        <v>45701.289259259262</v>
      </c>
      <c r="B750" s="14">
        <v>15.994444440000001</v>
      </c>
    </row>
    <row r="751" spans="1:2" x14ac:dyDescent="0.25">
      <c r="A751" s="15">
        <v>45701.289270833331</v>
      </c>
      <c r="B751" s="14">
        <v>15.866666670000001</v>
      </c>
    </row>
    <row r="752" spans="1:2" x14ac:dyDescent="0.25">
      <c r="A752" s="15">
        <v>45701.289270833331</v>
      </c>
      <c r="B752" s="14">
        <v>15.788888890000001</v>
      </c>
    </row>
    <row r="753" spans="1:2" x14ac:dyDescent="0.25">
      <c r="A753" s="15">
        <v>45701.289293981485</v>
      </c>
      <c r="B753" s="14">
        <v>15.705555560000001</v>
      </c>
    </row>
    <row r="754" spans="1:2" x14ac:dyDescent="0.25">
      <c r="A754" s="15">
        <v>45701.289305555554</v>
      </c>
      <c r="B754" s="14">
        <v>15.597222220000001</v>
      </c>
    </row>
    <row r="755" spans="1:2" x14ac:dyDescent="0.25">
      <c r="A755" s="15">
        <v>45701.289317129631</v>
      </c>
      <c r="B755" s="14">
        <v>15.51111111</v>
      </c>
    </row>
    <row r="756" spans="1:2" x14ac:dyDescent="0.25">
      <c r="A756" s="15">
        <v>45701.289317129631</v>
      </c>
      <c r="B756" s="14">
        <v>15.46666667</v>
      </c>
    </row>
    <row r="757" spans="1:2" x14ac:dyDescent="0.25">
      <c r="A757" s="15">
        <v>45701.289317129631</v>
      </c>
      <c r="B757" s="14">
        <v>15.42222222</v>
      </c>
    </row>
    <row r="758" spans="1:2" x14ac:dyDescent="0.25">
      <c r="A758" s="15">
        <v>45701.2893287037</v>
      </c>
      <c r="B758" s="14">
        <v>15.377777780000001</v>
      </c>
    </row>
    <row r="759" spans="1:2" x14ac:dyDescent="0.25">
      <c r="A759" s="15">
        <v>45701.289340277777</v>
      </c>
      <c r="B759" s="14">
        <v>15.16111111</v>
      </c>
    </row>
    <row r="760" spans="1:2" x14ac:dyDescent="0.25">
      <c r="A760" s="15">
        <v>45701.289340277777</v>
      </c>
      <c r="B760" s="14">
        <v>15.130555559999999</v>
      </c>
    </row>
    <row r="761" spans="1:2" x14ac:dyDescent="0.25">
      <c r="A761" s="15">
        <v>45701.289351851854</v>
      </c>
      <c r="B761" s="14">
        <v>14.58888889</v>
      </c>
    </row>
    <row r="762" spans="1:2" x14ac:dyDescent="0.25">
      <c r="A762" s="15">
        <v>45701.289363425924</v>
      </c>
      <c r="B762" s="14">
        <v>13.936111110000001</v>
      </c>
    </row>
    <row r="763" spans="1:2" x14ac:dyDescent="0.25">
      <c r="A763" s="15">
        <v>45701.289363425924</v>
      </c>
      <c r="B763" s="14">
        <v>13.644444439999999</v>
      </c>
    </row>
    <row r="764" spans="1:2" x14ac:dyDescent="0.25">
      <c r="A764" s="15">
        <v>45701.289375</v>
      </c>
      <c r="B764" s="14">
        <v>13.275</v>
      </c>
    </row>
    <row r="765" spans="1:2" x14ac:dyDescent="0.25">
      <c r="A765" s="15">
        <v>45701.289375</v>
      </c>
      <c r="B765" s="14">
        <v>13.222222220000001</v>
      </c>
    </row>
    <row r="766" spans="1:2" x14ac:dyDescent="0.25">
      <c r="A766" s="15">
        <v>45701.289386574077</v>
      </c>
      <c r="B766" s="14">
        <v>12.51388889</v>
      </c>
    </row>
    <row r="767" spans="1:2" x14ac:dyDescent="0.25">
      <c r="A767" s="15">
        <v>45701.289398148147</v>
      </c>
      <c r="B767" s="14">
        <v>11.675000000000001</v>
      </c>
    </row>
    <row r="768" spans="1:2" x14ac:dyDescent="0.25">
      <c r="A768" s="15">
        <v>45701.289409722223</v>
      </c>
      <c r="B768" s="14">
        <v>10.824999999999999</v>
      </c>
    </row>
    <row r="769" spans="1:2" x14ac:dyDescent="0.25">
      <c r="A769" s="15">
        <v>45701.289421296293</v>
      </c>
      <c r="B769" s="14">
        <v>10.002777780000001</v>
      </c>
    </row>
    <row r="770" spans="1:2" x14ac:dyDescent="0.25">
      <c r="A770" s="15">
        <v>45701.28943287037</v>
      </c>
      <c r="B770" s="14">
        <v>9.3583333329999991</v>
      </c>
    </row>
    <row r="771" spans="1:2" x14ac:dyDescent="0.25">
      <c r="A771" s="15">
        <v>45701.289444444446</v>
      </c>
      <c r="B771" s="14">
        <v>8.5916666670000001</v>
      </c>
    </row>
    <row r="772" spans="1:2" x14ac:dyDescent="0.25">
      <c r="A772" s="15">
        <v>45701.289456018516</v>
      </c>
      <c r="B772" s="14">
        <v>7.8</v>
      </c>
    </row>
    <row r="773" spans="1:2" x14ac:dyDescent="0.25">
      <c r="A773" s="15">
        <v>45701.289467592593</v>
      </c>
      <c r="B773" s="14">
        <v>7.0472222220000003</v>
      </c>
    </row>
    <row r="774" spans="1:2" x14ac:dyDescent="0.25">
      <c r="A774" s="15">
        <v>45701.289479166669</v>
      </c>
      <c r="B774" s="14">
        <v>6.3277777779999997</v>
      </c>
    </row>
    <row r="775" spans="1:2" x14ac:dyDescent="0.25">
      <c r="A775" s="15">
        <v>45701.289490740739</v>
      </c>
      <c r="B775" s="14">
        <v>5.4694444439999996</v>
      </c>
    </row>
    <row r="776" spans="1:2" x14ac:dyDescent="0.25">
      <c r="A776" s="15">
        <v>45701.289502314816</v>
      </c>
      <c r="B776" s="14">
        <v>4.625</v>
      </c>
    </row>
    <row r="777" spans="1:2" x14ac:dyDescent="0.25">
      <c r="A777" s="15">
        <v>45701.289513888885</v>
      </c>
      <c r="B777" s="14">
        <v>3.6861111110000002</v>
      </c>
    </row>
    <row r="778" spans="1:2" x14ac:dyDescent="0.25">
      <c r="A778" s="15">
        <v>45701.289525462962</v>
      </c>
      <c r="B778" s="14">
        <v>2.6666666669999999</v>
      </c>
    </row>
    <row r="779" spans="1:2" x14ac:dyDescent="0.25">
      <c r="A779" s="15">
        <v>45701.289537037039</v>
      </c>
      <c r="B779" s="14">
        <v>1.7861111110000001</v>
      </c>
    </row>
    <row r="780" spans="1:2" x14ac:dyDescent="0.25">
      <c r="A780" s="15">
        <v>45701.289537037039</v>
      </c>
      <c r="B780" s="14">
        <v>0.91111111099999997</v>
      </c>
    </row>
    <row r="781" spans="1:2" x14ac:dyDescent="0.25">
      <c r="A781" s="15">
        <v>45701.289560185185</v>
      </c>
      <c r="B781" s="14">
        <v>0.17499999999999999</v>
      </c>
    </row>
    <row r="782" spans="1:2" x14ac:dyDescent="0.25">
      <c r="A782" s="15">
        <v>45701.289560185185</v>
      </c>
      <c r="B782" s="14">
        <v>0.2</v>
      </c>
    </row>
    <row r="783" spans="1:2" x14ac:dyDescent="0.25">
      <c r="A783" s="15">
        <v>45701.289571759262</v>
      </c>
      <c r="B783" s="14">
        <v>0.15833333299999999</v>
      </c>
    </row>
    <row r="784" spans="1:2" x14ac:dyDescent="0.25">
      <c r="A784" s="15">
        <v>45701.289571759262</v>
      </c>
      <c r="B784" s="14">
        <v>6.3888889000000004E-2</v>
      </c>
    </row>
    <row r="785" spans="1:2" x14ac:dyDescent="0.25">
      <c r="A785" s="15">
        <v>45701.289583333331</v>
      </c>
      <c r="B785" s="14">
        <v>0</v>
      </c>
    </row>
    <row r="786" spans="1:2" x14ac:dyDescent="0.25">
      <c r="A786" s="15">
        <v>45701.289872685185</v>
      </c>
      <c r="B786" s="14">
        <v>0.73611111100000004</v>
      </c>
    </row>
    <row r="787" spans="1:2" x14ac:dyDescent="0.25">
      <c r="A787" s="15">
        <v>45701.289872685185</v>
      </c>
      <c r="B787" s="14">
        <v>0.688888889</v>
      </c>
    </row>
    <row r="788" spans="1:2" x14ac:dyDescent="0.25">
      <c r="A788" s="15">
        <v>45701.289872685185</v>
      </c>
      <c r="B788" s="14">
        <v>1.377777778</v>
      </c>
    </row>
    <row r="789" spans="1:2" x14ac:dyDescent="0.25">
      <c r="A789" s="15">
        <v>45701.289895833332</v>
      </c>
      <c r="B789" s="14">
        <v>2.0944444440000001</v>
      </c>
    </row>
    <row r="790" spans="1:2" x14ac:dyDescent="0.25">
      <c r="A790" s="15">
        <v>45701.289907407408</v>
      </c>
      <c r="B790" s="14">
        <v>2.7416666670000001</v>
      </c>
    </row>
    <row r="791" spans="1:2" x14ac:dyDescent="0.25">
      <c r="A791" s="15">
        <v>45701.289907407408</v>
      </c>
      <c r="B791" s="14">
        <v>2.85</v>
      </c>
    </row>
    <row r="792" spans="1:2" x14ac:dyDescent="0.25">
      <c r="A792" s="15">
        <v>45701.289918981478</v>
      </c>
      <c r="B792" s="14">
        <v>3.377777778</v>
      </c>
    </row>
    <row r="793" spans="1:2" x14ac:dyDescent="0.25">
      <c r="A793" s="15">
        <v>45701.289930555555</v>
      </c>
      <c r="B793" s="14">
        <v>3.4472222220000002</v>
      </c>
    </row>
    <row r="794" spans="1:2" x14ac:dyDescent="0.25">
      <c r="A794" s="15">
        <v>45701.289942129632</v>
      </c>
      <c r="B794" s="14">
        <v>3.358333333</v>
      </c>
    </row>
    <row r="795" spans="1:2" x14ac:dyDescent="0.25">
      <c r="A795" s="15">
        <v>45701.289953703701</v>
      </c>
      <c r="B795" s="14">
        <v>3.4583333330000001</v>
      </c>
    </row>
    <row r="796" spans="1:2" x14ac:dyDescent="0.25">
      <c r="A796" s="15">
        <v>45701.289965277778</v>
      </c>
      <c r="B796" s="14">
        <v>3.4694444440000001</v>
      </c>
    </row>
    <row r="797" spans="1:2" x14ac:dyDescent="0.25">
      <c r="A797" s="15">
        <v>45701.289976851855</v>
      </c>
      <c r="B797" s="14">
        <v>3.3444444440000001</v>
      </c>
    </row>
    <row r="798" spans="1:2" x14ac:dyDescent="0.25">
      <c r="A798" s="15">
        <v>45701.289988425924</v>
      </c>
      <c r="B798" s="14">
        <v>3.2222222220000001</v>
      </c>
    </row>
    <row r="799" spans="1:2" x14ac:dyDescent="0.25">
      <c r="A799" s="15">
        <v>45701.29</v>
      </c>
      <c r="B799" s="14">
        <v>3.0916666670000001</v>
      </c>
    </row>
    <row r="800" spans="1:2" x14ac:dyDescent="0.25">
      <c r="A800" s="15">
        <v>45701.29</v>
      </c>
      <c r="B800" s="14">
        <v>3.1055555560000001</v>
      </c>
    </row>
    <row r="801" spans="1:2" x14ac:dyDescent="0.25">
      <c r="A801" s="15">
        <v>45701.290011574078</v>
      </c>
      <c r="B801" s="14">
        <v>2.9750000000000001</v>
      </c>
    </row>
    <row r="802" spans="1:2" x14ac:dyDescent="0.25">
      <c r="A802" s="15">
        <v>45701.290023148147</v>
      </c>
      <c r="B802" s="14">
        <v>2.8472222220000001</v>
      </c>
    </row>
    <row r="803" spans="1:2" x14ac:dyDescent="0.25">
      <c r="A803" s="15">
        <v>45701.290034722224</v>
      </c>
      <c r="B803" s="14">
        <v>3.2027777780000002</v>
      </c>
    </row>
    <row r="804" spans="1:2" x14ac:dyDescent="0.25">
      <c r="A804" s="15">
        <v>45701.290046296293</v>
      </c>
      <c r="B804" s="14">
        <v>3.9555555560000002</v>
      </c>
    </row>
    <row r="805" spans="1:2" x14ac:dyDescent="0.25">
      <c r="A805" s="15">
        <v>45701.29005787037</v>
      </c>
      <c r="B805" s="14">
        <v>4.6888888890000002</v>
      </c>
    </row>
    <row r="806" spans="1:2" x14ac:dyDescent="0.25">
      <c r="A806" s="15">
        <v>45701.290069444447</v>
      </c>
      <c r="B806" s="14">
        <v>5.3361111110000001</v>
      </c>
    </row>
    <row r="807" spans="1:2" x14ac:dyDescent="0.25">
      <c r="A807" s="15">
        <v>45701.290069444447</v>
      </c>
      <c r="B807" s="14">
        <v>5.5583333330000002</v>
      </c>
    </row>
    <row r="808" spans="1:2" x14ac:dyDescent="0.25">
      <c r="A808" s="15">
        <v>45701.290081018517</v>
      </c>
      <c r="B808" s="14">
        <v>6.0527777780000003</v>
      </c>
    </row>
    <row r="809" spans="1:2" x14ac:dyDescent="0.25">
      <c r="A809" s="15">
        <v>45701.290081018517</v>
      </c>
      <c r="B809" s="14">
        <v>6.5611111109999998</v>
      </c>
    </row>
    <row r="810" spans="1:2" x14ac:dyDescent="0.25">
      <c r="A810" s="15">
        <v>45701.290092592593</v>
      </c>
      <c r="B810" s="14">
        <v>6.6222222220000004</v>
      </c>
    </row>
    <row r="811" spans="1:2" x14ac:dyDescent="0.25">
      <c r="A811" s="15">
        <v>45701.29010416667</v>
      </c>
      <c r="B811" s="14">
        <v>7.005555556</v>
      </c>
    </row>
    <row r="812" spans="1:2" x14ac:dyDescent="0.25">
      <c r="A812" s="15">
        <v>45701.29011574074</v>
      </c>
      <c r="B812" s="14">
        <v>7.4</v>
      </c>
    </row>
    <row r="813" spans="1:2" x14ac:dyDescent="0.25">
      <c r="A813" s="15">
        <v>45701.290127314816</v>
      </c>
      <c r="B813" s="14">
        <v>7.755555556</v>
      </c>
    </row>
    <row r="814" spans="1:2" x14ac:dyDescent="0.25">
      <c r="A814" s="15">
        <v>45701.290138888886</v>
      </c>
      <c r="B814" s="14">
        <v>7.9444444440000002</v>
      </c>
    </row>
    <row r="815" spans="1:2" x14ac:dyDescent="0.25">
      <c r="A815" s="15">
        <v>45701.290150462963</v>
      </c>
      <c r="B815" s="14">
        <v>8.2416666670000005</v>
      </c>
    </row>
    <row r="816" spans="1:2" x14ac:dyDescent="0.25">
      <c r="A816" s="15">
        <v>45701.290162037039</v>
      </c>
      <c r="B816" s="14">
        <v>8.6083333329999991</v>
      </c>
    </row>
    <row r="817" spans="1:2" x14ac:dyDescent="0.25">
      <c r="A817" s="15">
        <v>45701.290173611109</v>
      </c>
      <c r="B817" s="14">
        <v>9.1055555560000005</v>
      </c>
    </row>
    <row r="818" spans="1:2" x14ac:dyDescent="0.25">
      <c r="A818" s="15">
        <v>45701.290185185186</v>
      </c>
      <c r="B818" s="14">
        <v>9.6333333329999995</v>
      </c>
    </row>
    <row r="819" spans="1:2" x14ac:dyDescent="0.25">
      <c r="A819" s="15">
        <v>45701.290196759262</v>
      </c>
      <c r="B819" s="14">
        <v>10.19722222</v>
      </c>
    </row>
    <row r="820" spans="1:2" x14ac:dyDescent="0.25">
      <c r="A820" s="15">
        <v>45701.290208333332</v>
      </c>
      <c r="B820" s="14">
        <v>10.544444439999999</v>
      </c>
    </row>
    <row r="821" spans="1:2" x14ac:dyDescent="0.25">
      <c r="A821" s="15">
        <v>45701.290219907409</v>
      </c>
      <c r="B821" s="14">
        <v>10.858333330000001</v>
      </c>
    </row>
    <row r="822" spans="1:2" x14ac:dyDescent="0.25">
      <c r="A822" s="15">
        <v>45701.290219907409</v>
      </c>
      <c r="B822" s="14">
        <v>11.31666667</v>
      </c>
    </row>
    <row r="823" spans="1:2" x14ac:dyDescent="0.25">
      <c r="A823" s="15">
        <v>45701.290243055555</v>
      </c>
      <c r="B823" s="14">
        <v>11.688888889999999</v>
      </c>
    </row>
    <row r="824" spans="1:2" x14ac:dyDescent="0.25">
      <c r="A824" s="15">
        <v>45701.290254629632</v>
      </c>
      <c r="B824" s="14">
        <v>12</v>
      </c>
    </row>
    <row r="825" spans="1:2" x14ac:dyDescent="0.25">
      <c r="A825" s="15">
        <v>45701.290266203701</v>
      </c>
      <c r="B825" s="14">
        <v>12.20833333</v>
      </c>
    </row>
    <row r="826" spans="1:2" x14ac:dyDescent="0.25">
      <c r="A826" s="15">
        <v>45701.290277777778</v>
      </c>
      <c r="B826" s="14">
        <v>12.45277778</v>
      </c>
    </row>
    <row r="827" spans="1:2" x14ac:dyDescent="0.25">
      <c r="A827" s="15">
        <v>45701.290277777778</v>
      </c>
      <c r="B827" s="14">
        <v>12.461111109999999</v>
      </c>
    </row>
    <row r="828" spans="1:2" x14ac:dyDescent="0.25">
      <c r="A828" s="15">
        <v>45701.290277777778</v>
      </c>
      <c r="B828" s="14">
        <v>12.48611111</v>
      </c>
    </row>
    <row r="829" spans="1:2" x14ac:dyDescent="0.25">
      <c r="A829" s="15">
        <v>45701.290289351855</v>
      </c>
      <c r="B829" s="14">
        <v>12.68055556</v>
      </c>
    </row>
    <row r="830" spans="1:2" x14ac:dyDescent="0.25">
      <c r="A830" s="15">
        <v>45701.290300925924</v>
      </c>
      <c r="B830" s="14">
        <v>12.758333329999999</v>
      </c>
    </row>
    <row r="831" spans="1:2" x14ac:dyDescent="0.25">
      <c r="A831" s="15">
        <v>45701.290312500001</v>
      </c>
      <c r="B831" s="14">
        <v>12.78333333</v>
      </c>
    </row>
    <row r="832" spans="1:2" x14ac:dyDescent="0.25">
      <c r="A832" s="15">
        <v>45701.290312500001</v>
      </c>
      <c r="B832" s="14">
        <v>12.775</v>
      </c>
    </row>
    <row r="833" spans="1:2" x14ac:dyDescent="0.25">
      <c r="A833" s="15">
        <v>45701.290324074071</v>
      </c>
      <c r="B833" s="14">
        <v>12.73611111</v>
      </c>
    </row>
    <row r="834" spans="1:2" x14ac:dyDescent="0.25">
      <c r="A834" s="15">
        <v>45701.290335648147</v>
      </c>
      <c r="B834" s="14">
        <v>12.71944444</v>
      </c>
    </row>
    <row r="835" spans="1:2" x14ac:dyDescent="0.25">
      <c r="A835" s="15">
        <v>45701.290347222224</v>
      </c>
      <c r="B835" s="14">
        <v>12.67222222</v>
      </c>
    </row>
    <row r="836" spans="1:2" x14ac:dyDescent="0.25">
      <c r="A836" s="15">
        <v>45701.290358796294</v>
      </c>
      <c r="B836" s="14">
        <v>12.619444440000001</v>
      </c>
    </row>
    <row r="837" spans="1:2" x14ac:dyDescent="0.25">
      <c r="A837" s="15">
        <v>45701.290370370371</v>
      </c>
      <c r="B837" s="14">
        <v>12.580555560000001</v>
      </c>
    </row>
    <row r="838" spans="1:2" x14ac:dyDescent="0.25">
      <c r="A838" s="15">
        <v>45701.290370370371</v>
      </c>
      <c r="B838" s="14">
        <v>12.57222222</v>
      </c>
    </row>
    <row r="839" spans="1:2" x14ac:dyDescent="0.25">
      <c r="A839" s="15">
        <v>45701.290381944447</v>
      </c>
      <c r="B839" s="14">
        <v>12.53611111</v>
      </c>
    </row>
    <row r="840" spans="1:2" x14ac:dyDescent="0.25">
      <c r="A840" s="15">
        <v>45701.290381944447</v>
      </c>
      <c r="B840" s="14">
        <v>12.48888889</v>
      </c>
    </row>
    <row r="841" spans="1:2" x14ac:dyDescent="0.25">
      <c r="A841" s="15">
        <v>45701.290381944447</v>
      </c>
      <c r="B841" s="14">
        <v>12.46944444</v>
      </c>
    </row>
    <row r="842" spans="1:2" x14ac:dyDescent="0.25">
      <c r="A842" s="15">
        <v>45701.290393518517</v>
      </c>
      <c r="B842" s="14">
        <v>12.46388889</v>
      </c>
    </row>
    <row r="843" spans="1:2" x14ac:dyDescent="0.25">
      <c r="A843" s="15">
        <v>45701.290393518517</v>
      </c>
      <c r="B843" s="14">
        <v>12.455555560000001</v>
      </c>
    </row>
    <row r="844" spans="1:2" x14ac:dyDescent="0.25">
      <c r="A844" s="15">
        <v>45701.290393518517</v>
      </c>
      <c r="B844" s="14">
        <v>12.42777778</v>
      </c>
    </row>
    <row r="845" spans="1:2" x14ac:dyDescent="0.25">
      <c r="A845" s="15">
        <v>45701.290405092594</v>
      </c>
      <c r="B845" s="14">
        <v>12.358333330000001</v>
      </c>
    </row>
    <row r="846" spans="1:2" x14ac:dyDescent="0.25">
      <c r="A846" s="15">
        <v>45701.290416666663</v>
      </c>
      <c r="B846" s="14">
        <v>12.125</v>
      </c>
    </row>
    <row r="847" spans="1:2" x14ac:dyDescent="0.25">
      <c r="A847" s="15">
        <v>45701.29042824074</v>
      </c>
      <c r="B847" s="14">
        <v>11.69444444</v>
      </c>
    </row>
    <row r="848" spans="1:2" x14ac:dyDescent="0.25">
      <c r="A848" s="15">
        <v>45701.29042824074</v>
      </c>
      <c r="B848" s="14">
        <v>11.20833333</v>
      </c>
    </row>
    <row r="849" spans="1:2" x14ac:dyDescent="0.25">
      <c r="A849" s="15">
        <v>45701.290439814817</v>
      </c>
      <c r="B849" s="14">
        <v>11.188888889999999</v>
      </c>
    </row>
    <row r="850" spans="1:2" x14ac:dyDescent="0.25">
      <c r="A850" s="15">
        <v>45701.290451388886</v>
      </c>
      <c r="B850" s="14">
        <v>10.98611111</v>
      </c>
    </row>
    <row r="851" spans="1:2" x14ac:dyDescent="0.25">
      <c r="A851" s="15">
        <v>45701.290451388886</v>
      </c>
      <c r="B851" s="14">
        <v>10.96944444</v>
      </c>
    </row>
    <row r="852" spans="1:2" x14ac:dyDescent="0.25">
      <c r="A852" s="15">
        <v>45701.290462962963</v>
      </c>
      <c r="B852" s="14">
        <v>10.80277778</v>
      </c>
    </row>
    <row r="853" spans="1:2" x14ac:dyDescent="0.25">
      <c r="A853" s="15">
        <v>45701.29047453704</v>
      </c>
      <c r="B853" s="14">
        <v>10.574999999999999</v>
      </c>
    </row>
    <row r="854" spans="1:2" x14ac:dyDescent="0.25">
      <c r="A854" s="15">
        <v>45701.290486111109</v>
      </c>
      <c r="B854" s="14">
        <v>10.3</v>
      </c>
    </row>
    <row r="855" spans="1:2" x14ac:dyDescent="0.25">
      <c r="A855" s="15">
        <v>45701.290497685186</v>
      </c>
      <c r="B855" s="14">
        <v>10.04722222</v>
      </c>
    </row>
    <row r="856" spans="1:2" x14ac:dyDescent="0.25">
      <c r="A856" s="15">
        <v>45701.290509259263</v>
      </c>
      <c r="B856" s="14">
        <v>9.4055555559999995</v>
      </c>
    </row>
    <row r="857" spans="1:2" x14ac:dyDescent="0.25">
      <c r="A857" s="15">
        <v>45701.290520833332</v>
      </c>
      <c r="B857" s="14">
        <v>8.8388888889999997</v>
      </c>
    </row>
    <row r="858" spans="1:2" x14ac:dyDescent="0.25">
      <c r="A858" s="15">
        <v>45701.290532407409</v>
      </c>
      <c r="B858" s="14">
        <v>8.5250000000000004</v>
      </c>
    </row>
    <row r="859" spans="1:2" x14ac:dyDescent="0.25">
      <c r="A859" s="15">
        <v>45701.290543981479</v>
      </c>
      <c r="B859" s="14">
        <v>8.0888888889999997</v>
      </c>
    </row>
    <row r="860" spans="1:2" x14ac:dyDescent="0.25">
      <c r="A860" s="15">
        <v>45701.290555555555</v>
      </c>
      <c r="B860" s="14">
        <v>7.625</v>
      </c>
    </row>
    <row r="861" spans="1:2" x14ac:dyDescent="0.25">
      <c r="A861" s="15">
        <v>45701.290555555555</v>
      </c>
      <c r="B861" s="14">
        <v>7.6</v>
      </c>
    </row>
    <row r="862" spans="1:2" x14ac:dyDescent="0.25">
      <c r="A862" s="15">
        <v>45701.290567129632</v>
      </c>
      <c r="B862" s="14">
        <v>7.0805555560000002</v>
      </c>
    </row>
    <row r="863" spans="1:2" x14ac:dyDescent="0.25">
      <c r="A863" s="15">
        <v>45701.290578703702</v>
      </c>
      <c r="B863" s="14">
        <v>6.6111111109999996</v>
      </c>
    </row>
    <row r="864" spans="1:2" x14ac:dyDescent="0.25">
      <c r="A864" s="15">
        <v>45701.290590277778</v>
      </c>
      <c r="B864" s="14">
        <v>6.0805555560000002</v>
      </c>
    </row>
    <row r="865" spans="1:2" x14ac:dyDescent="0.25">
      <c r="A865" s="15">
        <v>45701.290601851855</v>
      </c>
      <c r="B865" s="14">
        <v>5.3</v>
      </c>
    </row>
    <row r="866" spans="1:2" x14ac:dyDescent="0.25">
      <c r="A866" s="15">
        <v>45701.290613425925</v>
      </c>
      <c r="B866" s="14">
        <v>4.2888888889999999</v>
      </c>
    </row>
    <row r="867" spans="1:2" x14ac:dyDescent="0.25">
      <c r="A867" s="15">
        <v>45701.290613425925</v>
      </c>
      <c r="B867" s="14">
        <v>3.8666666670000001</v>
      </c>
    </row>
    <row r="868" spans="1:2" x14ac:dyDescent="0.25">
      <c r="A868" s="15">
        <v>45701.290625000001</v>
      </c>
      <c r="B868" s="14">
        <v>3.611111111</v>
      </c>
    </row>
    <row r="869" spans="1:2" x14ac:dyDescent="0.25">
      <c r="A869" s="15">
        <v>45701.290625000001</v>
      </c>
      <c r="B869" s="14">
        <v>3.4472222220000002</v>
      </c>
    </row>
    <row r="870" spans="1:2" x14ac:dyDescent="0.25">
      <c r="A870" s="15">
        <v>45701.290636574071</v>
      </c>
      <c r="B870" s="14">
        <v>3.391666667</v>
      </c>
    </row>
    <row r="871" spans="1:2" x14ac:dyDescent="0.25">
      <c r="A871" s="15">
        <v>45701.290636574071</v>
      </c>
      <c r="B871" s="14">
        <v>3.3833333329999999</v>
      </c>
    </row>
    <row r="872" spans="1:2" x14ac:dyDescent="0.25">
      <c r="A872" s="15">
        <v>45701.290648148148</v>
      </c>
      <c r="B872" s="14">
        <v>3.3388888890000001</v>
      </c>
    </row>
    <row r="873" spans="1:2" x14ac:dyDescent="0.25">
      <c r="A873" s="15">
        <v>45701.290659722225</v>
      </c>
      <c r="B873" s="14">
        <v>3.494444444</v>
      </c>
    </row>
    <row r="874" spans="1:2" x14ac:dyDescent="0.25">
      <c r="A874" s="15">
        <v>45701.290671296294</v>
      </c>
      <c r="B874" s="14">
        <v>3.6666666669999999</v>
      </c>
    </row>
    <row r="875" spans="1:2" x14ac:dyDescent="0.25">
      <c r="A875" s="15">
        <v>45701.290671296294</v>
      </c>
      <c r="B875" s="14">
        <v>3.8027777779999998</v>
      </c>
    </row>
    <row r="876" spans="1:2" x14ac:dyDescent="0.25">
      <c r="A876" s="15">
        <v>45701.290694444448</v>
      </c>
      <c r="B876" s="14">
        <v>3.9527777780000002</v>
      </c>
    </row>
    <row r="877" spans="1:2" x14ac:dyDescent="0.25">
      <c r="A877" s="15">
        <v>45701.290694444448</v>
      </c>
      <c r="B877" s="14">
        <v>3.9611111110000001</v>
      </c>
    </row>
    <row r="878" spans="1:2" x14ac:dyDescent="0.25">
      <c r="A878" s="15">
        <v>45701.290706018517</v>
      </c>
      <c r="B878" s="14">
        <v>4.1472222219999999</v>
      </c>
    </row>
    <row r="879" spans="1:2" x14ac:dyDescent="0.25">
      <c r="A879" s="15">
        <v>45701.290717592594</v>
      </c>
      <c r="B879" s="14">
        <v>4.1638888889999999</v>
      </c>
    </row>
    <row r="880" spans="1:2" x14ac:dyDescent="0.25">
      <c r="A880" s="15">
        <v>45701.290717592594</v>
      </c>
      <c r="B880" s="14">
        <v>4.0999999999999996</v>
      </c>
    </row>
    <row r="881" spans="1:2" x14ac:dyDescent="0.25">
      <c r="A881" s="15">
        <v>45701.290729166663</v>
      </c>
      <c r="B881" s="14">
        <v>4.0805555560000002</v>
      </c>
    </row>
    <row r="882" spans="1:2" x14ac:dyDescent="0.25">
      <c r="A882" s="15">
        <v>45701.290729166663</v>
      </c>
      <c r="B882" s="14">
        <v>4.0777777779999997</v>
      </c>
    </row>
    <row r="883" spans="1:2" x14ac:dyDescent="0.25">
      <c r="A883" s="15">
        <v>45701.29074074074</v>
      </c>
      <c r="B883" s="14">
        <v>3.983333333</v>
      </c>
    </row>
    <row r="884" spans="1:2" x14ac:dyDescent="0.25">
      <c r="A884" s="15">
        <v>45701.29074074074</v>
      </c>
      <c r="B884" s="14">
        <v>3.9777777780000001</v>
      </c>
    </row>
    <row r="885" spans="1:2" x14ac:dyDescent="0.25">
      <c r="A885" s="15">
        <v>45701.29074074074</v>
      </c>
      <c r="B885" s="14">
        <v>3.5888888890000001</v>
      </c>
    </row>
    <row r="886" spans="1:2" x14ac:dyDescent="0.25">
      <c r="A886" s="15">
        <v>45701.290763888886</v>
      </c>
      <c r="B886" s="14">
        <v>3.8027777779999998</v>
      </c>
    </row>
    <row r="887" spans="1:2" x14ac:dyDescent="0.25">
      <c r="A887" s="15">
        <v>45701.290775462963</v>
      </c>
      <c r="B887" s="14">
        <v>3.7222222220000001</v>
      </c>
    </row>
    <row r="888" spans="1:2" x14ac:dyDescent="0.25">
      <c r="A888" s="15">
        <v>45701.29078703704</v>
      </c>
      <c r="B888" s="14">
        <v>3.6527777779999999</v>
      </c>
    </row>
    <row r="889" spans="1:2" x14ac:dyDescent="0.25">
      <c r="A889" s="15">
        <v>45701.29078703704</v>
      </c>
      <c r="B889" s="14">
        <v>3.6555555559999999</v>
      </c>
    </row>
    <row r="890" spans="1:2" x14ac:dyDescent="0.25">
      <c r="A890" s="15">
        <v>45701.290798611109</v>
      </c>
      <c r="B890" s="14">
        <v>3.5249999999999999</v>
      </c>
    </row>
    <row r="891" spans="1:2" x14ac:dyDescent="0.25">
      <c r="A891" s="15">
        <v>45701.290810185186</v>
      </c>
      <c r="B891" s="14">
        <v>3.4527777780000002</v>
      </c>
    </row>
    <row r="892" spans="1:2" x14ac:dyDescent="0.25">
      <c r="A892" s="15">
        <v>45701.290821759256</v>
      </c>
      <c r="B892" s="14">
        <v>3.0888888890000001</v>
      </c>
    </row>
    <row r="893" spans="1:2" x14ac:dyDescent="0.25">
      <c r="A893" s="15">
        <v>45701.290821759256</v>
      </c>
      <c r="B893" s="14">
        <v>3.2944444439999998</v>
      </c>
    </row>
    <row r="894" spans="1:2" x14ac:dyDescent="0.25">
      <c r="A894" s="15">
        <v>45701.290833333333</v>
      </c>
      <c r="B894" s="14">
        <v>3.3</v>
      </c>
    </row>
    <row r="895" spans="1:2" x14ac:dyDescent="0.25">
      <c r="A895" s="15">
        <v>45701.290844907409</v>
      </c>
      <c r="B895" s="14">
        <v>3.5083333329999999</v>
      </c>
    </row>
    <row r="896" spans="1:2" x14ac:dyDescent="0.25">
      <c r="A896" s="15">
        <v>45701.290856481479</v>
      </c>
      <c r="B896" s="14">
        <v>3.875</v>
      </c>
    </row>
    <row r="897" spans="1:2" x14ac:dyDescent="0.25">
      <c r="A897" s="15">
        <v>45701.290856481479</v>
      </c>
      <c r="B897" s="14">
        <v>3.8666666670000001</v>
      </c>
    </row>
    <row r="898" spans="1:2" x14ac:dyDescent="0.25">
      <c r="A898" s="15">
        <v>45701.290868055556</v>
      </c>
      <c r="B898" s="14">
        <v>4.0555555559999998</v>
      </c>
    </row>
    <row r="899" spans="1:2" x14ac:dyDescent="0.25">
      <c r="A899" s="15">
        <v>45701.290879629632</v>
      </c>
      <c r="B899" s="14">
        <v>4.136111111</v>
      </c>
    </row>
    <row r="900" spans="1:2" x14ac:dyDescent="0.25">
      <c r="A900" s="15">
        <v>45701.290891203702</v>
      </c>
      <c r="B900" s="14">
        <v>4.1166666669999996</v>
      </c>
    </row>
    <row r="901" spans="1:2" x14ac:dyDescent="0.25">
      <c r="A901" s="15">
        <v>45701.290902777779</v>
      </c>
      <c r="B901" s="14">
        <v>4.0361111110000003</v>
      </c>
    </row>
    <row r="902" spans="1:2" x14ac:dyDescent="0.25">
      <c r="A902" s="15">
        <v>45701.290902777779</v>
      </c>
      <c r="B902" s="14">
        <v>4.0388888889999999</v>
      </c>
    </row>
    <row r="903" spans="1:2" x14ac:dyDescent="0.25">
      <c r="A903" s="15">
        <v>45701.290914351855</v>
      </c>
      <c r="B903" s="14">
        <v>3.9694444440000001</v>
      </c>
    </row>
    <row r="904" spans="1:2" x14ac:dyDescent="0.25">
      <c r="A904" s="15">
        <v>45701.290914351855</v>
      </c>
      <c r="B904" s="14">
        <v>3.9666666670000001</v>
      </c>
    </row>
    <row r="905" spans="1:2" x14ac:dyDescent="0.25">
      <c r="A905" s="15">
        <v>45701.290914351855</v>
      </c>
      <c r="B905" s="14">
        <v>3.9416666669999998</v>
      </c>
    </row>
    <row r="906" spans="1:2" x14ac:dyDescent="0.25">
      <c r="A906" s="15">
        <v>45701.290925925925</v>
      </c>
      <c r="B906" s="14">
        <v>3.8944444439999999</v>
      </c>
    </row>
    <row r="907" spans="1:2" x14ac:dyDescent="0.25">
      <c r="A907" s="15">
        <v>45701.290925925925</v>
      </c>
      <c r="B907" s="14">
        <v>3.886111111</v>
      </c>
    </row>
    <row r="908" spans="1:2" x14ac:dyDescent="0.25">
      <c r="A908" s="15">
        <v>45701.290937500002</v>
      </c>
      <c r="B908" s="14">
        <v>3.986111111</v>
      </c>
    </row>
    <row r="909" spans="1:2" x14ac:dyDescent="0.25">
      <c r="A909" s="15">
        <v>45701.290937500002</v>
      </c>
      <c r="B909" s="14">
        <v>3.9638888890000001</v>
      </c>
    </row>
    <row r="910" spans="1:2" x14ac:dyDescent="0.25">
      <c r="A910" s="15">
        <v>45701.290949074071</v>
      </c>
      <c r="B910" s="14">
        <v>4.2916666670000003</v>
      </c>
    </row>
    <row r="911" spans="1:2" x14ac:dyDescent="0.25">
      <c r="A911" s="15">
        <v>45701.290960648148</v>
      </c>
      <c r="B911" s="14">
        <v>4.488888889</v>
      </c>
    </row>
    <row r="912" spans="1:2" x14ac:dyDescent="0.25">
      <c r="A912" s="15">
        <v>45701.290972222225</v>
      </c>
      <c r="B912" s="14">
        <v>4.6583333329999999</v>
      </c>
    </row>
    <row r="913" spans="1:2" x14ac:dyDescent="0.25">
      <c r="A913" s="15">
        <v>45701.290983796294</v>
      </c>
      <c r="B913" s="14">
        <v>5.0333333329999999</v>
      </c>
    </row>
    <row r="914" spans="1:2" x14ac:dyDescent="0.25">
      <c r="A914" s="15">
        <v>45701.290995370371</v>
      </c>
      <c r="B914" s="14">
        <v>5.2638888890000004</v>
      </c>
    </row>
    <row r="915" spans="1:2" x14ac:dyDescent="0.25">
      <c r="A915" s="15">
        <v>45701.290995370371</v>
      </c>
      <c r="B915" s="14">
        <v>5.2750000000000004</v>
      </c>
    </row>
    <row r="916" spans="1:2" x14ac:dyDescent="0.25">
      <c r="A916" s="15">
        <v>45701.291006944448</v>
      </c>
      <c r="B916" s="14">
        <v>5.4111111110000003</v>
      </c>
    </row>
    <row r="917" spans="1:2" x14ac:dyDescent="0.25">
      <c r="A917" s="15">
        <v>45701.291018518517</v>
      </c>
      <c r="B917" s="14">
        <v>5.5250000000000004</v>
      </c>
    </row>
    <row r="918" spans="1:2" x14ac:dyDescent="0.25">
      <c r="A918" s="15">
        <v>45701.291018518517</v>
      </c>
      <c r="B918" s="14">
        <v>5.5277777779999999</v>
      </c>
    </row>
    <row r="919" spans="1:2" x14ac:dyDescent="0.25">
      <c r="A919" s="15">
        <v>45701.291030092594</v>
      </c>
      <c r="B919" s="14">
        <v>5.5833333329999997</v>
      </c>
    </row>
    <row r="920" spans="1:2" x14ac:dyDescent="0.25">
      <c r="A920" s="15">
        <v>45701.291041666664</v>
      </c>
      <c r="B920" s="14">
        <v>5.641666667</v>
      </c>
    </row>
    <row r="921" spans="1:2" x14ac:dyDescent="0.25">
      <c r="A921" s="15">
        <v>45701.291041666664</v>
      </c>
      <c r="B921" s="14">
        <v>5.636111111</v>
      </c>
    </row>
    <row r="922" spans="1:2" x14ac:dyDescent="0.25">
      <c r="A922" s="15">
        <v>45701.29105324074</v>
      </c>
      <c r="B922" s="14">
        <v>5.6583333329999999</v>
      </c>
    </row>
    <row r="923" spans="1:2" x14ac:dyDescent="0.25">
      <c r="A923" s="15">
        <v>45701.29105324074</v>
      </c>
      <c r="B923" s="14">
        <v>5.6555555560000004</v>
      </c>
    </row>
    <row r="924" spans="1:2" x14ac:dyDescent="0.25">
      <c r="A924" s="15">
        <v>45701.291064814817</v>
      </c>
      <c r="B924" s="14">
        <v>5.6444444440000003</v>
      </c>
    </row>
    <row r="925" spans="1:2" x14ac:dyDescent="0.25">
      <c r="A925" s="15">
        <v>45701.291076388887</v>
      </c>
      <c r="B925" s="14">
        <v>5.494444444</v>
      </c>
    </row>
    <row r="926" spans="1:2" x14ac:dyDescent="0.25">
      <c r="A926" s="15">
        <v>45701.291087962964</v>
      </c>
      <c r="B926" s="14">
        <v>5.4444444440000002</v>
      </c>
    </row>
    <row r="927" spans="1:2" x14ac:dyDescent="0.25">
      <c r="A927" s="15">
        <v>45701.29109953704</v>
      </c>
      <c r="B927" s="14">
        <v>5.4416666669999998</v>
      </c>
    </row>
    <row r="928" spans="1:2" x14ac:dyDescent="0.25">
      <c r="A928" s="15">
        <v>45701.29111111111</v>
      </c>
      <c r="B928" s="14">
        <v>5.4583333329999997</v>
      </c>
    </row>
    <row r="929" spans="1:2" x14ac:dyDescent="0.25">
      <c r="A929" s="15">
        <v>45701.291122685187</v>
      </c>
      <c r="B929" s="14">
        <v>5.494444444</v>
      </c>
    </row>
    <row r="930" spans="1:2" x14ac:dyDescent="0.25">
      <c r="A930" s="15">
        <v>45701.291134259256</v>
      </c>
      <c r="B930" s="14">
        <v>5.5388888889999999</v>
      </c>
    </row>
    <row r="931" spans="1:2" x14ac:dyDescent="0.25">
      <c r="A931" s="15">
        <v>45701.291145833333</v>
      </c>
      <c r="B931" s="14">
        <v>5.5777777779999997</v>
      </c>
    </row>
    <row r="932" spans="1:2" x14ac:dyDescent="0.25">
      <c r="A932" s="15">
        <v>45701.291145833333</v>
      </c>
      <c r="B932" s="14">
        <v>5.5694444440000002</v>
      </c>
    </row>
    <row r="933" spans="1:2" x14ac:dyDescent="0.25">
      <c r="A933" s="15">
        <v>45701.291145833333</v>
      </c>
      <c r="B933" s="14">
        <v>5.6722222220000003</v>
      </c>
    </row>
    <row r="934" spans="1:2" x14ac:dyDescent="0.25">
      <c r="A934" s="15">
        <v>45701.291168981479</v>
      </c>
      <c r="B934" s="14">
        <v>5.7972222220000003</v>
      </c>
    </row>
    <row r="935" spans="1:2" x14ac:dyDescent="0.25">
      <c r="A935" s="15">
        <v>45701.291180555556</v>
      </c>
      <c r="B935" s="14">
        <v>5.880555556</v>
      </c>
    </row>
    <row r="936" spans="1:2" x14ac:dyDescent="0.25">
      <c r="A936" s="15">
        <v>45701.291180555556</v>
      </c>
      <c r="B936" s="14">
        <v>5.9277777780000003</v>
      </c>
    </row>
    <row r="937" spans="1:2" x14ac:dyDescent="0.25">
      <c r="A937" s="15">
        <v>45701.291192129633</v>
      </c>
      <c r="B937" s="14">
        <v>5.9055555560000004</v>
      </c>
    </row>
    <row r="938" spans="1:2" x14ac:dyDescent="0.25">
      <c r="A938" s="15">
        <v>45701.291203703702</v>
      </c>
      <c r="B938" s="14">
        <v>5.8972222219999999</v>
      </c>
    </row>
    <row r="939" spans="1:2" x14ac:dyDescent="0.25">
      <c r="A939" s="15">
        <v>45701.291215277779</v>
      </c>
      <c r="B939" s="14">
        <v>5.9222222220000003</v>
      </c>
    </row>
    <row r="940" spans="1:2" x14ac:dyDescent="0.25">
      <c r="A940" s="15">
        <v>45701.291215277779</v>
      </c>
      <c r="B940" s="14">
        <v>5.9166666670000003</v>
      </c>
    </row>
    <row r="941" spans="1:2" x14ac:dyDescent="0.25">
      <c r="A941" s="15">
        <v>45701.291226851848</v>
      </c>
      <c r="B941" s="14">
        <v>5.7916666670000003</v>
      </c>
    </row>
    <row r="942" spans="1:2" x14ac:dyDescent="0.25">
      <c r="A942" s="15">
        <v>45701.291238425925</v>
      </c>
      <c r="B942" s="14">
        <v>5.6055555559999997</v>
      </c>
    </row>
    <row r="943" spans="1:2" x14ac:dyDescent="0.25">
      <c r="A943" s="15">
        <v>45701.291238425925</v>
      </c>
      <c r="B943" s="14">
        <v>5.5583333330000002</v>
      </c>
    </row>
    <row r="944" spans="1:2" x14ac:dyDescent="0.25">
      <c r="A944" s="15">
        <v>45701.291238425925</v>
      </c>
      <c r="B944" s="14">
        <v>5.3194444440000002</v>
      </c>
    </row>
    <row r="945" spans="1:2" x14ac:dyDescent="0.25">
      <c r="A945" s="15">
        <v>45701.291261574072</v>
      </c>
      <c r="B945" s="14">
        <v>4.8833333330000004</v>
      </c>
    </row>
    <row r="946" spans="1:2" x14ac:dyDescent="0.25">
      <c r="A946" s="15">
        <v>45701.291273148148</v>
      </c>
      <c r="B946" s="14">
        <v>4.3888888890000004</v>
      </c>
    </row>
    <row r="947" spans="1:2" x14ac:dyDescent="0.25">
      <c r="A947" s="15">
        <v>45701.291284722225</v>
      </c>
      <c r="B947" s="14">
        <v>3.763888889</v>
      </c>
    </row>
    <row r="948" spans="1:2" x14ac:dyDescent="0.25">
      <c r="A948" s="15">
        <v>45701.291296296295</v>
      </c>
      <c r="B948" s="14">
        <v>2.997222222</v>
      </c>
    </row>
    <row r="949" spans="1:2" x14ac:dyDescent="0.25">
      <c r="A949" s="15">
        <v>45701.291307870371</v>
      </c>
      <c r="B949" s="14">
        <v>2.119444444</v>
      </c>
    </row>
    <row r="950" spans="1:2" x14ac:dyDescent="0.25">
      <c r="A950" s="15">
        <v>45701.291319444441</v>
      </c>
      <c r="B950" s="14">
        <v>1.6333333329999999</v>
      </c>
    </row>
    <row r="951" spans="1:2" x14ac:dyDescent="0.25">
      <c r="A951" s="15">
        <v>45701.291331018518</v>
      </c>
      <c r="B951" s="14">
        <v>1.0861111109999999</v>
      </c>
    </row>
    <row r="952" spans="1:2" x14ac:dyDescent="0.25">
      <c r="A952" s="15">
        <v>45701.291342592594</v>
      </c>
      <c r="B952" s="14">
        <v>0.30555555600000001</v>
      </c>
    </row>
    <row r="953" spans="1:2" x14ac:dyDescent="0.25">
      <c r="A953" s="15">
        <v>45701.291354166664</v>
      </c>
      <c r="B953" s="14">
        <v>0.17499999999999999</v>
      </c>
    </row>
    <row r="954" spans="1:2" x14ac:dyDescent="0.25">
      <c r="A954" s="15">
        <v>45701.291354166664</v>
      </c>
      <c r="B954" s="14">
        <v>0</v>
      </c>
    </row>
    <row r="955" spans="1:2" x14ac:dyDescent="0.25">
      <c r="A955" s="15">
        <v>45701.291666666664</v>
      </c>
      <c r="B955" s="14">
        <v>0.21666666700000001</v>
      </c>
    </row>
    <row r="956" spans="1:2" x14ac:dyDescent="0.25">
      <c r="A956" s="15">
        <v>45701.291666666664</v>
      </c>
      <c r="B956" s="14">
        <v>0.76388888899999996</v>
      </c>
    </row>
    <row r="957" spans="1:2" x14ac:dyDescent="0.25">
      <c r="A957" s="15">
        <v>45701.291666666664</v>
      </c>
      <c r="B957" s="14">
        <v>1.247222222</v>
      </c>
    </row>
    <row r="958" spans="1:2" x14ac:dyDescent="0.25">
      <c r="A958" s="15">
        <v>45701.291678240741</v>
      </c>
      <c r="B958" s="14">
        <v>1.3972222219999999</v>
      </c>
    </row>
    <row r="959" spans="1:2" x14ac:dyDescent="0.25">
      <c r="A959" s="15">
        <v>45701.291689814818</v>
      </c>
      <c r="B959" s="14">
        <v>2.5555555559999998</v>
      </c>
    </row>
    <row r="960" spans="1:2" x14ac:dyDescent="0.25">
      <c r="A960" s="15">
        <v>45701.291689814818</v>
      </c>
      <c r="B960" s="14">
        <v>3.7583333329999999</v>
      </c>
    </row>
    <row r="961" spans="1:2" x14ac:dyDescent="0.25">
      <c r="A961" s="15">
        <v>45701.291712962964</v>
      </c>
      <c r="B961" s="14">
        <v>5.1444444440000003</v>
      </c>
    </row>
    <row r="962" spans="1:2" x14ac:dyDescent="0.25">
      <c r="A962" s="15">
        <v>45701.291724537034</v>
      </c>
      <c r="B962" s="14">
        <v>6.1333333330000004</v>
      </c>
    </row>
    <row r="963" spans="1:2" x14ac:dyDescent="0.25">
      <c r="A963" s="15">
        <v>45701.291724537034</v>
      </c>
      <c r="B963" s="14">
        <v>6.2944444439999998</v>
      </c>
    </row>
    <row r="964" spans="1:2" x14ac:dyDescent="0.25">
      <c r="A964" s="15">
        <v>45701.29173611111</v>
      </c>
      <c r="B964" s="14">
        <v>7.2777777779999999</v>
      </c>
    </row>
    <row r="965" spans="1:2" x14ac:dyDescent="0.25">
      <c r="A965" s="15">
        <v>45701.291747685187</v>
      </c>
      <c r="B965" s="14">
        <v>8.3277777779999997</v>
      </c>
    </row>
    <row r="966" spans="1:2" x14ac:dyDescent="0.25">
      <c r="A966" s="15">
        <v>45701.291759259257</v>
      </c>
      <c r="B966" s="14">
        <v>9.1999999999999993</v>
      </c>
    </row>
    <row r="967" spans="1:2" x14ac:dyDescent="0.25">
      <c r="A967" s="15">
        <v>45701.291770833333</v>
      </c>
      <c r="B967" s="14">
        <v>10.07777778</v>
      </c>
    </row>
    <row r="968" spans="1:2" x14ac:dyDescent="0.25">
      <c r="A968" s="15">
        <v>45701.29178240741</v>
      </c>
      <c r="B968" s="14">
        <v>10.94722222</v>
      </c>
    </row>
    <row r="969" spans="1:2" x14ac:dyDescent="0.25">
      <c r="A969" s="15">
        <v>45701.29179398148</v>
      </c>
      <c r="B969" s="14">
        <v>11.824999999999999</v>
      </c>
    </row>
    <row r="970" spans="1:2" x14ac:dyDescent="0.25">
      <c r="A970" s="15">
        <v>45701.29179398148</v>
      </c>
      <c r="B970" s="14">
        <v>11.880555559999999</v>
      </c>
    </row>
    <row r="971" spans="1:2" x14ac:dyDescent="0.25">
      <c r="A971" s="15">
        <v>45701.291805555556</v>
      </c>
      <c r="B971" s="14">
        <v>12.777777779999999</v>
      </c>
    </row>
    <row r="972" spans="1:2" x14ac:dyDescent="0.25">
      <c r="A972" s="15">
        <v>45701.291805555556</v>
      </c>
      <c r="B972" s="14">
        <v>12.847222220000001</v>
      </c>
    </row>
    <row r="973" spans="1:2" x14ac:dyDescent="0.25">
      <c r="A973" s="15">
        <v>45701.291817129626</v>
      </c>
      <c r="B973" s="14">
        <v>13.725</v>
      </c>
    </row>
    <row r="974" spans="1:2" x14ac:dyDescent="0.25">
      <c r="A974" s="15">
        <v>45701.291828703703</v>
      </c>
      <c r="B974" s="14">
        <v>14.52222222</v>
      </c>
    </row>
    <row r="975" spans="1:2" x14ac:dyDescent="0.25">
      <c r="A975" s="15">
        <v>45701.29184027778</v>
      </c>
      <c r="B975" s="14">
        <v>15.28611111</v>
      </c>
    </row>
    <row r="976" spans="1:2" x14ac:dyDescent="0.25">
      <c r="A976" s="15">
        <v>45701.29184027778</v>
      </c>
      <c r="B976" s="14">
        <v>15.63888889</v>
      </c>
    </row>
    <row r="977" spans="1:2" x14ac:dyDescent="0.25">
      <c r="A977" s="15">
        <v>45701.291863425926</v>
      </c>
      <c r="B977" s="14">
        <v>16.038888889999999</v>
      </c>
    </row>
    <row r="978" spans="1:2" x14ac:dyDescent="0.25">
      <c r="A978" s="15">
        <v>45701.291875000003</v>
      </c>
      <c r="B978" s="14">
        <v>16.313888890000001</v>
      </c>
    </row>
    <row r="979" spans="1:2" x14ac:dyDescent="0.25">
      <c r="A979" s="15">
        <v>45701.291875000003</v>
      </c>
      <c r="B979" s="14">
        <v>16.55833333</v>
      </c>
    </row>
    <row r="980" spans="1:2" x14ac:dyDescent="0.25">
      <c r="A980" s="15">
        <v>45701.291886574072</v>
      </c>
      <c r="B980" s="14">
        <v>16.644444440000001</v>
      </c>
    </row>
    <row r="981" spans="1:2" x14ac:dyDescent="0.25">
      <c r="A981" s="15">
        <v>45701.291898148149</v>
      </c>
      <c r="B981" s="14">
        <v>16.938888890000001</v>
      </c>
    </row>
    <row r="982" spans="1:2" x14ac:dyDescent="0.25">
      <c r="A982" s="15">
        <v>45701.291909722226</v>
      </c>
      <c r="B982" s="14">
        <v>17.244444439999999</v>
      </c>
    </row>
    <row r="983" spans="1:2" x14ac:dyDescent="0.25">
      <c r="A983" s="15">
        <v>45701.291921296295</v>
      </c>
      <c r="B983" s="14">
        <v>17.31666667</v>
      </c>
    </row>
    <row r="984" spans="1:2" x14ac:dyDescent="0.25">
      <c r="A984" s="15">
        <v>45701.291932870372</v>
      </c>
      <c r="B984" s="14">
        <v>17.358333330000001</v>
      </c>
    </row>
    <row r="985" spans="1:2" x14ac:dyDescent="0.25">
      <c r="A985" s="15">
        <v>45701.291944444441</v>
      </c>
      <c r="B985" s="14">
        <v>17.383333329999999</v>
      </c>
    </row>
    <row r="986" spans="1:2" x14ac:dyDescent="0.25">
      <c r="A986" s="15">
        <v>45701.291956018518</v>
      </c>
      <c r="B986" s="14">
        <v>17.39722222</v>
      </c>
    </row>
    <row r="987" spans="1:2" x14ac:dyDescent="0.25">
      <c r="A987" s="15">
        <v>45701.291967592595</v>
      </c>
      <c r="B987" s="14">
        <v>17.458333329999999</v>
      </c>
    </row>
    <row r="988" spans="1:2" x14ac:dyDescent="0.25">
      <c r="A988" s="15">
        <v>45701.291979166665</v>
      </c>
      <c r="B988" s="14">
        <v>17.53611111</v>
      </c>
    </row>
    <row r="989" spans="1:2" x14ac:dyDescent="0.25">
      <c r="A989" s="15">
        <v>45701.291990740741</v>
      </c>
      <c r="B989" s="14">
        <v>17.505555560000001</v>
      </c>
    </row>
    <row r="990" spans="1:2" x14ac:dyDescent="0.25">
      <c r="A990" s="15">
        <v>45701.292002314818</v>
      </c>
      <c r="B990" s="14">
        <v>17.327777780000002</v>
      </c>
    </row>
    <row r="991" spans="1:2" x14ac:dyDescent="0.25">
      <c r="A991" s="15">
        <v>45701.292002314818</v>
      </c>
      <c r="B991" s="14">
        <v>17.230555559999999</v>
      </c>
    </row>
    <row r="992" spans="1:2" x14ac:dyDescent="0.25">
      <c r="A992" s="15">
        <v>45701.292025462964</v>
      </c>
      <c r="B992" s="14">
        <v>17.097222219999999</v>
      </c>
    </row>
    <row r="993" spans="1:2" x14ac:dyDescent="0.25">
      <c r="A993" s="15">
        <v>45701.292037037034</v>
      </c>
      <c r="B993" s="14">
        <v>17.044444439999999</v>
      </c>
    </row>
    <row r="994" spans="1:2" x14ac:dyDescent="0.25">
      <c r="A994" s="15">
        <v>45701.292048611111</v>
      </c>
      <c r="B994" s="14">
        <v>16.983333330000001</v>
      </c>
    </row>
    <row r="995" spans="1:2" x14ac:dyDescent="0.25">
      <c r="A995" s="15">
        <v>45701.292048611111</v>
      </c>
      <c r="B995" s="14">
        <v>16.891666669999999</v>
      </c>
    </row>
    <row r="996" spans="1:2" x14ac:dyDescent="0.25">
      <c r="A996" s="15">
        <v>45701.292048611111</v>
      </c>
      <c r="B996" s="14">
        <v>16.78055556</v>
      </c>
    </row>
    <row r="997" spans="1:2" x14ac:dyDescent="0.25">
      <c r="A997" s="15">
        <v>45701.292060185187</v>
      </c>
      <c r="B997" s="14">
        <v>16.55277778</v>
      </c>
    </row>
    <row r="998" spans="1:2" x14ac:dyDescent="0.25">
      <c r="A998" s="15">
        <v>45701.292071759257</v>
      </c>
      <c r="B998" s="14">
        <v>16.02222222</v>
      </c>
    </row>
    <row r="999" spans="1:2" x14ac:dyDescent="0.25">
      <c r="A999" s="15">
        <v>45701.292083333334</v>
      </c>
      <c r="B999" s="14">
        <v>15.29166667</v>
      </c>
    </row>
    <row r="1000" spans="1:2" x14ac:dyDescent="0.25">
      <c r="A1000" s="15">
        <v>45701.292094907411</v>
      </c>
      <c r="B1000" s="14">
        <v>14.69166667</v>
      </c>
    </row>
    <row r="1001" spans="1:2" x14ac:dyDescent="0.25">
      <c r="A1001" s="15">
        <v>45701.292094907411</v>
      </c>
      <c r="B1001" s="14">
        <v>14.080555560000001</v>
      </c>
    </row>
    <row r="1002" spans="1:2" x14ac:dyDescent="0.25">
      <c r="A1002" s="15">
        <v>45701.29210648148</v>
      </c>
      <c r="B1002" s="14">
        <v>13.983333330000001</v>
      </c>
    </row>
    <row r="1003" spans="1:2" x14ac:dyDescent="0.25">
      <c r="A1003" s="15">
        <v>45701.292118055557</v>
      </c>
      <c r="B1003" s="14">
        <v>13.494444440000001</v>
      </c>
    </row>
    <row r="1004" spans="1:2" x14ac:dyDescent="0.25">
      <c r="A1004" s="15">
        <v>45701.292129629626</v>
      </c>
      <c r="B1004" s="14">
        <v>13.063888889999999</v>
      </c>
    </row>
    <row r="1005" spans="1:2" x14ac:dyDescent="0.25">
      <c r="A1005" s="15">
        <v>45701.292129629626</v>
      </c>
      <c r="B1005" s="14">
        <v>12.89722222</v>
      </c>
    </row>
    <row r="1006" spans="1:2" x14ac:dyDescent="0.25">
      <c r="A1006" s="15">
        <v>45701.292141203703</v>
      </c>
      <c r="B1006" s="14">
        <v>12.80833333</v>
      </c>
    </row>
    <row r="1007" spans="1:2" x14ac:dyDescent="0.25">
      <c r="A1007" s="15">
        <v>45701.29215277778</v>
      </c>
      <c r="B1007" s="14">
        <v>12.79722222</v>
      </c>
    </row>
    <row r="1008" spans="1:2" x14ac:dyDescent="0.25">
      <c r="A1008" s="15">
        <v>45701.292164351849</v>
      </c>
      <c r="B1008" s="14">
        <v>12.80833333</v>
      </c>
    </row>
    <row r="1009" spans="1:2" x14ac:dyDescent="0.25">
      <c r="A1009" s="15">
        <v>45701.292175925926</v>
      </c>
      <c r="B1009" s="14">
        <v>12.813888889999999</v>
      </c>
    </row>
    <row r="1010" spans="1:2" x14ac:dyDescent="0.25">
      <c r="A1010" s="15">
        <v>45701.292187500003</v>
      </c>
      <c r="B1010" s="14">
        <v>12.824999999999999</v>
      </c>
    </row>
    <row r="1011" spans="1:2" x14ac:dyDescent="0.25">
      <c r="A1011" s="15">
        <v>45701.292199074072</v>
      </c>
      <c r="B1011" s="14">
        <v>12.8</v>
      </c>
    </row>
    <row r="1012" spans="1:2" x14ac:dyDescent="0.25">
      <c r="A1012" s="15">
        <v>45701.292210648149</v>
      </c>
      <c r="B1012" s="14">
        <v>12.77222222</v>
      </c>
    </row>
    <row r="1013" spans="1:2" x14ac:dyDescent="0.25">
      <c r="A1013" s="15">
        <v>45701.292222222219</v>
      </c>
      <c r="B1013" s="14">
        <v>12.747222219999999</v>
      </c>
    </row>
    <row r="1014" spans="1:2" x14ac:dyDescent="0.25">
      <c r="A1014" s="15">
        <v>45701.292222222219</v>
      </c>
      <c r="B1014" s="14">
        <v>12.725</v>
      </c>
    </row>
    <row r="1015" spans="1:2" x14ac:dyDescent="0.25">
      <c r="A1015" s="15">
        <v>45701.292245370372</v>
      </c>
      <c r="B1015" s="14">
        <v>12.991666670000001</v>
      </c>
    </row>
    <row r="1016" spans="1:2" x14ac:dyDescent="0.25">
      <c r="A1016" s="15">
        <v>45701.292245370372</v>
      </c>
      <c r="B1016" s="14">
        <v>13.991666670000001</v>
      </c>
    </row>
    <row r="1017" spans="1:2" x14ac:dyDescent="0.25">
      <c r="A1017" s="15">
        <v>45701.292268518519</v>
      </c>
      <c r="B1017" s="14">
        <v>14.84166667</v>
      </c>
    </row>
    <row r="1018" spans="1:2" x14ac:dyDescent="0.25">
      <c r="A1018" s="15">
        <v>45701.292280092595</v>
      </c>
      <c r="B1018" s="14">
        <v>15.747222219999999</v>
      </c>
    </row>
    <row r="1019" spans="1:2" x14ac:dyDescent="0.25">
      <c r="A1019" s="15">
        <v>45701.292291666665</v>
      </c>
      <c r="B1019" s="14">
        <v>16.27222222</v>
      </c>
    </row>
    <row r="1020" spans="1:2" x14ac:dyDescent="0.25">
      <c r="A1020" s="15">
        <v>45701.292303240742</v>
      </c>
      <c r="B1020" s="14">
        <v>16.483333330000001</v>
      </c>
    </row>
    <row r="1021" spans="1:2" x14ac:dyDescent="0.25">
      <c r="A1021" s="15">
        <v>45701.292314814818</v>
      </c>
      <c r="B1021" s="14">
        <v>16.494444439999999</v>
      </c>
    </row>
    <row r="1022" spans="1:2" x14ac:dyDescent="0.25">
      <c r="A1022" s="15">
        <v>45701.292326388888</v>
      </c>
      <c r="B1022" s="14">
        <v>16.46944444</v>
      </c>
    </row>
    <row r="1023" spans="1:2" x14ac:dyDescent="0.25">
      <c r="A1023" s="15">
        <v>45701.292337962965</v>
      </c>
      <c r="B1023" s="14">
        <v>16.42777778</v>
      </c>
    </row>
    <row r="1024" spans="1:2" x14ac:dyDescent="0.25">
      <c r="A1024" s="15">
        <v>45701.292337962965</v>
      </c>
      <c r="B1024" s="14">
        <v>16.38888889</v>
      </c>
    </row>
    <row r="1025" spans="1:2" x14ac:dyDescent="0.25">
      <c r="A1025" s="15">
        <v>45701.292349537034</v>
      </c>
      <c r="B1025" s="14">
        <v>16.383333329999999</v>
      </c>
    </row>
    <row r="1026" spans="1:2" x14ac:dyDescent="0.25">
      <c r="A1026" s="15">
        <v>45701.292349537034</v>
      </c>
      <c r="B1026" s="14">
        <v>16.355555559999999</v>
      </c>
    </row>
    <row r="1027" spans="1:2" x14ac:dyDescent="0.25">
      <c r="A1027" s="15">
        <v>45701.292361111111</v>
      </c>
      <c r="B1027" s="14">
        <v>16.3</v>
      </c>
    </row>
    <row r="1028" spans="1:2" x14ac:dyDescent="0.25">
      <c r="A1028" s="15">
        <v>45701.292361111111</v>
      </c>
      <c r="B1028" s="14">
        <v>16.277777780000001</v>
      </c>
    </row>
    <row r="1029" spans="1:2" x14ac:dyDescent="0.25">
      <c r="A1029" s="15">
        <v>45701.292372685188</v>
      </c>
      <c r="B1029" s="14">
        <v>15.98611111</v>
      </c>
    </row>
    <row r="1030" spans="1:2" x14ac:dyDescent="0.25">
      <c r="A1030" s="15">
        <v>45701.292372685188</v>
      </c>
      <c r="B1030" s="14">
        <v>15.97777778</v>
      </c>
    </row>
    <row r="1031" spans="1:2" x14ac:dyDescent="0.25">
      <c r="A1031" s="15">
        <v>45701.292384259257</v>
      </c>
      <c r="B1031" s="14">
        <v>15.722222220000001</v>
      </c>
    </row>
    <row r="1032" spans="1:2" x14ac:dyDescent="0.25">
      <c r="A1032" s="15">
        <v>45701.292395833334</v>
      </c>
      <c r="B1032" s="14">
        <v>15.605555560000001</v>
      </c>
    </row>
    <row r="1033" spans="1:2" x14ac:dyDescent="0.25">
      <c r="A1033" s="15">
        <v>45701.292407407411</v>
      </c>
      <c r="B1033" s="14">
        <v>15.11111111</v>
      </c>
    </row>
    <row r="1034" spans="1:2" x14ac:dyDescent="0.25">
      <c r="A1034" s="15">
        <v>45701.29241898148</v>
      </c>
      <c r="B1034" s="14">
        <v>14.59166667</v>
      </c>
    </row>
    <row r="1035" spans="1:2" x14ac:dyDescent="0.25">
      <c r="A1035" s="15">
        <v>45701.292430555557</v>
      </c>
      <c r="B1035" s="14">
        <v>13.730555560000001</v>
      </c>
    </row>
    <row r="1036" spans="1:2" x14ac:dyDescent="0.25">
      <c r="A1036" s="15">
        <v>45701.292430555557</v>
      </c>
      <c r="B1036" s="14">
        <v>13.68055556</v>
      </c>
    </row>
    <row r="1037" spans="1:2" x14ac:dyDescent="0.25">
      <c r="A1037" s="15">
        <v>45701.292442129627</v>
      </c>
      <c r="B1037" s="14">
        <v>12.71944444</v>
      </c>
    </row>
    <row r="1038" spans="1:2" x14ac:dyDescent="0.25">
      <c r="A1038" s="15">
        <v>45701.292442129627</v>
      </c>
      <c r="B1038" s="14">
        <v>12.061111110000001</v>
      </c>
    </row>
    <row r="1039" spans="1:2" x14ac:dyDescent="0.25">
      <c r="A1039" s="15">
        <v>45701.292453703703</v>
      </c>
      <c r="B1039" s="14">
        <v>11.85</v>
      </c>
    </row>
    <row r="1040" spans="1:2" x14ac:dyDescent="0.25">
      <c r="A1040" s="15">
        <v>45701.292453703703</v>
      </c>
      <c r="B1040" s="14">
        <v>11.78333333</v>
      </c>
    </row>
    <row r="1041" spans="1:2" x14ac:dyDescent="0.25">
      <c r="A1041" s="15">
        <v>45701.29246527778</v>
      </c>
      <c r="B1041" s="14">
        <v>11.652777779999999</v>
      </c>
    </row>
    <row r="1042" spans="1:2" x14ac:dyDescent="0.25">
      <c r="A1042" s="15">
        <v>45701.29246527778</v>
      </c>
      <c r="B1042" s="14">
        <v>11.68333333</v>
      </c>
    </row>
    <row r="1043" spans="1:2" x14ac:dyDescent="0.25">
      <c r="A1043" s="15">
        <v>45701.292488425926</v>
      </c>
      <c r="B1043" s="14">
        <v>11.71388889</v>
      </c>
    </row>
    <row r="1044" spans="1:2" x14ac:dyDescent="0.25">
      <c r="A1044" s="15">
        <v>45701.292488425926</v>
      </c>
      <c r="B1044" s="14">
        <v>11.82222222</v>
      </c>
    </row>
    <row r="1045" spans="1:2" x14ac:dyDescent="0.25">
      <c r="A1045" s="15">
        <v>45701.292511574073</v>
      </c>
      <c r="B1045" s="14">
        <v>11.94166667</v>
      </c>
    </row>
    <row r="1046" spans="1:2" x14ac:dyDescent="0.25">
      <c r="A1046" s="15">
        <v>45701.292523148149</v>
      </c>
      <c r="B1046" s="14">
        <v>12.6</v>
      </c>
    </row>
    <row r="1047" spans="1:2" x14ac:dyDescent="0.25">
      <c r="A1047" s="15">
        <v>45701.292534722219</v>
      </c>
      <c r="B1047" s="14">
        <v>13.18333333</v>
      </c>
    </row>
    <row r="1048" spans="1:2" x14ac:dyDescent="0.25">
      <c r="A1048" s="15">
        <v>45701.292546296296</v>
      </c>
      <c r="B1048" s="14">
        <v>13.127777780000001</v>
      </c>
    </row>
    <row r="1049" spans="1:2" x14ac:dyDescent="0.25">
      <c r="A1049" s="15">
        <v>45701.292546296296</v>
      </c>
      <c r="B1049" s="14">
        <v>13.10277778</v>
      </c>
    </row>
    <row r="1050" spans="1:2" x14ac:dyDescent="0.25">
      <c r="A1050" s="15">
        <v>45701.292557870373</v>
      </c>
      <c r="B1050" s="14">
        <v>13.29722222</v>
      </c>
    </row>
    <row r="1051" spans="1:2" x14ac:dyDescent="0.25">
      <c r="A1051" s="15">
        <v>45701.292569444442</v>
      </c>
      <c r="B1051" s="14">
        <v>14.10277778</v>
      </c>
    </row>
    <row r="1052" spans="1:2" x14ac:dyDescent="0.25">
      <c r="A1052" s="15">
        <v>45701.292581018519</v>
      </c>
      <c r="B1052" s="14">
        <v>14.92777778</v>
      </c>
    </row>
    <row r="1053" spans="1:2" x14ac:dyDescent="0.25">
      <c r="A1053" s="15">
        <v>45701.292592592596</v>
      </c>
      <c r="B1053" s="14">
        <v>15.324999999999999</v>
      </c>
    </row>
    <row r="1054" spans="1:2" x14ac:dyDescent="0.25">
      <c r="A1054" s="15">
        <v>45701.292604166665</v>
      </c>
      <c r="B1054" s="14">
        <v>15.53333333</v>
      </c>
    </row>
    <row r="1055" spans="1:2" x14ac:dyDescent="0.25">
      <c r="A1055" s="15">
        <v>45701.292615740742</v>
      </c>
      <c r="B1055" s="14">
        <v>15.71388889</v>
      </c>
    </row>
    <row r="1056" spans="1:2" x14ac:dyDescent="0.25">
      <c r="A1056" s="15">
        <v>45701.292627314811</v>
      </c>
      <c r="B1056" s="14">
        <v>15.811111110000001</v>
      </c>
    </row>
    <row r="1057" spans="1:2" x14ac:dyDescent="0.25">
      <c r="A1057" s="15">
        <v>45701.292638888888</v>
      </c>
      <c r="B1057" s="14">
        <v>15.902777779999999</v>
      </c>
    </row>
    <row r="1058" spans="1:2" x14ac:dyDescent="0.25">
      <c r="A1058" s="15">
        <v>45701.292650462965</v>
      </c>
      <c r="B1058" s="14">
        <v>15.96944444</v>
      </c>
    </row>
    <row r="1059" spans="1:2" x14ac:dyDescent="0.25">
      <c r="A1059" s="15">
        <v>45701.292662037034</v>
      </c>
      <c r="B1059" s="14">
        <v>15.777777779999999</v>
      </c>
    </row>
    <row r="1060" spans="1:2" x14ac:dyDescent="0.25">
      <c r="A1060" s="15">
        <v>45701.292673611111</v>
      </c>
      <c r="B1060" s="14">
        <v>15.497222219999999</v>
      </c>
    </row>
    <row r="1061" spans="1:2" x14ac:dyDescent="0.25">
      <c r="A1061" s="15">
        <v>45701.292685185188</v>
      </c>
      <c r="B1061" s="14">
        <v>15.230555560000001</v>
      </c>
    </row>
    <row r="1062" spans="1:2" x14ac:dyDescent="0.25">
      <c r="A1062" s="15">
        <v>45701.292696759258</v>
      </c>
      <c r="B1062" s="14">
        <v>15.04166667</v>
      </c>
    </row>
    <row r="1063" spans="1:2" x14ac:dyDescent="0.25">
      <c r="A1063" s="15">
        <v>45701.292708333334</v>
      </c>
      <c r="B1063" s="14">
        <v>14.80833333</v>
      </c>
    </row>
    <row r="1064" spans="1:2" x14ac:dyDescent="0.25">
      <c r="A1064" s="15">
        <v>45701.292708333334</v>
      </c>
      <c r="B1064" s="14">
        <v>14.68333333</v>
      </c>
    </row>
    <row r="1065" spans="1:2" x14ac:dyDescent="0.25">
      <c r="A1065" s="15">
        <v>45701.292719907404</v>
      </c>
      <c r="B1065" s="14">
        <v>14.675000000000001</v>
      </c>
    </row>
    <row r="1066" spans="1:2" x14ac:dyDescent="0.25">
      <c r="A1066" s="15">
        <v>45701.292731481481</v>
      </c>
      <c r="B1066" s="14">
        <v>14.42222222</v>
      </c>
    </row>
    <row r="1067" spans="1:2" x14ac:dyDescent="0.25">
      <c r="A1067" s="15">
        <v>45701.292731481481</v>
      </c>
      <c r="B1067" s="14">
        <v>14.366666670000001</v>
      </c>
    </row>
    <row r="1068" spans="1:2" x14ac:dyDescent="0.25">
      <c r="A1068" s="15">
        <v>45701.292743055557</v>
      </c>
      <c r="B1068" s="14">
        <v>14.152777779999999</v>
      </c>
    </row>
    <row r="1069" spans="1:2" x14ac:dyDescent="0.25">
      <c r="A1069" s="15">
        <v>45701.292754629627</v>
      </c>
      <c r="B1069" s="14">
        <v>13.741666670000001</v>
      </c>
    </row>
    <row r="1070" spans="1:2" x14ac:dyDescent="0.25">
      <c r="A1070" s="15">
        <v>45701.292754629627</v>
      </c>
      <c r="B1070" s="14">
        <v>13.30833333</v>
      </c>
    </row>
    <row r="1071" spans="1:2" x14ac:dyDescent="0.25">
      <c r="A1071" s="15">
        <v>45701.29277777778</v>
      </c>
      <c r="B1071" s="14">
        <v>13.074999999999999</v>
      </c>
    </row>
    <row r="1072" spans="1:2" x14ac:dyDescent="0.25">
      <c r="A1072" s="15">
        <v>45701.29277777778</v>
      </c>
      <c r="B1072" s="14">
        <v>12.891666669999999</v>
      </c>
    </row>
    <row r="1073" spans="1:2" x14ac:dyDescent="0.25">
      <c r="A1073" s="15">
        <v>45701.29277777778</v>
      </c>
      <c r="B1073" s="14">
        <v>12.211111109999999</v>
      </c>
    </row>
    <row r="1074" spans="1:2" x14ac:dyDescent="0.25">
      <c r="A1074" s="15">
        <v>45701.29278935185</v>
      </c>
      <c r="B1074" s="14">
        <v>12.08333333</v>
      </c>
    </row>
    <row r="1075" spans="1:2" x14ac:dyDescent="0.25">
      <c r="A1075" s="15">
        <v>45701.292800925927</v>
      </c>
      <c r="B1075" s="14">
        <v>11.205555560000001</v>
      </c>
    </row>
    <row r="1076" spans="1:2" x14ac:dyDescent="0.25">
      <c r="A1076" s="15">
        <v>45701.292800925927</v>
      </c>
      <c r="B1076" s="14">
        <v>11.080555560000001</v>
      </c>
    </row>
    <row r="1077" spans="1:2" x14ac:dyDescent="0.25">
      <c r="A1077" s="15">
        <v>45701.292812500003</v>
      </c>
      <c r="B1077" s="14">
        <v>10.29722222</v>
      </c>
    </row>
    <row r="1078" spans="1:2" x14ac:dyDescent="0.25">
      <c r="A1078" s="15">
        <v>45701.292812500003</v>
      </c>
      <c r="B1078" s="14">
        <v>10.23888889</v>
      </c>
    </row>
    <row r="1079" spans="1:2" x14ac:dyDescent="0.25">
      <c r="A1079" s="15">
        <v>45701.292824074073</v>
      </c>
      <c r="B1079" s="14">
        <v>9.3916666670000009</v>
      </c>
    </row>
    <row r="1080" spans="1:2" x14ac:dyDescent="0.25">
      <c r="A1080" s="15">
        <v>45701.29283564815</v>
      </c>
      <c r="B1080" s="14">
        <v>8.4055555559999995</v>
      </c>
    </row>
    <row r="1081" spans="1:2" x14ac:dyDescent="0.25">
      <c r="A1081" s="15">
        <v>45701.292847222219</v>
      </c>
      <c r="B1081" s="14">
        <v>7.5194444440000003</v>
      </c>
    </row>
    <row r="1082" spans="1:2" x14ac:dyDescent="0.25">
      <c r="A1082" s="15">
        <v>45701.292847222219</v>
      </c>
      <c r="B1082" s="14">
        <v>6.625</v>
      </c>
    </row>
    <row r="1083" spans="1:2" x14ac:dyDescent="0.25">
      <c r="A1083" s="15">
        <v>45701.292858796296</v>
      </c>
      <c r="B1083" s="14">
        <v>6.5805555560000002</v>
      </c>
    </row>
    <row r="1084" spans="1:2" x14ac:dyDescent="0.25">
      <c r="A1084" s="15">
        <v>45701.292870370373</v>
      </c>
      <c r="B1084" s="14">
        <v>5.7805555560000004</v>
      </c>
    </row>
    <row r="1085" spans="1:2" x14ac:dyDescent="0.25">
      <c r="A1085" s="15">
        <v>45701.292881944442</v>
      </c>
      <c r="B1085" s="14">
        <v>5.0722222219999997</v>
      </c>
    </row>
    <row r="1086" spans="1:2" x14ac:dyDescent="0.25">
      <c r="A1086" s="15">
        <v>45701.292893518519</v>
      </c>
      <c r="B1086" s="14">
        <v>4.3555555559999997</v>
      </c>
    </row>
    <row r="1087" spans="1:2" x14ac:dyDescent="0.25">
      <c r="A1087" s="15">
        <v>45701.292905092596</v>
      </c>
      <c r="B1087" s="14">
        <v>3.5388888889999999</v>
      </c>
    </row>
    <row r="1088" spans="1:2" x14ac:dyDescent="0.25">
      <c r="A1088" s="15">
        <v>45701.292916666665</v>
      </c>
      <c r="B1088" s="14">
        <v>2.8444444440000001</v>
      </c>
    </row>
    <row r="1089" spans="1:2" x14ac:dyDescent="0.25">
      <c r="A1089" s="15">
        <v>45701.292928240742</v>
      </c>
      <c r="B1089" s="14">
        <v>2.122222222</v>
      </c>
    </row>
    <row r="1090" spans="1:2" x14ac:dyDescent="0.25">
      <c r="A1090" s="15">
        <v>45701.292939814812</v>
      </c>
      <c r="B1090" s="14">
        <v>1.316666667</v>
      </c>
    </row>
    <row r="1091" spans="1:2" x14ac:dyDescent="0.25">
      <c r="A1091" s="15">
        <v>45701.292951388888</v>
      </c>
      <c r="B1091" s="14">
        <v>0.47222222200000002</v>
      </c>
    </row>
    <row r="1092" spans="1:2" x14ac:dyDescent="0.25">
      <c r="A1092" s="15">
        <v>45701.292962962965</v>
      </c>
      <c r="B1092" s="14">
        <v>5.5555555999999999E-2</v>
      </c>
    </row>
    <row r="1093" spans="1:2" x14ac:dyDescent="0.25">
      <c r="A1093" s="15">
        <v>45701.292974537035</v>
      </c>
      <c r="B1093" s="14">
        <v>4.7222222000000001E-2</v>
      </c>
    </row>
    <row r="1094" spans="1:2" x14ac:dyDescent="0.25">
      <c r="A1094" s="15">
        <v>45701.292986111112</v>
      </c>
      <c r="B1094" s="14">
        <v>0</v>
      </c>
    </row>
    <row r="1095" spans="1:2" x14ac:dyDescent="0.25">
      <c r="A1095" s="15">
        <v>45701.293182870373</v>
      </c>
      <c r="B1095" s="14">
        <v>0.29166666699999999</v>
      </c>
    </row>
    <row r="1096" spans="1:2" x14ac:dyDescent="0.25">
      <c r="A1096" s="15">
        <v>45701.293182870373</v>
      </c>
      <c r="B1096" s="14">
        <v>0.77222222200000001</v>
      </c>
    </row>
    <row r="1097" spans="1:2" x14ac:dyDescent="0.25">
      <c r="A1097" s="15">
        <v>45701.293194444443</v>
      </c>
      <c r="B1097" s="14">
        <v>1.386111111</v>
      </c>
    </row>
    <row r="1098" spans="1:2" x14ac:dyDescent="0.25">
      <c r="A1098" s="15">
        <v>45701.293206018519</v>
      </c>
      <c r="B1098" s="14">
        <v>2.6805555559999998</v>
      </c>
    </row>
    <row r="1099" spans="1:2" x14ac:dyDescent="0.25">
      <c r="A1099" s="15">
        <v>45701.293217592596</v>
      </c>
      <c r="B1099" s="14">
        <v>3.8277777780000002</v>
      </c>
    </row>
    <row r="1100" spans="1:2" x14ac:dyDescent="0.25">
      <c r="A1100" s="15">
        <v>45701.293229166666</v>
      </c>
      <c r="B1100" s="14">
        <v>4.9694444439999996</v>
      </c>
    </row>
    <row r="1101" spans="1:2" x14ac:dyDescent="0.25">
      <c r="A1101" s="15">
        <v>45701.293240740742</v>
      </c>
      <c r="B1101" s="14">
        <v>6.2055555560000002</v>
      </c>
    </row>
    <row r="1102" spans="1:2" x14ac:dyDescent="0.25">
      <c r="A1102" s="15">
        <v>45701.293240740742</v>
      </c>
      <c r="B1102" s="14">
        <v>6.3444444439999996</v>
      </c>
    </row>
    <row r="1103" spans="1:2" x14ac:dyDescent="0.25">
      <c r="A1103" s="15">
        <v>45701.293252314812</v>
      </c>
      <c r="B1103" s="14">
        <v>7.4416666669999998</v>
      </c>
    </row>
    <row r="1104" spans="1:2" x14ac:dyDescent="0.25">
      <c r="A1104" s="15">
        <v>45701.293252314812</v>
      </c>
      <c r="B1104" s="14">
        <v>7.6472222219999999</v>
      </c>
    </row>
    <row r="1105" spans="1:2" x14ac:dyDescent="0.25">
      <c r="A1105" s="15">
        <v>45701.293263888889</v>
      </c>
      <c r="B1105" s="14">
        <v>8.7166666670000001</v>
      </c>
    </row>
    <row r="1106" spans="1:2" x14ac:dyDescent="0.25">
      <c r="A1106" s="15">
        <v>45701.293275462966</v>
      </c>
      <c r="B1106" s="14">
        <v>10.08333333</v>
      </c>
    </row>
    <row r="1107" spans="1:2" x14ac:dyDescent="0.25">
      <c r="A1107" s="15">
        <v>45701.293287037035</v>
      </c>
      <c r="B1107" s="14">
        <v>11.28055556</v>
      </c>
    </row>
    <row r="1108" spans="1:2" x14ac:dyDescent="0.25">
      <c r="A1108" s="15">
        <v>45701.293298611112</v>
      </c>
      <c r="B1108" s="14">
        <v>12.725</v>
      </c>
    </row>
    <row r="1109" spans="1:2" x14ac:dyDescent="0.25">
      <c r="A1109" s="15">
        <v>45701.293310185189</v>
      </c>
      <c r="B1109" s="14">
        <v>13.65833333</v>
      </c>
    </row>
    <row r="1110" spans="1:2" x14ac:dyDescent="0.25">
      <c r="A1110" s="15">
        <v>45701.293321759258</v>
      </c>
      <c r="B1110" s="14">
        <v>14.63888889</v>
      </c>
    </row>
    <row r="1111" spans="1:2" x14ac:dyDescent="0.25">
      <c r="A1111" s="15">
        <v>45701.293333333335</v>
      </c>
      <c r="B1111" s="14">
        <v>15.4</v>
      </c>
    </row>
    <row r="1112" spans="1:2" x14ac:dyDescent="0.25">
      <c r="A1112" s="15">
        <v>45701.293344907404</v>
      </c>
      <c r="B1112" s="14">
        <v>16.14722222</v>
      </c>
    </row>
    <row r="1113" spans="1:2" x14ac:dyDescent="0.25">
      <c r="A1113" s="15">
        <v>45701.293344907404</v>
      </c>
      <c r="B1113" s="14">
        <v>16.680555559999998</v>
      </c>
    </row>
    <row r="1114" spans="1:2" x14ac:dyDescent="0.25">
      <c r="A1114" s="15">
        <v>45701.293356481481</v>
      </c>
      <c r="B1114" s="14">
        <v>16.68333333</v>
      </c>
    </row>
    <row r="1115" spans="1:2" x14ac:dyDescent="0.25">
      <c r="A1115" s="15">
        <v>45701.293368055558</v>
      </c>
      <c r="B1115" s="14">
        <v>17.016666669999999</v>
      </c>
    </row>
    <row r="1116" spans="1:2" x14ac:dyDescent="0.25">
      <c r="A1116" s="15">
        <v>45701.293379629627</v>
      </c>
      <c r="B1116" s="14">
        <v>17.438888890000001</v>
      </c>
    </row>
    <row r="1117" spans="1:2" x14ac:dyDescent="0.25">
      <c r="A1117" s="15">
        <v>45701.293391203704</v>
      </c>
      <c r="B1117" s="14">
        <v>17.78055556</v>
      </c>
    </row>
    <row r="1118" spans="1:2" x14ac:dyDescent="0.25">
      <c r="A1118" s="15">
        <v>45701.293391203704</v>
      </c>
      <c r="B1118" s="14">
        <v>18.01388889</v>
      </c>
    </row>
    <row r="1119" spans="1:2" x14ac:dyDescent="0.25">
      <c r="A1119" s="15">
        <v>45701.293402777781</v>
      </c>
      <c r="B1119" s="14">
        <v>18.005555560000001</v>
      </c>
    </row>
    <row r="1120" spans="1:2" x14ac:dyDescent="0.25">
      <c r="A1120" s="15">
        <v>45701.293414351851</v>
      </c>
      <c r="B1120" s="14">
        <v>18.288888889999999</v>
      </c>
    </row>
    <row r="1121" spans="1:2" x14ac:dyDescent="0.25">
      <c r="A1121" s="15">
        <v>45701.293414351851</v>
      </c>
      <c r="B1121" s="14">
        <v>18.305555559999998</v>
      </c>
    </row>
    <row r="1122" spans="1:2" x14ac:dyDescent="0.25">
      <c r="A1122" s="15">
        <v>45701.293425925927</v>
      </c>
      <c r="B1122" s="14">
        <v>18.524999999999999</v>
      </c>
    </row>
    <row r="1123" spans="1:2" x14ac:dyDescent="0.25">
      <c r="A1123" s="15">
        <v>45701.293437499997</v>
      </c>
      <c r="B1123" s="14">
        <v>18.725000000000001</v>
      </c>
    </row>
    <row r="1124" spans="1:2" x14ac:dyDescent="0.25">
      <c r="A1124" s="15">
        <v>45701.293449074074</v>
      </c>
      <c r="B1124" s="14">
        <v>18.930555559999998</v>
      </c>
    </row>
    <row r="1125" spans="1:2" x14ac:dyDescent="0.25">
      <c r="A1125" s="15">
        <v>45701.293449074074</v>
      </c>
      <c r="B1125" s="14">
        <v>18.869444439999999</v>
      </c>
    </row>
    <row r="1126" spans="1:2" x14ac:dyDescent="0.25">
      <c r="A1126" s="15">
        <v>45701.29346064815</v>
      </c>
      <c r="B1126" s="14">
        <v>18.86111111</v>
      </c>
    </row>
    <row r="1127" spans="1:2" x14ac:dyDescent="0.25">
      <c r="A1127" s="15">
        <v>45701.29347222222</v>
      </c>
      <c r="B1127" s="14">
        <v>18.93333333</v>
      </c>
    </row>
    <row r="1128" spans="1:2" x14ac:dyDescent="0.25">
      <c r="A1128" s="15">
        <v>45701.29347222222</v>
      </c>
      <c r="B1128" s="14">
        <v>18.89722222</v>
      </c>
    </row>
    <row r="1129" spans="1:2" x14ac:dyDescent="0.25">
      <c r="A1129" s="15">
        <v>45701.293483796297</v>
      </c>
      <c r="B1129" s="14">
        <v>18.875</v>
      </c>
    </row>
    <row r="1130" spans="1:2" x14ac:dyDescent="0.25">
      <c r="A1130" s="15">
        <v>45701.293495370373</v>
      </c>
      <c r="B1130" s="14">
        <v>18.847222219999999</v>
      </c>
    </row>
    <row r="1131" spans="1:2" x14ac:dyDescent="0.25">
      <c r="A1131" s="15">
        <v>45701.293495370373</v>
      </c>
      <c r="B1131" s="14">
        <v>18.84444444</v>
      </c>
    </row>
    <row r="1132" spans="1:2" x14ac:dyDescent="0.25">
      <c r="A1132" s="15">
        <v>45701.293506944443</v>
      </c>
      <c r="B1132" s="14">
        <v>18.794444439999999</v>
      </c>
    </row>
    <row r="1133" spans="1:2" x14ac:dyDescent="0.25">
      <c r="A1133" s="15">
        <v>45701.293506944443</v>
      </c>
      <c r="B1133" s="14">
        <v>18.78055556</v>
      </c>
    </row>
    <row r="1134" spans="1:2" x14ac:dyDescent="0.25">
      <c r="A1134" s="15">
        <v>45701.293506944443</v>
      </c>
      <c r="B1134" s="14">
        <v>18.78611111</v>
      </c>
    </row>
    <row r="1135" spans="1:2" x14ac:dyDescent="0.25">
      <c r="A1135" s="15">
        <v>45701.293530092589</v>
      </c>
      <c r="B1135" s="14">
        <v>18.725000000000001</v>
      </c>
    </row>
    <row r="1136" spans="1:2" x14ac:dyDescent="0.25">
      <c r="A1136" s="15">
        <v>45701.293541666666</v>
      </c>
      <c r="B1136" s="14">
        <v>18.69166667</v>
      </c>
    </row>
    <row r="1137" spans="1:2" x14ac:dyDescent="0.25">
      <c r="A1137" s="15">
        <v>45701.293553240743</v>
      </c>
      <c r="B1137" s="14">
        <v>18.580555560000001</v>
      </c>
    </row>
    <row r="1138" spans="1:2" x14ac:dyDescent="0.25">
      <c r="A1138" s="15">
        <v>45701.293553240743</v>
      </c>
      <c r="B1138" s="14">
        <v>18.60277778</v>
      </c>
    </row>
    <row r="1139" spans="1:2" x14ac:dyDescent="0.25">
      <c r="A1139" s="15">
        <v>45701.293576388889</v>
      </c>
      <c r="B1139" s="14">
        <v>18.497222220000001</v>
      </c>
    </row>
    <row r="1140" spans="1:2" x14ac:dyDescent="0.25">
      <c r="A1140" s="15">
        <v>45701.293587962966</v>
      </c>
      <c r="B1140" s="14">
        <v>18.33888889</v>
      </c>
    </row>
    <row r="1141" spans="1:2" x14ac:dyDescent="0.25">
      <c r="A1141" s="15">
        <v>45701.293599537035</v>
      </c>
      <c r="B1141" s="14">
        <v>18.19166667</v>
      </c>
    </row>
    <row r="1142" spans="1:2" x14ac:dyDescent="0.25">
      <c r="A1142" s="15">
        <v>45701.293611111112</v>
      </c>
      <c r="B1142" s="14">
        <v>18.06666667</v>
      </c>
    </row>
    <row r="1143" spans="1:2" x14ac:dyDescent="0.25">
      <c r="A1143" s="15">
        <v>45701.293622685182</v>
      </c>
      <c r="B1143" s="14">
        <v>17.936111109999999</v>
      </c>
    </row>
    <row r="1144" spans="1:2" x14ac:dyDescent="0.25">
      <c r="A1144" s="15">
        <v>45701.293634259258</v>
      </c>
      <c r="B1144" s="14">
        <v>17.76388889</v>
      </c>
    </row>
    <row r="1145" spans="1:2" x14ac:dyDescent="0.25">
      <c r="A1145" s="15">
        <v>45701.293645833335</v>
      </c>
      <c r="B1145" s="14">
        <v>17.600000000000001</v>
      </c>
    </row>
    <row r="1146" spans="1:2" x14ac:dyDescent="0.25">
      <c r="A1146" s="15">
        <v>45701.293645833335</v>
      </c>
      <c r="B1146" s="14">
        <v>17.583333329999999</v>
      </c>
    </row>
    <row r="1147" spans="1:2" x14ac:dyDescent="0.25">
      <c r="A1147" s="15">
        <v>45701.293657407405</v>
      </c>
      <c r="B1147" s="14">
        <v>17.366666670000001</v>
      </c>
    </row>
    <row r="1148" spans="1:2" x14ac:dyDescent="0.25">
      <c r="A1148" s="15">
        <v>45701.293668981481</v>
      </c>
      <c r="B1148" s="14">
        <v>17.113888889999998</v>
      </c>
    </row>
    <row r="1149" spans="1:2" x14ac:dyDescent="0.25">
      <c r="A1149" s="15">
        <v>45701.293668981481</v>
      </c>
      <c r="B1149" s="14">
        <v>17.077777780000002</v>
      </c>
    </row>
    <row r="1150" spans="1:2" x14ac:dyDescent="0.25">
      <c r="A1150" s="15">
        <v>45701.293680555558</v>
      </c>
      <c r="B1150" s="14">
        <v>16.850000000000001</v>
      </c>
    </row>
    <row r="1151" spans="1:2" x14ac:dyDescent="0.25">
      <c r="A1151" s="15">
        <v>45701.293692129628</v>
      </c>
      <c r="B1151" s="14">
        <v>16.563888890000001</v>
      </c>
    </row>
    <row r="1152" spans="1:2" x14ac:dyDescent="0.25">
      <c r="A1152" s="15">
        <v>45701.293703703705</v>
      </c>
      <c r="B1152" s="14">
        <v>16.358333330000001</v>
      </c>
    </row>
    <row r="1153" spans="1:2" x14ac:dyDescent="0.25">
      <c r="A1153" s="15">
        <v>45701.293703703705</v>
      </c>
      <c r="B1153" s="14">
        <v>16.277777780000001</v>
      </c>
    </row>
    <row r="1154" spans="1:2" x14ac:dyDescent="0.25">
      <c r="A1154" s="15">
        <v>45701.293703703705</v>
      </c>
      <c r="B1154" s="14">
        <v>16.216666669999999</v>
      </c>
    </row>
    <row r="1155" spans="1:2" x14ac:dyDescent="0.25">
      <c r="A1155" s="15">
        <v>45701.293715277781</v>
      </c>
      <c r="B1155" s="14">
        <v>16.14722222</v>
      </c>
    </row>
    <row r="1156" spans="1:2" x14ac:dyDescent="0.25">
      <c r="A1156" s="15">
        <v>45701.293726851851</v>
      </c>
      <c r="B1156" s="14">
        <v>15.586111109999999</v>
      </c>
    </row>
    <row r="1157" spans="1:2" x14ac:dyDescent="0.25">
      <c r="A1157" s="15">
        <v>45701.293726851851</v>
      </c>
      <c r="B1157" s="14">
        <v>15.54166667</v>
      </c>
    </row>
    <row r="1158" spans="1:2" x14ac:dyDescent="0.25">
      <c r="A1158" s="15">
        <v>45701.293738425928</v>
      </c>
      <c r="B1158" s="14">
        <v>15.222222220000001</v>
      </c>
    </row>
    <row r="1159" spans="1:2" x14ac:dyDescent="0.25">
      <c r="A1159" s="15">
        <v>45701.293738425928</v>
      </c>
      <c r="B1159" s="14">
        <v>15.07777778</v>
      </c>
    </row>
    <row r="1160" spans="1:2" x14ac:dyDescent="0.25">
      <c r="A1160" s="15">
        <v>45701.293749999997</v>
      </c>
      <c r="B1160" s="14">
        <v>14.73611111</v>
      </c>
    </row>
    <row r="1161" spans="1:2" x14ac:dyDescent="0.25">
      <c r="A1161" s="15">
        <v>45701.293749999997</v>
      </c>
      <c r="B1161" s="14">
        <v>14.705555560000001</v>
      </c>
    </row>
    <row r="1162" spans="1:2" x14ac:dyDescent="0.25">
      <c r="A1162" s="15">
        <v>45701.293761574074</v>
      </c>
      <c r="B1162" s="14">
        <v>14.086111109999999</v>
      </c>
    </row>
    <row r="1163" spans="1:2" x14ac:dyDescent="0.25">
      <c r="A1163" s="15">
        <v>45701.293773148151</v>
      </c>
      <c r="B1163" s="14">
        <v>13.497222219999999</v>
      </c>
    </row>
    <row r="1164" spans="1:2" x14ac:dyDescent="0.25">
      <c r="A1164" s="15">
        <v>45701.29378472222</v>
      </c>
      <c r="B1164" s="14">
        <v>12.84166667</v>
      </c>
    </row>
    <row r="1165" spans="1:2" x14ac:dyDescent="0.25">
      <c r="A1165" s="15">
        <v>45701.293796296297</v>
      </c>
      <c r="B1165" s="14">
        <v>12.258333329999999</v>
      </c>
    </row>
    <row r="1166" spans="1:2" x14ac:dyDescent="0.25">
      <c r="A1166" s="15">
        <v>45701.293807870374</v>
      </c>
      <c r="B1166" s="14">
        <v>11.80833333</v>
      </c>
    </row>
    <row r="1167" spans="1:2" x14ac:dyDescent="0.25">
      <c r="A1167" s="15">
        <v>45701.293819444443</v>
      </c>
      <c r="B1167" s="14">
        <v>11.247222219999999</v>
      </c>
    </row>
    <row r="1168" spans="1:2" x14ac:dyDescent="0.25">
      <c r="A1168" s="15">
        <v>45701.29383101852</v>
      </c>
      <c r="B1168" s="14">
        <v>10.891666669999999</v>
      </c>
    </row>
    <row r="1169" spans="1:2" x14ac:dyDescent="0.25">
      <c r="A1169" s="15">
        <v>45701.293842592589</v>
      </c>
      <c r="B1169" s="14">
        <v>10.52222222</v>
      </c>
    </row>
    <row r="1170" spans="1:2" x14ac:dyDescent="0.25">
      <c r="A1170" s="15">
        <v>45701.293854166666</v>
      </c>
      <c r="B1170" s="14">
        <v>10.347222220000001</v>
      </c>
    </row>
    <row r="1171" spans="1:2" x14ac:dyDescent="0.25">
      <c r="A1171" s="15">
        <v>45701.293865740743</v>
      </c>
      <c r="B1171" s="14">
        <v>10.22777778</v>
      </c>
    </row>
    <row r="1172" spans="1:2" x14ac:dyDescent="0.25">
      <c r="A1172" s="15">
        <v>45701.293877314813</v>
      </c>
      <c r="B1172" s="14">
        <v>10.1</v>
      </c>
    </row>
    <row r="1173" spans="1:2" x14ac:dyDescent="0.25">
      <c r="A1173" s="15">
        <v>45701.293888888889</v>
      </c>
      <c r="B1173" s="14">
        <v>10.005555559999999</v>
      </c>
    </row>
    <row r="1174" spans="1:2" x14ac:dyDescent="0.25">
      <c r="A1174" s="15">
        <v>45701.293900462966</v>
      </c>
      <c r="B1174" s="14">
        <v>9.7722222219999999</v>
      </c>
    </row>
    <row r="1175" spans="1:2" x14ac:dyDescent="0.25">
      <c r="A1175" s="15">
        <v>45701.293912037036</v>
      </c>
      <c r="B1175" s="14">
        <v>9.3444444440000005</v>
      </c>
    </row>
    <row r="1176" spans="1:2" x14ac:dyDescent="0.25">
      <c r="A1176" s="15">
        <v>45701.293923611112</v>
      </c>
      <c r="B1176" s="14">
        <v>8.9666666670000001</v>
      </c>
    </row>
    <row r="1177" spans="1:2" x14ac:dyDescent="0.25">
      <c r="A1177" s="15">
        <v>45701.293923611112</v>
      </c>
      <c r="B1177" s="14">
        <v>8.9444444440000002</v>
      </c>
    </row>
    <row r="1178" spans="1:2" x14ac:dyDescent="0.25">
      <c r="A1178" s="15">
        <v>45701.293935185182</v>
      </c>
      <c r="B1178" s="14">
        <v>8.7305555560000005</v>
      </c>
    </row>
    <row r="1179" spans="1:2" x14ac:dyDescent="0.25">
      <c r="A1179" s="15">
        <v>45701.293946759259</v>
      </c>
      <c r="B1179" s="14">
        <v>8.3694444440000009</v>
      </c>
    </row>
    <row r="1180" spans="1:2" x14ac:dyDescent="0.25">
      <c r="A1180" s="15">
        <v>45701.293958333335</v>
      </c>
      <c r="B1180" s="14">
        <v>7.8944444440000003</v>
      </c>
    </row>
    <row r="1181" spans="1:2" x14ac:dyDescent="0.25">
      <c r="A1181" s="15">
        <v>45701.293969907405</v>
      </c>
      <c r="B1181" s="14">
        <v>7.4277777780000003</v>
      </c>
    </row>
    <row r="1182" spans="1:2" x14ac:dyDescent="0.25">
      <c r="A1182" s="15">
        <v>45701.293969907405</v>
      </c>
      <c r="B1182" s="14">
        <v>7.1888888890000002</v>
      </c>
    </row>
    <row r="1183" spans="1:2" x14ac:dyDescent="0.25">
      <c r="A1183" s="15">
        <v>45701.293969907405</v>
      </c>
      <c r="B1183" s="14">
        <v>6.8555555559999997</v>
      </c>
    </row>
    <row r="1184" spans="1:2" x14ac:dyDescent="0.25">
      <c r="A1184" s="15">
        <v>45701.293981481482</v>
      </c>
      <c r="B1184" s="14">
        <v>6.8027777780000003</v>
      </c>
    </row>
    <row r="1185" spans="1:2" x14ac:dyDescent="0.25">
      <c r="A1185" s="15">
        <v>45701.293993055559</v>
      </c>
      <c r="B1185" s="14">
        <v>6.0361111110000003</v>
      </c>
    </row>
    <row r="1186" spans="1:2" x14ac:dyDescent="0.25">
      <c r="A1186" s="15">
        <v>45701.293993055559</v>
      </c>
      <c r="B1186" s="14">
        <v>6.0833333329999997</v>
      </c>
    </row>
    <row r="1187" spans="1:2" x14ac:dyDescent="0.25">
      <c r="A1187" s="15">
        <v>45701.294004629628</v>
      </c>
      <c r="B1187" s="14">
        <v>5.363888889</v>
      </c>
    </row>
    <row r="1188" spans="1:2" x14ac:dyDescent="0.25">
      <c r="A1188" s="15">
        <v>45701.294016203705</v>
      </c>
      <c r="B1188" s="14">
        <v>4.5666666669999998</v>
      </c>
    </row>
    <row r="1189" spans="1:2" x14ac:dyDescent="0.25">
      <c r="A1189" s="15">
        <v>45701.294027777774</v>
      </c>
      <c r="B1189" s="14">
        <v>3.6944444440000002</v>
      </c>
    </row>
    <row r="1190" spans="1:2" x14ac:dyDescent="0.25">
      <c r="A1190" s="15">
        <v>45701.294027777774</v>
      </c>
      <c r="B1190" s="14">
        <v>3.5666666669999998</v>
      </c>
    </row>
    <row r="1191" spans="1:2" x14ac:dyDescent="0.25">
      <c r="A1191" s="15">
        <v>45701.294039351851</v>
      </c>
      <c r="B1191" s="14">
        <v>2.6555555559999999</v>
      </c>
    </row>
    <row r="1192" spans="1:2" x14ac:dyDescent="0.25">
      <c r="A1192" s="15">
        <v>45701.294050925928</v>
      </c>
      <c r="B1192" s="14">
        <v>1.636111111</v>
      </c>
    </row>
    <row r="1193" spans="1:2" x14ac:dyDescent="0.25">
      <c r="A1193" s="15">
        <v>45701.294050925928</v>
      </c>
      <c r="B1193" s="14">
        <v>0.86944444399999998</v>
      </c>
    </row>
    <row r="1194" spans="1:2" x14ac:dyDescent="0.25">
      <c r="A1194" s="15">
        <v>45701.294062499997</v>
      </c>
      <c r="B1194" s="14">
        <v>0.91388888899999998</v>
      </c>
    </row>
    <row r="1195" spans="1:2" x14ac:dyDescent="0.25">
      <c r="A1195" s="15">
        <v>45701.294074074074</v>
      </c>
      <c r="B1195" s="14">
        <v>0.14444444400000001</v>
      </c>
    </row>
    <row r="1196" spans="1:2" x14ac:dyDescent="0.25">
      <c r="A1196" s="15">
        <v>45701.294085648151</v>
      </c>
      <c r="B1196" s="14">
        <v>4.4444444E-2</v>
      </c>
    </row>
    <row r="1197" spans="1:2" x14ac:dyDescent="0.25">
      <c r="A1197" s="15">
        <v>45701.29409722222</v>
      </c>
      <c r="B1197" s="14">
        <v>0</v>
      </c>
    </row>
    <row r="1198" spans="1:2" x14ac:dyDescent="0.25">
      <c r="A1198" s="15">
        <v>45701.294328703705</v>
      </c>
      <c r="B1198" s="14">
        <v>0.491666667</v>
      </c>
    </row>
    <row r="1199" spans="1:2" x14ac:dyDescent="0.25">
      <c r="A1199" s="15">
        <v>45701.294328703705</v>
      </c>
      <c r="B1199" s="14">
        <v>0.96111111100000002</v>
      </c>
    </row>
    <row r="1200" spans="1:2" x14ac:dyDescent="0.25">
      <c r="A1200" s="15">
        <v>45701.294340277775</v>
      </c>
      <c r="B1200" s="14">
        <v>1.630555556</v>
      </c>
    </row>
    <row r="1201" spans="1:2" x14ac:dyDescent="0.25">
      <c r="A1201" s="15">
        <v>45701.294351851851</v>
      </c>
      <c r="B1201" s="14">
        <v>3.0083333329999999</v>
      </c>
    </row>
    <row r="1202" spans="1:2" x14ac:dyDescent="0.25">
      <c r="A1202" s="15">
        <v>45701.294363425928</v>
      </c>
      <c r="B1202" s="14">
        <v>4.2222222220000001</v>
      </c>
    </row>
    <row r="1203" spans="1:2" x14ac:dyDescent="0.25">
      <c r="A1203" s="15">
        <v>45701.294374999998</v>
      </c>
      <c r="B1203" s="14">
        <v>5.5083333330000004</v>
      </c>
    </row>
    <row r="1204" spans="1:2" x14ac:dyDescent="0.25">
      <c r="A1204" s="15">
        <v>45701.294386574074</v>
      </c>
      <c r="B1204" s="14">
        <v>6.7944444439999998</v>
      </c>
    </row>
    <row r="1205" spans="1:2" x14ac:dyDescent="0.25">
      <c r="A1205" s="15">
        <v>45701.294386574074</v>
      </c>
      <c r="B1205" s="14">
        <v>7.2</v>
      </c>
    </row>
    <row r="1206" spans="1:2" x14ac:dyDescent="0.25">
      <c r="A1206" s="15">
        <v>45701.294398148151</v>
      </c>
      <c r="B1206" s="14">
        <v>7.7305555559999997</v>
      </c>
    </row>
    <row r="1207" spans="1:2" x14ac:dyDescent="0.25">
      <c r="A1207" s="15">
        <v>45701.294409722221</v>
      </c>
      <c r="B1207" s="14">
        <v>7.9472222219999997</v>
      </c>
    </row>
    <row r="1208" spans="1:2" x14ac:dyDescent="0.25">
      <c r="A1208" s="15">
        <v>45701.294421296298</v>
      </c>
      <c r="B1208" s="14">
        <v>7.7222222220000001</v>
      </c>
    </row>
    <row r="1209" spans="1:2" x14ac:dyDescent="0.25">
      <c r="A1209" s="15">
        <v>45701.294421296298</v>
      </c>
      <c r="B1209" s="14">
        <v>7.5250000000000004</v>
      </c>
    </row>
    <row r="1210" spans="1:2" x14ac:dyDescent="0.25">
      <c r="A1210" s="15">
        <v>45701.294444444444</v>
      </c>
      <c r="B1210" s="14">
        <v>7.3</v>
      </c>
    </row>
    <row r="1211" spans="1:2" x14ac:dyDescent="0.25">
      <c r="A1211" s="15">
        <v>45701.294456018521</v>
      </c>
      <c r="B1211" s="14">
        <v>7.1027777780000001</v>
      </c>
    </row>
    <row r="1212" spans="1:2" x14ac:dyDescent="0.25">
      <c r="A1212" s="15">
        <v>45701.29446759259</v>
      </c>
      <c r="B1212" s="14">
        <v>6.9166666670000003</v>
      </c>
    </row>
    <row r="1213" spans="1:2" x14ac:dyDescent="0.25">
      <c r="A1213" s="15">
        <v>45701.29446759259</v>
      </c>
      <c r="B1213" s="14">
        <v>6.886111111</v>
      </c>
    </row>
    <row r="1214" spans="1:2" x14ac:dyDescent="0.25">
      <c r="A1214" s="15">
        <v>45701.294479166667</v>
      </c>
      <c r="B1214" s="14">
        <v>6.9722222220000001</v>
      </c>
    </row>
    <row r="1215" spans="1:2" x14ac:dyDescent="0.25">
      <c r="A1215" s="15">
        <v>45701.294479166667</v>
      </c>
      <c r="B1215" s="14">
        <v>7</v>
      </c>
    </row>
    <row r="1216" spans="1:2" x14ac:dyDescent="0.25">
      <c r="A1216" s="15">
        <v>45701.294490740744</v>
      </c>
      <c r="B1216" s="14">
        <v>7.5333333329999999</v>
      </c>
    </row>
    <row r="1217" spans="1:2" x14ac:dyDescent="0.25">
      <c r="A1217" s="15">
        <v>45701.294502314813</v>
      </c>
      <c r="B1217" s="14">
        <v>7.6888888890000002</v>
      </c>
    </row>
    <row r="1218" spans="1:2" x14ac:dyDescent="0.25">
      <c r="A1218" s="15">
        <v>45701.29451388889</v>
      </c>
      <c r="B1218" s="14">
        <v>7.9027777779999999</v>
      </c>
    </row>
    <row r="1219" spans="1:2" x14ac:dyDescent="0.25">
      <c r="A1219" s="15">
        <v>45701.29451388889</v>
      </c>
      <c r="B1219" s="14">
        <v>8.2222222219999992</v>
      </c>
    </row>
    <row r="1220" spans="1:2" x14ac:dyDescent="0.25">
      <c r="A1220" s="15">
        <v>45701.294525462959</v>
      </c>
      <c r="B1220" s="14">
        <v>8.2666666670000009</v>
      </c>
    </row>
    <row r="1221" spans="1:2" x14ac:dyDescent="0.25">
      <c r="A1221" s="15">
        <v>45701.294537037036</v>
      </c>
      <c r="B1221" s="14">
        <v>9.4305555559999998</v>
      </c>
    </row>
    <row r="1222" spans="1:2" x14ac:dyDescent="0.25">
      <c r="A1222" s="15">
        <v>45701.294537037036</v>
      </c>
      <c r="B1222" s="14">
        <v>10.494444440000001</v>
      </c>
    </row>
    <row r="1223" spans="1:2" x14ac:dyDescent="0.25">
      <c r="A1223" s="15">
        <v>45701.294548611113</v>
      </c>
      <c r="B1223" s="14">
        <v>10.58888889</v>
      </c>
    </row>
    <row r="1224" spans="1:2" x14ac:dyDescent="0.25">
      <c r="A1224" s="15">
        <v>45701.294560185182</v>
      </c>
      <c r="B1224" s="14">
        <v>11.83333333</v>
      </c>
    </row>
    <row r="1225" spans="1:2" x14ac:dyDescent="0.25">
      <c r="A1225" s="15">
        <v>45701.294571759259</v>
      </c>
      <c r="B1225" s="14">
        <v>12.47777778</v>
      </c>
    </row>
    <row r="1226" spans="1:2" x14ac:dyDescent="0.25">
      <c r="A1226" s="15">
        <v>45701.294583333336</v>
      </c>
      <c r="B1226" s="14">
        <v>13.07222222</v>
      </c>
    </row>
    <row r="1227" spans="1:2" x14ac:dyDescent="0.25">
      <c r="A1227" s="15">
        <v>45701.294583333336</v>
      </c>
      <c r="B1227" s="14">
        <v>13.14722222</v>
      </c>
    </row>
    <row r="1228" spans="1:2" x14ac:dyDescent="0.25">
      <c r="A1228" s="15">
        <v>45701.294594907406</v>
      </c>
      <c r="B1228" s="14">
        <v>13.725</v>
      </c>
    </row>
    <row r="1229" spans="1:2" x14ac:dyDescent="0.25">
      <c r="A1229" s="15">
        <v>45701.294606481482</v>
      </c>
      <c r="B1229" s="14">
        <v>14.03055556</v>
      </c>
    </row>
    <row r="1230" spans="1:2" x14ac:dyDescent="0.25">
      <c r="A1230" s="15">
        <v>45701.294618055559</v>
      </c>
      <c r="B1230" s="14">
        <v>14.705555560000001</v>
      </c>
    </row>
    <row r="1231" spans="1:2" x14ac:dyDescent="0.25">
      <c r="A1231" s="15">
        <v>45701.294629629629</v>
      </c>
      <c r="B1231" s="14">
        <v>15.394444439999999</v>
      </c>
    </row>
    <row r="1232" spans="1:2" x14ac:dyDescent="0.25">
      <c r="A1232" s="15">
        <v>45701.294641203705</v>
      </c>
      <c r="B1232" s="14">
        <v>15.83888889</v>
      </c>
    </row>
    <row r="1233" spans="1:2" x14ac:dyDescent="0.25">
      <c r="A1233" s="15">
        <v>45701.294652777775</v>
      </c>
      <c r="B1233" s="14">
        <v>15.90833333</v>
      </c>
    </row>
    <row r="1234" spans="1:2" x14ac:dyDescent="0.25">
      <c r="A1234" s="15">
        <v>45701.294664351852</v>
      </c>
      <c r="B1234" s="14">
        <v>16.08888889</v>
      </c>
    </row>
    <row r="1235" spans="1:2" x14ac:dyDescent="0.25">
      <c r="A1235" s="15">
        <v>45701.294675925928</v>
      </c>
      <c r="B1235" s="14">
        <v>16.30833333</v>
      </c>
    </row>
    <row r="1236" spans="1:2" x14ac:dyDescent="0.25">
      <c r="A1236" s="15">
        <v>45701.294687499998</v>
      </c>
      <c r="B1236" s="14">
        <v>16.375</v>
      </c>
    </row>
    <row r="1237" spans="1:2" x14ac:dyDescent="0.25">
      <c r="A1237" s="15">
        <v>45701.294699074075</v>
      </c>
      <c r="B1237" s="14">
        <v>16.369444439999999</v>
      </c>
    </row>
    <row r="1238" spans="1:2" x14ac:dyDescent="0.25">
      <c r="A1238" s="15">
        <v>45701.294699074075</v>
      </c>
      <c r="B1238" s="14">
        <v>16.425000000000001</v>
      </c>
    </row>
    <row r="1239" spans="1:2" x14ac:dyDescent="0.25">
      <c r="A1239" s="15">
        <v>45701.294710648152</v>
      </c>
      <c r="B1239" s="14">
        <v>16.46944444</v>
      </c>
    </row>
    <row r="1240" spans="1:2" x14ac:dyDescent="0.25">
      <c r="A1240" s="15">
        <v>45701.294722222221</v>
      </c>
      <c r="B1240" s="14">
        <v>16.591666669999999</v>
      </c>
    </row>
    <row r="1241" spans="1:2" x14ac:dyDescent="0.25">
      <c r="A1241" s="15">
        <v>45701.294733796298</v>
      </c>
      <c r="B1241" s="14">
        <v>16.63888889</v>
      </c>
    </row>
    <row r="1242" spans="1:2" x14ac:dyDescent="0.25">
      <c r="A1242" s="15">
        <v>45701.294745370367</v>
      </c>
      <c r="B1242" s="14">
        <v>16.67777778</v>
      </c>
    </row>
    <row r="1243" spans="1:2" x14ac:dyDescent="0.25">
      <c r="A1243" s="15">
        <v>45701.294745370367</v>
      </c>
      <c r="B1243" s="14">
        <v>16.68333333</v>
      </c>
    </row>
    <row r="1244" spans="1:2" x14ac:dyDescent="0.25">
      <c r="A1244" s="15">
        <v>45701.294756944444</v>
      </c>
      <c r="B1244" s="14">
        <v>16.67777778</v>
      </c>
    </row>
    <row r="1245" spans="1:2" x14ac:dyDescent="0.25">
      <c r="A1245" s="15">
        <v>45701.294768518521</v>
      </c>
      <c r="B1245" s="14">
        <v>16.705555560000001</v>
      </c>
    </row>
    <row r="1246" spans="1:2" x14ac:dyDescent="0.25">
      <c r="A1246" s="15">
        <v>45701.294768518521</v>
      </c>
      <c r="B1246" s="14">
        <v>16.69722222</v>
      </c>
    </row>
    <row r="1247" spans="1:2" x14ac:dyDescent="0.25">
      <c r="A1247" s="15">
        <v>45701.29478009259</v>
      </c>
      <c r="B1247" s="14">
        <v>16.625</v>
      </c>
    </row>
    <row r="1248" spans="1:2" x14ac:dyDescent="0.25">
      <c r="A1248" s="15">
        <v>45701.294791666667</v>
      </c>
      <c r="B1248" s="14">
        <v>16.591666669999999</v>
      </c>
    </row>
    <row r="1249" spans="1:2" x14ac:dyDescent="0.25">
      <c r="A1249" s="15">
        <v>45701.294791666667</v>
      </c>
      <c r="B1249" s="14">
        <v>16.508333329999999</v>
      </c>
    </row>
    <row r="1250" spans="1:2" x14ac:dyDescent="0.25">
      <c r="A1250" s="15">
        <v>45701.294803240744</v>
      </c>
      <c r="B1250" s="14">
        <v>16.480555559999999</v>
      </c>
    </row>
    <row r="1251" spans="1:2" x14ac:dyDescent="0.25">
      <c r="A1251" s="15">
        <v>45701.294803240744</v>
      </c>
      <c r="B1251" s="14">
        <v>16.425000000000001</v>
      </c>
    </row>
    <row r="1252" spans="1:2" x14ac:dyDescent="0.25">
      <c r="A1252" s="15">
        <v>45701.294814814813</v>
      </c>
      <c r="B1252" s="14">
        <v>16.22777778</v>
      </c>
    </row>
    <row r="1253" spans="1:2" x14ac:dyDescent="0.25">
      <c r="A1253" s="15">
        <v>45701.29482638889</v>
      </c>
      <c r="B1253" s="14">
        <v>16.008333329999999</v>
      </c>
    </row>
    <row r="1254" spans="1:2" x14ac:dyDescent="0.25">
      <c r="A1254" s="15">
        <v>45701.29483796296</v>
      </c>
      <c r="B1254" s="14">
        <v>15.686111110000001</v>
      </c>
    </row>
    <row r="1255" spans="1:2" x14ac:dyDescent="0.25">
      <c r="A1255" s="15">
        <v>45701.29483796296</v>
      </c>
      <c r="B1255" s="14">
        <v>15.663888890000001</v>
      </c>
    </row>
    <row r="1256" spans="1:2" x14ac:dyDescent="0.25">
      <c r="A1256" s="15">
        <v>45701.29483796296</v>
      </c>
      <c r="B1256" s="14">
        <v>15.42777778</v>
      </c>
    </row>
    <row r="1257" spans="1:2" x14ac:dyDescent="0.25">
      <c r="A1257" s="15">
        <v>45701.294861111113</v>
      </c>
      <c r="B1257" s="14">
        <v>15.130555559999999</v>
      </c>
    </row>
    <row r="1258" spans="1:2" x14ac:dyDescent="0.25">
      <c r="A1258" s="15">
        <v>45701.294872685183</v>
      </c>
      <c r="B1258" s="14">
        <v>14.41666667</v>
      </c>
    </row>
    <row r="1259" spans="1:2" x14ac:dyDescent="0.25">
      <c r="A1259" s="15">
        <v>45701.29488425926</v>
      </c>
      <c r="B1259" s="14">
        <v>14.105555560000001</v>
      </c>
    </row>
    <row r="1260" spans="1:2" x14ac:dyDescent="0.25">
      <c r="A1260" s="15">
        <v>45701.294895833336</v>
      </c>
      <c r="B1260" s="14">
        <v>13.79166667</v>
      </c>
    </row>
    <row r="1261" spans="1:2" x14ac:dyDescent="0.25">
      <c r="A1261" s="15">
        <v>45701.294907407406</v>
      </c>
      <c r="B1261" s="14">
        <v>13.311111110000001</v>
      </c>
    </row>
    <row r="1262" spans="1:2" x14ac:dyDescent="0.25">
      <c r="A1262" s="15">
        <v>45701.294918981483</v>
      </c>
      <c r="B1262" s="14">
        <v>12.96944444</v>
      </c>
    </row>
    <row r="1263" spans="1:2" x14ac:dyDescent="0.25">
      <c r="A1263" s="15">
        <v>45701.294930555552</v>
      </c>
      <c r="B1263" s="14">
        <v>12.6</v>
      </c>
    </row>
    <row r="1264" spans="1:2" x14ac:dyDescent="0.25">
      <c r="A1264" s="15">
        <v>45701.294942129629</v>
      </c>
      <c r="B1264" s="14">
        <v>12.35277778</v>
      </c>
    </row>
    <row r="1265" spans="1:2" x14ac:dyDescent="0.25">
      <c r="A1265" s="15">
        <v>45701.294953703706</v>
      </c>
      <c r="B1265" s="14">
        <v>12.080555560000001</v>
      </c>
    </row>
    <row r="1266" spans="1:2" x14ac:dyDescent="0.25">
      <c r="A1266" s="15">
        <v>45701.294965277775</v>
      </c>
      <c r="B1266" s="14">
        <v>11.811111110000001</v>
      </c>
    </row>
    <row r="1267" spans="1:2" x14ac:dyDescent="0.25">
      <c r="A1267" s="15">
        <v>45701.294965277775</v>
      </c>
      <c r="B1267" s="14">
        <v>11.633333329999999</v>
      </c>
    </row>
    <row r="1268" spans="1:2" x14ac:dyDescent="0.25">
      <c r="A1268" s="15">
        <v>45701.294965277775</v>
      </c>
      <c r="B1268" s="14">
        <v>11.597222220000001</v>
      </c>
    </row>
    <row r="1269" spans="1:2" x14ac:dyDescent="0.25">
      <c r="A1269" s="15">
        <v>45701.294976851852</v>
      </c>
      <c r="B1269" s="14">
        <v>11.525</v>
      </c>
    </row>
    <row r="1270" spans="1:2" x14ac:dyDescent="0.25">
      <c r="A1270" s="15">
        <v>45701.294988425929</v>
      </c>
      <c r="B1270" s="14">
        <v>11.34444444</v>
      </c>
    </row>
    <row r="1271" spans="1:2" x14ac:dyDescent="0.25">
      <c r="A1271" s="15">
        <v>45701.294999999998</v>
      </c>
      <c r="B1271" s="14">
        <v>11.127777780000001</v>
      </c>
    </row>
    <row r="1272" spans="1:2" x14ac:dyDescent="0.25">
      <c r="A1272" s="15">
        <v>45701.294999999998</v>
      </c>
      <c r="B1272" s="14">
        <v>11.04166667</v>
      </c>
    </row>
    <row r="1273" spans="1:2" x14ac:dyDescent="0.25">
      <c r="A1273" s="15">
        <v>45701.295011574075</v>
      </c>
      <c r="B1273" s="14">
        <v>10.875</v>
      </c>
    </row>
    <row r="1274" spans="1:2" x14ac:dyDescent="0.25">
      <c r="A1274" s="15">
        <v>45701.295023148145</v>
      </c>
      <c r="B1274" s="14">
        <v>10.28611111</v>
      </c>
    </row>
    <row r="1275" spans="1:2" x14ac:dyDescent="0.25">
      <c r="A1275" s="15">
        <v>45701.295034722221</v>
      </c>
      <c r="B1275" s="14">
        <v>9.6638888890000008</v>
      </c>
    </row>
    <row r="1276" spans="1:2" x14ac:dyDescent="0.25">
      <c r="A1276" s="15">
        <v>45701.295046296298</v>
      </c>
      <c r="B1276" s="14">
        <v>9.1916666669999998</v>
      </c>
    </row>
    <row r="1277" spans="1:2" x14ac:dyDescent="0.25">
      <c r="A1277" s="15">
        <v>45701.295057870368</v>
      </c>
      <c r="B1277" s="14">
        <v>8.5166666670000009</v>
      </c>
    </row>
    <row r="1278" spans="1:2" x14ac:dyDescent="0.25">
      <c r="A1278" s="15">
        <v>45701.295069444444</v>
      </c>
      <c r="B1278" s="14">
        <v>7.6055555559999997</v>
      </c>
    </row>
    <row r="1279" spans="1:2" x14ac:dyDescent="0.25">
      <c r="A1279" s="15">
        <v>45701.295081018521</v>
      </c>
      <c r="B1279" s="14">
        <v>6.8</v>
      </c>
    </row>
    <row r="1280" spans="1:2" x14ac:dyDescent="0.25">
      <c r="A1280" s="15">
        <v>45701.295092592591</v>
      </c>
      <c r="B1280" s="14">
        <v>6</v>
      </c>
    </row>
    <row r="1281" spans="1:2" x14ac:dyDescent="0.25">
      <c r="A1281" s="15">
        <v>45701.295104166667</v>
      </c>
      <c r="B1281" s="14">
        <v>4.8250000000000002</v>
      </c>
    </row>
    <row r="1282" spans="1:2" x14ac:dyDescent="0.25">
      <c r="A1282" s="15">
        <v>45701.295115740744</v>
      </c>
      <c r="B1282" s="14">
        <v>3.613888889</v>
      </c>
    </row>
    <row r="1283" spans="1:2" x14ac:dyDescent="0.25">
      <c r="A1283" s="15">
        <v>45701.295127314814</v>
      </c>
      <c r="B1283" s="14">
        <v>2.380555556</v>
      </c>
    </row>
    <row r="1284" spans="1:2" x14ac:dyDescent="0.25">
      <c r="A1284" s="15">
        <v>45701.295138888891</v>
      </c>
      <c r="B1284" s="14">
        <v>1.5083333329999999</v>
      </c>
    </row>
    <row r="1285" spans="1:2" x14ac:dyDescent="0.25">
      <c r="A1285" s="15">
        <v>45701.29515046296</v>
      </c>
      <c r="B1285" s="14">
        <v>0.67222222200000004</v>
      </c>
    </row>
    <row r="1286" spans="1:2" x14ac:dyDescent="0.25">
      <c r="A1286" s="15">
        <v>45701.295162037037</v>
      </c>
      <c r="B1286" s="14">
        <v>0.13888888899999999</v>
      </c>
    </row>
    <row r="1287" spans="1:2" x14ac:dyDescent="0.25">
      <c r="A1287" s="15">
        <v>45701.295173611114</v>
      </c>
      <c r="B1287" s="14">
        <v>5.5555555999999999E-2</v>
      </c>
    </row>
    <row r="1288" spans="1:2" x14ac:dyDescent="0.25">
      <c r="A1288" s="15">
        <v>45701.295185185183</v>
      </c>
      <c r="B1288" s="14">
        <v>0</v>
      </c>
    </row>
    <row r="1289" spans="1:2" x14ac:dyDescent="0.25">
      <c r="A1289" s="15">
        <v>45701.295405092591</v>
      </c>
      <c r="B1289" s="14">
        <v>0.89166666699999997</v>
      </c>
    </row>
    <row r="1290" spans="1:2" x14ac:dyDescent="0.25">
      <c r="A1290" s="15">
        <v>45701.295416666668</v>
      </c>
      <c r="B1290" s="14">
        <v>2.0861111110000001</v>
      </c>
    </row>
    <row r="1291" spans="1:2" x14ac:dyDescent="0.25">
      <c r="A1291" s="15">
        <v>45701.295428240737</v>
      </c>
      <c r="B1291" s="14">
        <v>3.2805555559999999</v>
      </c>
    </row>
    <row r="1292" spans="1:2" x14ac:dyDescent="0.25">
      <c r="A1292" s="15">
        <v>45701.295439814814</v>
      </c>
      <c r="B1292" s="14">
        <v>4.3888888890000004</v>
      </c>
    </row>
    <row r="1293" spans="1:2" x14ac:dyDescent="0.25">
      <c r="A1293" s="15">
        <v>45701.295439814814</v>
      </c>
      <c r="B1293" s="14">
        <v>5.1277777779999996</v>
      </c>
    </row>
    <row r="1294" spans="1:2" x14ac:dyDescent="0.25">
      <c r="A1294" s="15">
        <v>45701.295451388891</v>
      </c>
      <c r="B1294" s="14">
        <v>5.5527777780000003</v>
      </c>
    </row>
    <row r="1295" spans="1:2" x14ac:dyDescent="0.25">
      <c r="A1295" s="15">
        <v>45701.295451388891</v>
      </c>
      <c r="B1295" s="14">
        <v>6.6638888889999999</v>
      </c>
    </row>
    <row r="1296" spans="1:2" x14ac:dyDescent="0.25">
      <c r="A1296" s="15">
        <v>45701.29546296296</v>
      </c>
      <c r="B1296" s="14">
        <v>6.733333333</v>
      </c>
    </row>
    <row r="1297" spans="1:2" x14ac:dyDescent="0.25">
      <c r="A1297" s="15">
        <v>45701.295474537037</v>
      </c>
      <c r="B1297" s="14">
        <v>7.8222222219999997</v>
      </c>
    </row>
    <row r="1298" spans="1:2" x14ac:dyDescent="0.25">
      <c r="A1298" s="15">
        <v>45701.295474537037</v>
      </c>
      <c r="B1298" s="14">
        <v>7.755555556</v>
      </c>
    </row>
    <row r="1299" spans="1:2" x14ac:dyDescent="0.25">
      <c r="A1299" s="15">
        <v>45701.295486111114</v>
      </c>
      <c r="B1299" s="14">
        <v>8.9694444440000005</v>
      </c>
    </row>
    <row r="1300" spans="1:2" x14ac:dyDescent="0.25">
      <c r="A1300" s="15">
        <v>45701.295497685183</v>
      </c>
      <c r="B1300" s="14">
        <v>10.169444439999999</v>
      </c>
    </row>
    <row r="1301" spans="1:2" x14ac:dyDescent="0.25">
      <c r="A1301" s="15">
        <v>45701.29550925926</v>
      </c>
      <c r="B1301" s="14">
        <v>11.30833333</v>
      </c>
    </row>
    <row r="1302" spans="1:2" x14ac:dyDescent="0.25">
      <c r="A1302" s="15">
        <v>45701.295520833337</v>
      </c>
      <c r="B1302" s="14">
        <v>12.116666670000001</v>
      </c>
    </row>
    <row r="1303" spans="1:2" x14ac:dyDescent="0.25">
      <c r="A1303" s="15">
        <v>45701.295532407406</v>
      </c>
      <c r="B1303" s="14">
        <v>13.038888890000001</v>
      </c>
    </row>
    <row r="1304" spans="1:2" x14ac:dyDescent="0.25">
      <c r="A1304" s="15">
        <v>45701.295543981483</v>
      </c>
      <c r="B1304" s="14">
        <v>13.644444439999999</v>
      </c>
    </row>
    <row r="1305" spans="1:2" x14ac:dyDescent="0.25">
      <c r="A1305" s="15">
        <v>45701.295555555553</v>
      </c>
      <c r="B1305" s="14">
        <v>14.269444439999999</v>
      </c>
    </row>
    <row r="1306" spans="1:2" x14ac:dyDescent="0.25">
      <c r="A1306" s="15">
        <v>45701.295555555553</v>
      </c>
      <c r="B1306" s="14">
        <v>14.71944444</v>
      </c>
    </row>
    <row r="1307" spans="1:2" x14ac:dyDescent="0.25">
      <c r="A1307" s="15">
        <v>45701.295578703706</v>
      </c>
      <c r="B1307" s="14">
        <v>15.13611111</v>
      </c>
    </row>
    <row r="1308" spans="1:2" x14ac:dyDescent="0.25">
      <c r="A1308" s="15">
        <v>45701.295590277776</v>
      </c>
      <c r="B1308" s="14">
        <v>15.51388889</v>
      </c>
    </row>
    <row r="1309" spans="1:2" x14ac:dyDescent="0.25">
      <c r="A1309" s="15">
        <v>45701.295590277776</v>
      </c>
      <c r="B1309" s="14">
        <v>15.56666667</v>
      </c>
    </row>
    <row r="1310" spans="1:2" x14ac:dyDescent="0.25">
      <c r="A1310" s="15">
        <v>45701.295601851853</v>
      </c>
      <c r="B1310" s="14">
        <v>15.855555560000001</v>
      </c>
    </row>
    <row r="1311" spans="1:2" x14ac:dyDescent="0.25">
      <c r="A1311" s="15">
        <v>45701.295613425929</v>
      </c>
      <c r="B1311" s="14">
        <v>16.26388889</v>
      </c>
    </row>
    <row r="1312" spans="1:2" x14ac:dyDescent="0.25">
      <c r="A1312" s="15">
        <v>45701.295624999999</v>
      </c>
      <c r="B1312" s="14">
        <v>16.68333333</v>
      </c>
    </row>
    <row r="1313" spans="1:2" x14ac:dyDescent="0.25">
      <c r="A1313" s="15">
        <v>45701.295636574076</v>
      </c>
      <c r="B1313" s="14">
        <v>17</v>
      </c>
    </row>
    <row r="1314" spans="1:2" x14ac:dyDescent="0.25">
      <c r="A1314" s="15">
        <v>45701.295648148145</v>
      </c>
      <c r="B1314" s="14">
        <v>17.297222219999998</v>
      </c>
    </row>
    <row r="1315" spans="1:2" x14ac:dyDescent="0.25">
      <c r="A1315" s="15">
        <v>45701.295659722222</v>
      </c>
      <c r="B1315" s="14">
        <v>17.569444440000002</v>
      </c>
    </row>
    <row r="1316" spans="1:2" x14ac:dyDescent="0.25">
      <c r="A1316" s="15">
        <v>45701.295671296299</v>
      </c>
      <c r="B1316" s="14">
        <v>17.891666669999999</v>
      </c>
    </row>
    <row r="1317" spans="1:2" x14ac:dyDescent="0.25">
      <c r="A1317" s="15">
        <v>45701.295682870368</v>
      </c>
      <c r="B1317" s="14">
        <v>18.119444439999999</v>
      </c>
    </row>
    <row r="1318" spans="1:2" x14ac:dyDescent="0.25">
      <c r="A1318" s="15">
        <v>45701.295694444445</v>
      </c>
      <c r="B1318" s="14">
        <v>18.163888889999999</v>
      </c>
    </row>
    <row r="1319" spans="1:2" x14ac:dyDescent="0.25">
      <c r="A1319" s="15">
        <v>45701.295694444445</v>
      </c>
      <c r="B1319" s="14">
        <v>18.211111110000001</v>
      </c>
    </row>
    <row r="1320" spans="1:2" x14ac:dyDescent="0.25">
      <c r="A1320" s="15">
        <v>45701.295706018522</v>
      </c>
      <c r="B1320" s="14">
        <v>18.238888889999998</v>
      </c>
    </row>
    <row r="1321" spans="1:2" x14ac:dyDescent="0.25">
      <c r="A1321" s="15">
        <v>45701.295717592591</v>
      </c>
      <c r="B1321" s="14">
        <v>18.216666669999999</v>
      </c>
    </row>
    <row r="1322" spans="1:2" x14ac:dyDescent="0.25">
      <c r="A1322" s="15">
        <v>45701.295717592591</v>
      </c>
      <c r="B1322" s="14">
        <v>18.21944444</v>
      </c>
    </row>
    <row r="1323" spans="1:2" x14ac:dyDescent="0.25">
      <c r="A1323" s="15">
        <v>45701.295729166668</v>
      </c>
      <c r="B1323" s="14">
        <v>18.216666669999999</v>
      </c>
    </row>
    <row r="1324" spans="1:2" x14ac:dyDescent="0.25">
      <c r="A1324" s="15">
        <v>45701.295740740738</v>
      </c>
      <c r="B1324" s="14">
        <v>18.225000000000001</v>
      </c>
    </row>
    <row r="1325" spans="1:2" x14ac:dyDescent="0.25">
      <c r="A1325" s="15">
        <v>45701.295752314814</v>
      </c>
      <c r="B1325" s="14">
        <v>18.21388889</v>
      </c>
    </row>
    <row r="1326" spans="1:2" x14ac:dyDescent="0.25">
      <c r="A1326" s="15">
        <v>45701.295763888891</v>
      </c>
      <c r="B1326" s="14">
        <v>18.188888890000001</v>
      </c>
    </row>
    <row r="1327" spans="1:2" x14ac:dyDescent="0.25">
      <c r="A1327" s="15">
        <v>45701.295775462961</v>
      </c>
      <c r="B1327" s="14">
        <v>17.86111111</v>
      </c>
    </row>
    <row r="1328" spans="1:2" x14ac:dyDescent="0.25">
      <c r="A1328" s="15">
        <v>45701.295787037037</v>
      </c>
      <c r="B1328" s="14">
        <v>17.43333333</v>
      </c>
    </row>
    <row r="1329" spans="1:2" x14ac:dyDescent="0.25">
      <c r="A1329" s="15">
        <v>45701.295798611114</v>
      </c>
      <c r="B1329" s="14">
        <v>17.019444440000001</v>
      </c>
    </row>
    <row r="1330" spans="1:2" x14ac:dyDescent="0.25">
      <c r="A1330" s="15">
        <v>45701.295798611114</v>
      </c>
      <c r="B1330" s="14">
        <v>16.97777778</v>
      </c>
    </row>
    <row r="1331" spans="1:2" x14ac:dyDescent="0.25">
      <c r="A1331" s="15">
        <v>45701.295810185184</v>
      </c>
      <c r="B1331" s="14">
        <v>16.76388889</v>
      </c>
    </row>
    <row r="1332" spans="1:2" x14ac:dyDescent="0.25">
      <c r="A1332" s="15">
        <v>45701.29582175926</v>
      </c>
      <c r="B1332" s="14">
        <v>16.658333330000001</v>
      </c>
    </row>
    <row r="1333" spans="1:2" x14ac:dyDescent="0.25">
      <c r="A1333" s="15">
        <v>45701.29582175926</v>
      </c>
      <c r="B1333" s="14">
        <v>16.483333330000001</v>
      </c>
    </row>
    <row r="1334" spans="1:2" x14ac:dyDescent="0.25">
      <c r="A1334" s="15">
        <v>45701.29582175926</v>
      </c>
      <c r="B1334" s="14">
        <v>16.42777778</v>
      </c>
    </row>
    <row r="1335" spans="1:2" x14ac:dyDescent="0.25">
      <c r="A1335" s="15">
        <v>45701.29583333333</v>
      </c>
      <c r="B1335" s="14">
        <v>16.21388889</v>
      </c>
    </row>
    <row r="1336" spans="1:2" x14ac:dyDescent="0.25">
      <c r="A1336" s="15">
        <v>45701.295844907407</v>
      </c>
      <c r="B1336" s="14">
        <v>15.625</v>
      </c>
    </row>
    <row r="1337" spans="1:2" x14ac:dyDescent="0.25">
      <c r="A1337" s="15">
        <v>45701.295856481483</v>
      </c>
      <c r="B1337" s="14">
        <v>14.95277778</v>
      </c>
    </row>
    <row r="1338" spans="1:2" x14ac:dyDescent="0.25">
      <c r="A1338" s="15">
        <v>45701.295868055553</v>
      </c>
      <c r="B1338" s="14">
        <v>14.438888889999999</v>
      </c>
    </row>
    <row r="1339" spans="1:2" x14ac:dyDescent="0.25">
      <c r="A1339" s="15">
        <v>45701.295868055553</v>
      </c>
      <c r="B1339" s="14">
        <v>14.40555556</v>
      </c>
    </row>
    <row r="1340" spans="1:2" x14ac:dyDescent="0.25">
      <c r="A1340" s="15">
        <v>45701.29587962963</v>
      </c>
      <c r="B1340" s="14">
        <v>13.894444439999999</v>
      </c>
    </row>
    <row r="1341" spans="1:2" x14ac:dyDescent="0.25">
      <c r="A1341" s="15">
        <v>45701.295891203707</v>
      </c>
      <c r="B1341" s="14">
        <v>13.45</v>
      </c>
    </row>
    <row r="1342" spans="1:2" x14ac:dyDescent="0.25">
      <c r="A1342" s="15">
        <v>45701.295891203707</v>
      </c>
      <c r="B1342" s="14">
        <v>12.955555560000001</v>
      </c>
    </row>
    <row r="1343" spans="1:2" x14ac:dyDescent="0.25">
      <c r="A1343" s="15">
        <v>45701.295902777776</v>
      </c>
      <c r="B1343" s="14">
        <v>12.836111109999999</v>
      </c>
    </row>
    <row r="1344" spans="1:2" x14ac:dyDescent="0.25">
      <c r="A1344" s="15">
        <v>45701.295914351853</v>
      </c>
      <c r="B1344" s="14">
        <v>12.79722222</v>
      </c>
    </row>
    <row r="1345" spans="1:2" x14ac:dyDescent="0.25">
      <c r="A1345" s="15">
        <v>45701.295925925922</v>
      </c>
      <c r="B1345" s="14">
        <v>12.81944444</v>
      </c>
    </row>
    <row r="1346" spans="1:2" x14ac:dyDescent="0.25">
      <c r="A1346" s="15">
        <v>45701.295937499999</v>
      </c>
      <c r="B1346" s="14">
        <v>12.91111111</v>
      </c>
    </row>
    <row r="1347" spans="1:2" x14ac:dyDescent="0.25">
      <c r="A1347" s="15">
        <v>45701.295937499999</v>
      </c>
      <c r="B1347" s="14">
        <v>13.002777780000001</v>
      </c>
    </row>
    <row r="1348" spans="1:2" x14ac:dyDescent="0.25">
      <c r="A1348" s="15">
        <v>45701.295960648145</v>
      </c>
      <c r="B1348" s="14">
        <v>13.175000000000001</v>
      </c>
    </row>
    <row r="1349" spans="1:2" x14ac:dyDescent="0.25">
      <c r="A1349" s="15">
        <v>45701.295972222222</v>
      </c>
      <c r="B1349" s="14">
        <v>13.31944444</v>
      </c>
    </row>
    <row r="1350" spans="1:2" x14ac:dyDescent="0.25">
      <c r="A1350" s="15">
        <v>45701.295983796299</v>
      </c>
      <c r="B1350" s="14">
        <v>13.505555559999999</v>
      </c>
    </row>
    <row r="1351" spans="1:2" x14ac:dyDescent="0.25">
      <c r="A1351" s="15">
        <v>45701.295995370368</v>
      </c>
      <c r="B1351" s="14">
        <v>13.63888889</v>
      </c>
    </row>
    <row r="1352" spans="1:2" x14ac:dyDescent="0.25">
      <c r="A1352" s="15">
        <v>45701.296006944445</v>
      </c>
      <c r="B1352" s="14">
        <v>13.72777778</v>
      </c>
    </row>
    <row r="1353" spans="1:2" x14ac:dyDescent="0.25">
      <c r="A1353" s="15">
        <v>45701.296006944445</v>
      </c>
      <c r="B1353" s="14">
        <v>13.84166667</v>
      </c>
    </row>
    <row r="1354" spans="1:2" x14ac:dyDescent="0.25">
      <c r="A1354" s="15">
        <v>45701.296018518522</v>
      </c>
      <c r="B1354" s="14">
        <v>13.902777779999999</v>
      </c>
    </row>
    <row r="1355" spans="1:2" x14ac:dyDescent="0.25">
      <c r="A1355" s="15">
        <v>45701.296030092592</v>
      </c>
      <c r="B1355" s="14">
        <v>14.51388889</v>
      </c>
    </row>
    <row r="1356" spans="1:2" x14ac:dyDescent="0.25">
      <c r="A1356" s="15">
        <v>45701.296041666668</v>
      </c>
      <c r="B1356" s="14">
        <v>15.711111109999999</v>
      </c>
    </row>
    <row r="1357" spans="1:2" x14ac:dyDescent="0.25">
      <c r="A1357" s="15">
        <v>45701.296053240738</v>
      </c>
      <c r="B1357" s="14">
        <v>16.672222219999998</v>
      </c>
    </row>
    <row r="1358" spans="1:2" x14ac:dyDescent="0.25">
      <c r="A1358" s="15">
        <v>45701.296064814815</v>
      </c>
      <c r="B1358" s="14">
        <v>17.591666669999999</v>
      </c>
    </row>
    <row r="1359" spans="1:2" x14ac:dyDescent="0.25">
      <c r="A1359" s="15">
        <v>45701.296064814815</v>
      </c>
      <c r="B1359" s="14">
        <v>17.625</v>
      </c>
    </row>
    <row r="1360" spans="1:2" x14ac:dyDescent="0.25">
      <c r="A1360" s="15">
        <v>45701.296064814815</v>
      </c>
      <c r="B1360" s="14">
        <v>17.89722222</v>
      </c>
    </row>
    <row r="1361" spans="1:2" x14ac:dyDescent="0.25">
      <c r="A1361" s="15">
        <v>45701.296064814815</v>
      </c>
      <c r="B1361" s="14">
        <v>18.07222222</v>
      </c>
    </row>
    <row r="1362" spans="1:2" x14ac:dyDescent="0.25">
      <c r="A1362" s="15">
        <v>45701.296087962961</v>
      </c>
      <c r="B1362" s="14">
        <v>18.25</v>
      </c>
    </row>
    <row r="1363" spans="1:2" x14ac:dyDescent="0.25">
      <c r="A1363" s="15">
        <v>45701.296087962961</v>
      </c>
      <c r="B1363" s="14">
        <v>18.330555560000001</v>
      </c>
    </row>
    <row r="1364" spans="1:2" x14ac:dyDescent="0.25">
      <c r="A1364" s="15">
        <v>45701.296087962961</v>
      </c>
      <c r="B1364" s="14">
        <v>18.386111110000002</v>
      </c>
    </row>
    <row r="1365" spans="1:2" x14ac:dyDescent="0.25">
      <c r="A1365" s="15">
        <v>45701.296099537038</v>
      </c>
      <c r="B1365" s="14">
        <v>18.416666670000001</v>
      </c>
    </row>
    <row r="1366" spans="1:2" x14ac:dyDescent="0.25">
      <c r="A1366" s="15">
        <v>45701.296111111114</v>
      </c>
      <c r="B1366" s="14">
        <v>18.19722222</v>
      </c>
    </row>
    <row r="1367" spans="1:2" x14ac:dyDescent="0.25">
      <c r="A1367" s="15">
        <v>45701.296122685184</v>
      </c>
      <c r="B1367" s="14">
        <v>17.94166667</v>
      </c>
    </row>
    <row r="1368" spans="1:2" x14ac:dyDescent="0.25">
      <c r="A1368" s="15">
        <v>45701.296134259261</v>
      </c>
      <c r="B1368" s="14">
        <v>17.694444440000002</v>
      </c>
    </row>
    <row r="1369" spans="1:2" x14ac:dyDescent="0.25">
      <c r="A1369" s="15">
        <v>45701.296134259261</v>
      </c>
      <c r="B1369" s="14">
        <v>17.341666669999999</v>
      </c>
    </row>
    <row r="1370" spans="1:2" x14ac:dyDescent="0.25">
      <c r="A1370" s="15">
        <v>45701.296157407407</v>
      </c>
      <c r="B1370" s="14">
        <v>17.06666667</v>
      </c>
    </row>
    <row r="1371" spans="1:2" x14ac:dyDescent="0.25">
      <c r="A1371" s="15">
        <v>45701.296168981484</v>
      </c>
      <c r="B1371" s="14">
        <v>16.880555560000001</v>
      </c>
    </row>
    <row r="1372" spans="1:2" x14ac:dyDescent="0.25">
      <c r="A1372" s="15">
        <v>45701.296168981484</v>
      </c>
      <c r="B1372" s="14">
        <v>16.7</v>
      </c>
    </row>
    <row r="1373" spans="1:2" x14ac:dyDescent="0.25">
      <c r="A1373" s="15">
        <v>45701.296168981484</v>
      </c>
      <c r="B1373" s="14">
        <v>16.158333330000001</v>
      </c>
    </row>
    <row r="1374" spans="1:2" x14ac:dyDescent="0.25">
      <c r="A1374" s="15">
        <v>45701.29619212963</v>
      </c>
      <c r="B1374" s="14">
        <v>15.505555559999999</v>
      </c>
    </row>
    <row r="1375" spans="1:2" x14ac:dyDescent="0.25">
      <c r="A1375" s="15">
        <v>45701.296203703707</v>
      </c>
      <c r="B1375" s="14">
        <v>14.71388889</v>
      </c>
    </row>
    <row r="1376" spans="1:2" x14ac:dyDescent="0.25">
      <c r="A1376" s="15">
        <v>45701.296215277776</v>
      </c>
      <c r="B1376" s="14">
        <v>14.10277778</v>
      </c>
    </row>
    <row r="1377" spans="1:2" x14ac:dyDescent="0.25">
      <c r="A1377" s="15">
        <v>45701.296226851853</v>
      </c>
      <c r="B1377" s="14">
        <v>13.475</v>
      </c>
    </row>
    <row r="1378" spans="1:2" x14ac:dyDescent="0.25">
      <c r="A1378" s="15">
        <v>45701.296226851853</v>
      </c>
      <c r="B1378" s="14">
        <v>13.505555559999999</v>
      </c>
    </row>
    <row r="1379" spans="1:2" x14ac:dyDescent="0.25">
      <c r="A1379" s="15">
        <v>45701.296238425923</v>
      </c>
      <c r="B1379" s="14">
        <v>12.97777778</v>
      </c>
    </row>
    <row r="1380" spans="1:2" x14ac:dyDescent="0.25">
      <c r="A1380" s="15">
        <v>45701.296249999999</v>
      </c>
      <c r="B1380" s="14">
        <v>12.46944444</v>
      </c>
    </row>
    <row r="1381" spans="1:2" x14ac:dyDescent="0.25">
      <c r="A1381" s="15">
        <v>45701.296261574076</v>
      </c>
      <c r="B1381" s="14">
        <v>12.025</v>
      </c>
    </row>
    <row r="1382" spans="1:2" x14ac:dyDescent="0.25">
      <c r="A1382" s="15">
        <v>45701.296261574076</v>
      </c>
      <c r="B1382" s="14">
        <v>11.68055556</v>
      </c>
    </row>
    <row r="1383" spans="1:2" x14ac:dyDescent="0.25">
      <c r="A1383" s="15">
        <v>45701.296284722222</v>
      </c>
      <c r="B1383" s="14">
        <v>11.35277778</v>
      </c>
    </row>
    <row r="1384" spans="1:2" x14ac:dyDescent="0.25">
      <c r="A1384" s="15">
        <v>45701.296284722222</v>
      </c>
      <c r="B1384" s="14">
        <v>11.03333333</v>
      </c>
    </row>
    <row r="1385" spans="1:2" x14ac:dyDescent="0.25">
      <c r="A1385" s="15">
        <v>45701.296296296299</v>
      </c>
      <c r="B1385" s="14">
        <v>11.044444439999999</v>
      </c>
    </row>
    <row r="1386" spans="1:2" x14ac:dyDescent="0.25">
      <c r="A1386" s="15">
        <v>45701.296307870369</v>
      </c>
      <c r="B1386" s="14">
        <v>10.68055556</v>
      </c>
    </row>
    <row r="1387" spans="1:2" x14ac:dyDescent="0.25">
      <c r="A1387" s="15">
        <v>45701.296307870369</v>
      </c>
      <c r="B1387" s="14">
        <v>10.125</v>
      </c>
    </row>
    <row r="1388" spans="1:2" x14ac:dyDescent="0.25">
      <c r="A1388" s="15">
        <v>45701.296319444446</v>
      </c>
      <c r="B1388" s="14">
        <v>10.038888890000001</v>
      </c>
    </row>
    <row r="1389" spans="1:2" x14ac:dyDescent="0.25">
      <c r="A1389" s="15">
        <v>45701.296331018515</v>
      </c>
      <c r="B1389" s="14">
        <v>9.5166666670000009</v>
      </c>
    </row>
    <row r="1390" spans="1:2" x14ac:dyDescent="0.25">
      <c r="A1390" s="15">
        <v>45701.296331018515</v>
      </c>
      <c r="B1390" s="14">
        <v>9.4777777780000001</v>
      </c>
    </row>
    <row r="1391" spans="1:2" x14ac:dyDescent="0.25">
      <c r="A1391" s="15">
        <v>45701.296342592592</v>
      </c>
      <c r="B1391" s="14">
        <v>8.9361111110000007</v>
      </c>
    </row>
    <row r="1392" spans="1:2" x14ac:dyDescent="0.25">
      <c r="A1392" s="15">
        <v>45701.296354166669</v>
      </c>
      <c r="B1392" s="14">
        <v>8.4027777780000008</v>
      </c>
    </row>
    <row r="1393" spans="1:2" x14ac:dyDescent="0.25">
      <c r="A1393" s="15">
        <v>45701.296365740738</v>
      </c>
      <c r="B1393" s="14">
        <v>7.6777777780000003</v>
      </c>
    </row>
    <row r="1394" spans="1:2" x14ac:dyDescent="0.25">
      <c r="A1394" s="15">
        <v>45701.296377314815</v>
      </c>
      <c r="B1394" s="14">
        <v>6.9472222219999997</v>
      </c>
    </row>
    <row r="1395" spans="1:2" x14ac:dyDescent="0.25">
      <c r="A1395" s="15">
        <v>45701.296377314815</v>
      </c>
      <c r="B1395" s="14">
        <v>6.9027777779999999</v>
      </c>
    </row>
    <row r="1396" spans="1:2" x14ac:dyDescent="0.25">
      <c r="A1396" s="15">
        <v>45701.296388888892</v>
      </c>
      <c r="B1396" s="14">
        <v>6.1861111109999998</v>
      </c>
    </row>
    <row r="1397" spans="1:2" x14ac:dyDescent="0.25">
      <c r="A1397" s="15">
        <v>45701.296388888892</v>
      </c>
      <c r="B1397" s="14">
        <v>6.1444444440000003</v>
      </c>
    </row>
    <row r="1398" spans="1:2" x14ac:dyDescent="0.25">
      <c r="A1398" s="15">
        <v>45701.296400462961</v>
      </c>
      <c r="B1398" s="14">
        <v>5.6555555560000004</v>
      </c>
    </row>
    <row r="1399" spans="1:2" x14ac:dyDescent="0.25">
      <c r="A1399" s="15">
        <v>45701.296412037038</v>
      </c>
      <c r="B1399" s="14">
        <v>5.2916666670000003</v>
      </c>
    </row>
    <row r="1400" spans="1:2" x14ac:dyDescent="0.25">
      <c r="A1400" s="15">
        <v>45701.296423611115</v>
      </c>
      <c r="B1400" s="14">
        <v>4.9055555560000004</v>
      </c>
    </row>
    <row r="1401" spans="1:2" x14ac:dyDescent="0.25">
      <c r="A1401" s="15">
        <v>45701.296423611115</v>
      </c>
      <c r="B1401" s="14">
        <v>4.6388888890000004</v>
      </c>
    </row>
    <row r="1402" spans="1:2" x14ac:dyDescent="0.25">
      <c r="A1402" s="15">
        <v>45701.296435185184</v>
      </c>
      <c r="B1402" s="14">
        <v>4.3388888889999997</v>
      </c>
    </row>
    <row r="1403" spans="1:2" x14ac:dyDescent="0.25">
      <c r="A1403" s="15">
        <v>45701.296446759261</v>
      </c>
      <c r="B1403" s="14">
        <v>3.5472222219999998</v>
      </c>
    </row>
    <row r="1404" spans="1:2" x14ac:dyDescent="0.25">
      <c r="A1404" s="15">
        <v>45701.296446759261</v>
      </c>
      <c r="B1404" s="14">
        <v>3.4750000000000001</v>
      </c>
    </row>
    <row r="1405" spans="1:2" x14ac:dyDescent="0.25">
      <c r="A1405" s="15">
        <v>45701.296458333331</v>
      </c>
      <c r="B1405" s="14">
        <v>2.516666667</v>
      </c>
    </row>
    <row r="1406" spans="1:2" x14ac:dyDescent="0.25">
      <c r="A1406" s="15">
        <v>45701.296469907407</v>
      </c>
      <c r="B1406" s="14">
        <v>1.627777778</v>
      </c>
    </row>
    <row r="1407" spans="1:2" x14ac:dyDescent="0.25">
      <c r="A1407" s="15">
        <v>45701.296481481484</v>
      </c>
      <c r="B1407" s="14">
        <v>0.78055555600000004</v>
      </c>
    </row>
    <row r="1408" spans="1:2" x14ac:dyDescent="0.25">
      <c r="A1408" s="15">
        <v>45701.296481481484</v>
      </c>
      <c r="B1408" s="14">
        <v>0.83055555599999997</v>
      </c>
    </row>
    <row r="1409" spans="1:2" x14ac:dyDescent="0.25">
      <c r="A1409" s="15">
        <v>45701.296493055554</v>
      </c>
      <c r="B1409" s="14">
        <v>0.16666666699999999</v>
      </c>
    </row>
    <row r="1410" spans="1:2" x14ac:dyDescent="0.25">
      <c r="A1410" s="15">
        <v>45701.296493055554</v>
      </c>
      <c r="B1410" s="14">
        <v>0.13888888899999999</v>
      </c>
    </row>
    <row r="1411" spans="1:2" x14ac:dyDescent="0.25">
      <c r="A1411" s="15">
        <v>45701.29650462963</v>
      </c>
      <c r="B1411" s="14">
        <v>6.1111111000000003E-2</v>
      </c>
    </row>
    <row r="1412" spans="1:2" x14ac:dyDescent="0.25">
      <c r="A1412" s="15">
        <v>45701.29650462963</v>
      </c>
      <c r="B1412" s="14">
        <v>0</v>
      </c>
    </row>
    <row r="1413" spans="1:2" x14ac:dyDescent="0.25">
      <c r="A1413" s="15">
        <v>45701.296631944446</v>
      </c>
      <c r="B1413" s="14">
        <v>0.62222222199999999</v>
      </c>
    </row>
    <row r="1414" spans="1:2" x14ac:dyDescent="0.25">
      <c r="A1414" s="15">
        <v>45701.296631944446</v>
      </c>
      <c r="B1414" s="14">
        <v>0.94166666700000001</v>
      </c>
    </row>
    <row r="1415" spans="1:2" x14ac:dyDescent="0.25">
      <c r="A1415" s="15">
        <v>45701.296643518515</v>
      </c>
      <c r="B1415" s="14">
        <v>1.922222222</v>
      </c>
    </row>
    <row r="1416" spans="1:2" x14ac:dyDescent="0.25">
      <c r="A1416" s="15">
        <v>45701.296643518515</v>
      </c>
      <c r="B1416" s="14">
        <v>2.0194444439999999</v>
      </c>
    </row>
    <row r="1417" spans="1:2" x14ac:dyDescent="0.25">
      <c r="A1417" s="15">
        <v>45701.296655092592</v>
      </c>
      <c r="B1417" s="14">
        <v>3.1166666670000001</v>
      </c>
    </row>
    <row r="1418" spans="1:2" x14ac:dyDescent="0.25">
      <c r="A1418" s="15">
        <v>45701.296666666669</v>
      </c>
      <c r="B1418" s="14">
        <v>4.4972222220000004</v>
      </c>
    </row>
    <row r="1419" spans="1:2" x14ac:dyDescent="0.25">
      <c r="A1419" s="15">
        <v>45701.296678240738</v>
      </c>
      <c r="B1419" s="14">
        <v>5.625</v>
      </c>
    </row>
    <row r="1420" spans="1:2" x14ac:dyDescent="0.25">
      <c r="A1420" s="15">
        <v>45701.296689814815</v>
      </c>
      <c r="B1420" s="14">
        <v>6.9055555560000004</v>
      </c>
    </row>
    <row r="1421" spans="1:2" x14ac:dyDescent="0.25">
      <c r="A1421" s="15">
        <v>45701.296689814815</v>
      </c>
      <c r="B1421" s="14">
        <v>7.5250000000000004</v>
      </c>
    </row>
    <row r="1422" spans="1:2" x14ac:dyDescent="0.25">
      <c r="A1422" s="15">
        <v>45701.296689814815</v>
      </c>
      <c r="B1422" s="14">
        <v>8.1888888889999993</v>
      </c>
    </row>
    <row r="1423" spans="1:2" x14ac:dyDescent="0.25">
      <c r="A1423" s="15">
        <v>45701.296712962961</v>
      </c>
      <c r="B1423" s="14">
        <v>9.5083333329999995</v>
      </c>
    </row>
    <row r="1424" spans="1:2" x14ac:dyDescent="0.25">
      <c r="A1424" s="15">
        <v>45701.296712962961</v>
      </c>
      <c r="B1424" s="14">
        <v>9.4305555559999998</v>
      </c>
    </row>
    <row r="1425" spans="1:2" x14ac:dyDescent="0.25">
      <c r="A1425" s="15">
        <v>45701.296724537038</v>
      </c>
      <c r="B1425" s="14">
        <v>10.57222222</v>
      </c>
    </row>
    <row r="1426" spans="1:2" x14ac:dyDescent="0.25">
      <c r="A1426" s="15">
        <v>45701.296724537038</v>
      </c>
      <c r="B1426" s="14">
        <v>10.633333329999999</v>
      </c>
    </row>
    <row r="1427" spans="1:2" x14ac:dyDescent="0.25">
      <c r="A1427" s="15">
        <v>45701.296736111108</v>
      </c>
      <c r="B1427" s="14">
        <v>11.40555556</v>
      </c>
    </row>
    <row r="1428" spans="1:2" x14ac:dyDescent="0.25">
      <c r="A1428" s="15">
        <v>45701.296736111108</v>
      </c>
      <c r="B1428" s="14">
        <v>12.044444439999999</v>
      </c>
    </row>
    <row r="1429" spans="1:2" x14ac:dyDescent="0.25">
      <c r="A1429" s="15">
        <v>45701.296747685185</v>
      </c>
      <c r="B1429" s="14">
        <v>12.13888889</v>
      </c>
    </row>
    <row r="1430" spans="1:2" x14ac:dyDescent="0.25">
      <c r="A1430" s="15">
        <v>45701.296759259261</v>
      </c>
      <c r="B1430" s="14">
        <v>12.91111111</v>
      </c>
    </row>
    <row r="1431" spans="1:2" x14ac:dyDescent="0.25">
      <c r="A1431" s="15">
        <v>45701.296770833331</v>
      </c>
      <c r="B1431" s="14">
        <v>13.36388889</v>
      </c>
    </row>
    <row r="1432" spans="1:2" x14ac:dyDescent="0.25">
      <c r="A1432" s="15">
        <v>45701.296782407408</v>
      </c>
      <c r="B1432" s="14">
        <v>13.73888889</v>
      </c>
    </row>
    <row r="1433" spans="1:2" x14ac:dyDescent="0.25">
      <c r="A1433" s="15">
        <v>45701.296793981484</v>
      </c>
      <c r="B1433" s="14">
        <v>13.997222219999999</v>
      </c>
    </row>
    <row r="1434" spans="1:2" x14ac:dyDescent="0.25">
      <c r="A1434" s="15">
        <v>45701.296793981484</v>
      </c>
      <c r="B1434" s="14">
        <v>13.994444440000001</v>
      </c>
    </row>
    <row r="1435" spans="1:2" x14ac:dyDescent="0.25">
      <c r="A1435" s="15">
        <v>45701.296805555554</v>
      </c>
      <c r="B1435" s="14">
        <v>14.18333333</v>
      </c>
    </row>
    <row r="1436" spans="1:2" x14ac:dyDescent="0.25">
      <c r="A1436" s="15">
        <v>45701.296805555554</v>
      </c>
      <c r="B1436" s="14">
        <v>14.205555560000001</v>
      </c>
    </row>
    <row r="1437" spans="1:2" x14ac:dyDescent="0.25">
      <c r="A1437" s="15">
        <v>45701.296817129631</v>
      </c>
      <c r="B1437" s="14">
        <v>14.40833333</v>
      </c>
    </row>
    <row r="1438" spans="1:2" x14ac:dyDescent="0.25">
      <c r="A1438" s="15">
        <v>45701.2968287037</v>
      </c>
      <c r="B1438" s="14">
        <v>14.538888890000001</v>
      </c>
    </row>
    <row r="1439" spans="1:2" x14ac:dyDescent="0.25">
      <c r="A1439" s="15">
        <v>45701.296840277777</v>
      </c>
      <c r="B1439" s="14">
        <v>14.627777780000001</v>
      </c>
    </row>
    <row r="1440" spans="1:2" x14ac:dyDescent="0.25">
      <c r="A1440" s="15">
        <v>45701.296851851854</v>
      </c>
      <c r="B1440" s="14">
        <v>14.52222222</v>
      </c>
    </row>
    <row r="1441" spans="1:2" x14ac:dyDescent="0.25">
      <c r="A1441" s="15">
        <v>45701.296863425923</v>
      </c>
      <c r="B1441" s="14">
        <v>14.36388889</v>
      </c>
    </row>
    <row r="1442" spans="1:2" x14ac:dyDescent="0.25">
      <c r="A1442" s="15">
        <v>45701.296863425923</v>
      </c>
      <c r="B1442" s="14">
        <v>14.35277778</v>
      </c>
    </row>
    <row r="1443" spans="1:2" x14ac:dyDescent="0.25">
      <c r="A1443" s="15">
        <v>45701.296863425923</v>
      </c>
      <c r="B1443" s="14">
        <v>14.34444444</v>
      </c>
    </row>
    <row r="1444" spans="1:2" x14ac:dyDescent="0.25">
      <c r="A1444" s="15">
        <v>45701.296875</v>
      </c>
      <c r="B1444" s="14">
        <v>14.18333333</v>
      </c>
    </row>
    <row r="1445" spans="1:2" x14ac:dyDescent="0.25">
      <c r="A1445" s="15">
        <v>45701.296886574077</v>
      </c>
      <c r="B1445" s="14">
        <v>13.747222219999999</v>
      </c>
    </row>
    <row r="1446" spans="1:2" x14ac:dyDescent="0.25">
      <c r="A1446" s="15">
        <v>45701.296898148146</v>
      </c>
      <c r="B1446" s="14">
        <v>13.144444439999999</v>
      </c>
    </row>
    <row r="1447" spans="1:2" x14ac:dyDescent="0.25">
      <c r="A1447" s="15">
        <v>45701.296898148146</v>
      </c>
      <c r="B1447" s="14">
        <v>13.016666669999999</v>
      </c>
    </row>
    <row r="1448" spans="1:2" x14ac:dyDescent="0.25">
      <c r="A1448" s="15">
        <v>45701.296898148146</v>
      </c>
      <c r="B1448" s="14">
        <v>12.83333333</v>
      </c>
    </row>
    <row r="1449" spans="1:2" x14ac:dyDescent="0.25">
      <c r="A1449" s="15">
        <v>45701.2969212963</v>
      </c>
      <c r="B1449" s="14">
        <v>12.538888890000001</v>
      </c>
    </row>
    <row r="1450" spans="1:2" x14ac:dyDescent="0.25">
      <c r="A1450" s="15">
        <v>45701.2969212963</v>
      </c>
      <c r="B1450" s="14">
        <v>12.25</v>
      </c>
    </row>
    <row r="1451" spans="1:2" x14ac:dyDescent="0.25">
      <c r="A1451" s="15">
        <v>45701.296956018516</v>
      </c>
      <c r="B1451" s="14">
        <v>12.061111110000001</v>
      </c>
    </row>
    <row r="1452" spans="1:2" x14ac:dyDescent="0.25">
      <c r="A1452" s="15">
        <v>45701.296956018516</v>
      </c>
      <c r="B1452" s="14">
        <v>10.997222219999999</v>
      </c>
    </row>
    <row r="1453" spans="1:2" x14ac:dyDescent="0.25">
      <c r="A1453" s="15">
        <v>45701.296967592592</v>
      </c>
      <c r="B1453" s="14">
        <v>10.69722222</v>
      </c>
    </row>
    <row r="1454" spans="1:2" x14ac:dyDescent="0.25">
      <c r="A1454" s="15">
        <v>45701.296967592592</v>
      </c>
      <c r="B1454" s="14">
        <v>10.65833333</v>
      </c>
    </row>
    <row r="1455" spans="1:2" x14ac:dyDescent="0.25">
      <c r="A1455" s="15">
        <v>45701.296979166669</v>
      </c>
      <c r="B1455" s="14">
        <v>9.9916666670000005</v>
      </c>
    </row>
    <row r="1456" spans="1:2" x14ac:dyDescent="0.25">
      <c r="A1456" s="15">
        <v>45701.296990740739</v>
      </c>
      <c r="B1456" s="14">
        <v>9.6833333330000002</v>
      </c>
    </row>
    <row r="1457" spans="1:2" x14ac:dyDescent="0.25">
      <c r="A1457" s="15">
        <v>45701.297002314815</v>
      </c>
      <c r="B1457" s="14">
        <v>9.3777777780000005</v>
      </c>
    </row>
    <row r="1458" spans="1:2" x14ac:dyDescent="0.25">
      <c r="A1458" s="15">
        <v>45701.297013888892</v>
      </c>
      <c r="B1458" s="14">
        <v>8.8805555559999991</v>
      </c>
    </row>
    <row r="1459" spans="1:2" x14ac:dyDescent="0.25">
      <c r="A1459" s="15">
        <v>45701.297025462962</v>
      </c>
      <c r="B1459" s="14">
        <v>8.2972222220000003</v>
      </c>
    </row>
    <row r="1460" spans="1:2" x14ac:dyDescent="0.25">
      <c r="A1460" s="15">
        <v>45701.297037037039</v>
      </c>
      <c r="B1460" s="14">
        <v>7.3305555560000002</v>
      </c>
    </row>
    <row r="1461" spans="1:2" x14ac:dyDescent="0.25">
      <c r="A1461" s="15">
        <v>45701.297037037039</v>
      </c>
      <c r="B1461" s="14">
        <v>6.3388888889999997</v>
      </c>
    </row>
    <row r="1462" spans="1:2" x14ac:dyDescent="0.25">
      <c r="A1462" s="15">
        <v>45701.297060185185</v>
      </c>
      <c r="B1462" s="14">
        <v>5.7305555559999997</v>
      </c>
    </row>
    <row r="1463" spans="1:2" x14ac:dyDescent="0.25">
      <c r="A1463" s="15">
        <v>45701.297071759262</v>
      </c>
      <c r="B1463" s="14">
        <v>5.619444444</v>
      </c>
    </row>
    <row r="1464" spans="1:2" x14ac:dyDescent="0.25">
      <c r="A1464" s="15">
        <v>45701.297071759262</v>
      </c>
      <c r="B1464" s="14">
        <v>5.6277777779999996</v>
      </c>
    </row>
    <row r="1465" spans="1:2" x14ac:dyDescent="0.25">
      <c r="A1465" s="15">
        <v>45701.297083333331</v>
      </c>
      <c r="B1465" s="14">
        <v>5.6027777780000001</v>
      </c>
    </row>
    <row r="1466" spans="1:2" x14ac:dyDescent="0.25">
      <c r="A1466" s="15">
        <v>45701.297094907408</v>
      </c>
      <c r="B1466" s="14">
        <v>5.6222222220000004</v>
      </c>
    </row>
    <row r="1467" spans="1:2" x14ac:dyDescent="0.25">
      <c r="A1467" s="15">
        <v>45701.297106481485</v>
      </c>
      <c r="B1467" s="14">
        <v>5.6472222219999999</v>
      </c>
    </row>
    <row r="1468" spans="1:2" x14ac:dyDescent="0.25">
      <c r="A1468" s="15">
        <v>45701.297118055554</v>
      </c>
      <c r="B1468" s="14">
        <v>5.7222222220000001</v>
      </c>
    </row>
    <row r="1469" spans="1:2" x14ac:dyDescent="0.25">
      <c r="A1469" s="15">
        <v>45701.297118055554</v>
      </c>
      <c r="B1469" s="14">
        <v>5.75</v>
      </c>
    </row>
    <row r="1470" spans="1:2" x14ac:dyDescent="0.25">
      <c r="A1470" s="15">
        <v>45701.297129629631</v>
      </c>
      <c r="B1470" s="14">
        <v>5.7527777779999996</v>
      </c>
    </row>
    <row r="1471" spans="1:2" x14ac:dyDescent="0.25">
      <c r="A1471" s="15">
        <v>45701.2971412037</v>
      </c>
      <c r="B1471" s="14">
        <v>5.7722222219999999</v>
      </c>
    </row>
    <row r="1472" spans="1:2" x14ac:dyDescent="0.25">
      <c r="A1472" s="15">
        <v>45701.2971412037</v>
      </c>
      <c r="B1472" s="14">
        <v>5.7833333329999999</v>
      </c>
    </row>
    <row r="1473" spans="1:2" x14ac:dyDescent="0.25">
      <c r="A1473" s="15">
        <v>45701.297152777777</v>
      </c>
      <c r="B1473" s="14">
        <v>5.7805555560000004</v>
      </c>
    </row>
    <row r="1474" spans="1:2" x14ac:dyDescent="0.25">
      <c r="A1474" s="15">
        <v>45701.297164351854</v>
      </c>
      <c r="B1474" s="14">
        <v>5.755555556</v>
      </c>
    </row>
    <row r="1475" spans="1:2" x14ac:dyDescent="0.25">
      <c r="A1475" s="15">
        <v>45701.297175925924</v>
      </c>
      <c r="B1475" s="14">
        <v>5.7249999999999996</v>
      </c>
    </row>
    <row r="1476" spans="1:2" x14ac:dyDescent="0.25">
      <c r="A1476" s="15">
        <v>45701.2971875</v>
      </c>
      <c r="B1476" s="14">
        <v>5.6805555559999998</v>
      </c>
    </row>
    <row r="1477" spans="1:2" x14ac:dyDescent="0.25">
      <c r="A1477" s="15">
        <v>45701.297199074077</v>
      </c>
      <c r="B1477" s="14">
        <v>5.5972222220000001</v>
      </c>
    </row>
    <row r="1478" spans="1:2" x14ac:dyDescent="0.25">
      <c r="A1478" s="15">
        <v>45701.297210648147</v>
      </c>
      <c r="B1478" s="14">
        <v>5.5250000000000004</v>
      </c>
    </row>
    <row r="1479" spans="1:2" x14ac:dyDescent="0.25">
      <c r="A1479" s="15">
        <v>45701.297222222223</v>
      </c>
      <c r="B1479" s="14">
        <v>5.4472222219999997</v>
      </c>
    </row>
    <row r="1480" spans="1:2" x14ac:dyDescent="0.25">
      <c r="A1480" s="15">
        <v>45701.297233796293</v>
      </c>
      <c r="B1480" s="14">
        <v>5.3527777780000001</v>
      </c>
    </row>
    <row r="1481" spans="1:2" x14ac:dyDescent="0.25">
      <c r="A1481" s="15">
        <v>45701.297233796293</v>
      </c>
      <c r="B1481" s="14">
        <v>5.244444444</v>
      </c>
    </row>
    <row r="1482" spans="1:2" x14ac:dyDescent="0.25">
      <c r="A1482" s="15">
        <v>45701.29724537037</v>
      </c>
      <c r="B1482" s="14">
        <v>5.233333333</v>
      </c>
    </row>
    <row r="1483" spans="1:2" x14ac:dyDescent="0.25">
      <c r="A1483" s="15">
        <v>45701.297256944446</v>
      </c>
      <c r="B1483" s="14">
        <v>5.1638888889999999</v>
      </c>
    </row>
    <row r="1484" spans="1:2" x14ac:dyDescent="0.25">
      <c r="A1484" s="15">
        <v>45701.297268518516</v>
      </c>
      <c r="B1484" s="14">
        <v>5.1388888890000004</v>
      </c>
    </row>
    <row r="1485" spans="1:2" x14ac:dyDescent="0.25">
      <c r="A1485" s="15">
        <v>45701.297280092593</v>
      </c>
      <c r="B1485" s="14">
        <v>5.1583333329999999</v>
      </c>
    </row>
    <row r="1486" spans="1:2" x14ac:dyDescent="0.25">
      <c r="A1486" s="15">
        <v>45701.297291666669</v>
      </c>
      <c r="B1486" s="14">
        <v>5.141666667</v>
      </c>
    </row>
    <row r="1487" spans="1:2" x14ac:dyDescent="0.25">
      <c r="A1487" s="15">
        <v>45701.297303240739</v>
      </c>
      <c r="B1487" s="14">
        <v>5.0833333329999997</v>
      </c>
    </row>
    <row r="1488" spans="1:2" x14ac:dyDescent="0.25">
      <c r="A1488" s="15">
        <v>45701.297314814816</v>
      </c>
      <c r="B1488" s="14">
        <v>5.016666667</v>
      </c>
    </row>
    <row r="1489" spans="1:2" x14ac:dyDescent="0.25">
      <c r="A1489" s="15">
        <v>45701.297314814816</v>
      </c>
      <c r="B1489" s="14">
        <v>5.0083333330000004</v>
      </c>
    </row>
    <row r="1490" spans="1:2" x14ac:dyDescent="0.25">
      <c r="A1490" s="15">
        <v>45701.297326388885</v>
      </c>
      <c r="B1490" s="14">
        <v>4.9611111110000001</v>
      </c>
    </row>
    <row r="1491" spans="1:2" x14ac:dyDescent="0.25">
      <c r="A1491" s="15">
        <v>45701.297337962962</v>
      </c>
      <c r="B1491" s="14">
        <v>4.8944444440000003</v>
      </c>
    </row>
    <row r="1492" spans="1:2" x14ac:dyDescent="0.25">
      <c r="A1492" s="15">
        <v>45701.297349537039</v>
      </c>
      <c r="B1492" s="14">
        <v>4.6666666670000003</v>
      </c>
    </row>
    <row r="1493" spans="1:2" x14ac:dyDescent="0.25">
      <c r="A1493" s="15">
        <v>45701.297349537039</v>
      </c>
      <c r="B1493" s="14">
        <v>4.4055555560000004</v>
      </c>
    </row>
    <row r="1494" spans="1:2" x14ac:dyDescent="0.25">
      <c r="A1494" s="15">
        <v>45701.297361111108</v>
      </c>
      <c r="B1494" s="14">
        <v>4.3527777780000001</v>
      </c>
    </row>
    <row r="1495" spans="1:2" x14ac:dyDescent="0.25">
      <c r="A1495" s="15">
        <v>45701.297361111108</v>
      </c>
      <c r="B1495" s="14">
        <v>4.363888889</v>
      </c>
    </row>
    <row r="1496" spans="1:2" x14ac:dyDescent="0.25">
      <c r="A1496" s="15">
        <v>45701.297372685185</v>
      </c>
      <c r="B1496" s="14">
        <v>4.5416666670000003</v>
      </c>
    </row>
    <row r="1497" spans="1:2" x14ac:dyDescent="0.25">
      <c r="A1497" s="15">
        <v>45701.297384259262</v>
      </c>
      <c r="B1497" s="14">
        <v>4.7194444439999996</v>
      </c>
    </row>
    <row r="1498" spans="1:2" x14ac:dyDescent="0.25">
      <c r="A1498" s="15">
        <v>45701.297384259262</v>
      </c>
      <c r="B1498" s="14">
        <v>4.9138888889999999</v>
      </c>
    </row>
    <row r="1499" spans="1:2" x14ac:dyDescent="0.25">
      <c r="A1499" s="15">
        <v>45701.297395833331</v>
      </c>
      <c r="B1499" s="14">
        <v>4.9249999999999998</v>
      </c>
    </row>
    <row r="1500" spans="1:2" x14ac:dyDescent="0.25">
      <c r="A1500" s="15">
        <v>45701.297407407408</v>
      </c>
      <c r="B1500" s="14">
        <v>5.0694444440000002</v>
      </c>
    </row>
    <row r="1501" spans="1:2" x14ac:dyDescent="0.25">
      <c r="A1501" s="15">
        <v>45701.297407407408</v>
      </c>
      <c r="B1501" s="14">
        <v>5.238888889</v>
      </c>
    </row>
    <row r="1502" spans="1:2" x14ac:dyDescent="0.25">
      <c r="A1502" s="15">
        <v>45701.297430555554</v>
      </c>
      <c r="B1502" s="14">
        <v>5.3666666669999996</v>
      </c>
    </row>
    <row r="1503" spans="1:2" x14ac:dyDescent="0.25">
      <c r="A1503" s="15">
        <v>45701.297442129631</v>
      </c>
      <c r="B1503" s="14">
        <v>5.5083333330000004</v>
      </c>
    </row>
    <row r="1504" spans="1:2" x14ac:dyDescent="0.25">
      <c r="A1504" s="15">
        <v>45701.297442129631</v>
      </c>
      <c r="B1504" s="14">
        <v>5.5250000000000004</v>
      </c>
    </row>
    <row r="1505" spans="1:2" x14ac:dyDescent="0.25">
      <c r="A1505" s="15">
        <v>45701.297453703701</v>
      </c>
      <c r="B1505" s="14">
        <v>5.625</v>
      </c>
    </row>
    <row r="1506" spans="1:2" x14ac:dyDescent="0.25">
      <c r="A1506" s="15">
        <v>45701.297453703701</v>
      </c>
      <c r="B1506" s="14">
        <v>5.6694444439999998</v>
      </c>
    </row>
    <row r="1507" spans="1:2" x14ac:dyDescent="0.25">
      <c r="A1507" s="15">
        <v>45701.297465277778</v>
      </c>
      <c r="B1507" s="14">
        <v>5.733333333</v>
      </c>
    </row>
    <row r="1508" spans="1:2" x14ac:dyDescent="0.25">
      <c r="A1508" s="15">
        <v>45701.297465277778</v>
      </c>
      <c r="B1508" s="14">
        <v>5.8027777780000003</v>
      </c>
    </row>
    <row r="1509" spans="1:2" x14ac:dyDescent="0.25">
      <c r="A1509" s="15">
        <v>45701.297476851854</v>
      </c>
      <c r="B1509" s="14">
        <v>5.8138888890000002</v>
      </c>
    </row>
    <row r="1510" spans="1:2" x14ac:dyDescent="0.25">
      <c r="A1510" s="15">
        <v>45701.297476851854</v>
      </c>
      <c r="B1510" s="14">
        <v>5.875</v>
      </c>
    </row>
    <row r="1511" spans="1:2" x14ac:dyDescent="0.25">
      <c r="A1511" s="15">
        <v>45701.297488425924</v>
      </c>
      <c r="B1511" s="14">
        <v>5.863888889</v>
      </c>
    </row>
    <row r="1512" spans="1:2" x14ac:dyDescent="0.25">
      <c r="A1512" s="15">
        <v>45701.297488425924</v>
      </c>
      <c r="B1512" s="14">
        <v>5.8888888890000004</v>
      </c>
    </row>
    <row r="1513" spans="1:2" x14ac:dyDescent="0.25">
      <c r="A1513" s="15">
        <v>45701.297500000001</v>
      </c>
      <c r="B1513" s="14">
        <v>5.8722222220000004</v>
      </c>
    </row>
    <row r="1514" spans="1:2" x14ac:dyDescent="0.25">
      <c r="A1514" s="15">
        <v>45701.297511574077</v>
      </c>
      <c r="B1514" s="14">
        <v>5.75</v>
      </c>
    </row>
    <row r="1515" spans="1:2" x14ac:dyDescent="0.25">
      <c r="A1515" s="15">
        <v>45701.297523148147</v>
      </c>
      <c r="B1515" s="14">
        <v>5.5361111110000003</v>
      </c>
    </row>
    <row r="1516" spans="1:2" x14ac:dyDescent="0.25">
      <c r="A1516" s="15">
        <v>45701.297534722224</v>
      </c>
      <c r="B1516" s="14">
        <v>5.233333333</v>
      </c>
    </row>
    <row r="1517" spans="1:2" x14ac:dyDescent="0.25">
      <c r="A1517" s="15">
        <v>45701.297546296293</v>
      </c>
      <c r="B1517" s="14">
        <v>5.005555556</v>
      </c>
    </row>
    <row r="1518" spans="1:2" x14ac:dyDescent="0.25">
      <c r="A1518" s="15">
        <v>45701.29755787037</v>
      </c>
      <c r="B1518" s="14">
        <v>4.880555556</v>
      </c>
    </row>
    <row r="1519" spans="1:2" x14ac:dyDescent="0.25">
      <c r="A1519" s="15">
        <v>45701.29755787037</v>
      </c>
      <c r="B1519" s="14">
        <v>4.858333333</v>
      </c>
    </row>
    <row r="1520" spans="1:2" x14ac:dyDescent="0.25">
      <c r="A1520" s="15">
        <v>45701.29755787037</v>
      </c>
      <c r="B1520" s="14">
        <v>4.7277777780000001</v>
      </c>
    </row>
    <row r="1521" spans="1:2" x14ac:dyDescent="0.25">
      <c r="A1521" s="15">
        <v>45701.297569444447</v>
      </c>
      <c r="B1521" s="14">
        <v>4.7166666670000001</v>
      </c>
    </row>
    <row r="1522" spans="1:2" x14ac:dyDescent="0.25">
      <c r="A1522" s="15">
        <v>45701.297581018516</v>
      </c>
      <c r="B1522" s="14">
        <v>4.511111111</v>
      </c>
    </row>
    <row r="1523" spans="1:2" x14ac:dyDescent="0.25">
      <c r="A1523" s="15">
        <v>45701.297592592593</v>
      </c>
      <c r="B1523" s="14">
        <v>4.1527777779999999</v>
      </c>
    </row>
    <row r="1524" spans="1:2" x14ac:dyDescent="0.25">
      <c r="A1524" s="15">
        <v>45701.297592592593</v>
      </c>
      <c r="B1524" s="14">
        <v>4.0666666669999998</v>
      </c>
    </row>
    <row r="1525" spans="1:2" x14ac:dyDescent="0.25">
      <c r="A1525" s="15">
        <v>45701.29760416667</v>
      </c>
      <c r="B1525" s="14">
        <v>4.0583333330000002</v>
      </c>
    </row>
    <row r="1526" spans="1:2" x14ac:dyDescent="0.25">
      <c r="A1526" s="15">
        <v>45701.297615740739</v>
      </c>
      <c r="B1526" s="14">
        <v>4.0250000000000004</v>
      </c>
    </row>
    <row r="1527" spans="1:2" x14ac:dyDescent="0.25">
      <c r="A1527" s="15">
        <v>45701.297627314816</v>
      </c>
      <c r="B1527" s="14">
        <v>3.9916666670000001</v>
      </c>
    </row>
    <row r="1528" spans="1:2" x14ac:dyDescent="0.25">
      <c r="A1528" s="15">
        <v>45701.297638888886</v>
      </c>
      <c r="B1528" s="14">
        <v>4.0361111110000003</v>
      </c>
    </row>
    <row r="1529" spans="1:2" x14ac:dyDescent="0.25">
      <c r="A1529" s="15">
        <v>45701.297650462962</v>
      </c>
      <c r="B1529" s="14">
        <v>4.1555555560000004</v>
      </c>
    </row>
    <row r="1530" spans="1:2" x14ac:dyDescent="0.25">
      <c r="A1530" s="15">
        <v>45701.297662037039</v>
      </c>
      <c r="B1530" s="14">
        <v>4.2416666669999996</v>
      </c>
    </row>
    <row r="1531" spans="1:2" x14ac:dyDescent="0.25">
      <c r="A1531" s="15">
        <v>45701.297673611109</v>
      </c>
      <c r="B1531" s="14">
        <v>4.358333333</v>
      </c>
    </row>
    <row r="1532" spans="1:2" x14ac:dyDescent="0.25">
      <c r="A1532" s="15">
        <v>45701.297685185185</v>
      </c>
      <c r="B1532" s="14">
        <v>4.3472222220000001</v>
      </c>
    </row>
    <row r="1533" spans="1:2" x14ac:dyDescent="0.25">
      <c r="A1533" s="15"/>
      <c r="B1533" s="14"/>
    </row>
    <row r="1534" spans="1:2" x14ac:dyDescent="0.25">
      <c r="A1534" s="15"/>
      <c r="B1534" s="14"/>
    </row>
    <row r="1535" spans="1:2" x14ac:dyDescent="0.25">
      <c r="A1535" s="15"/>
      <c r="B1535" s="14"/>
    </row>
    <row r="1536" spans="1:2" x14ac:dyDescent="0.25">
      <c r="A1536" s="15"/>
      <c r="B1536" s="14"/>
    </row>
    <row r="1537" spans="1:2" x14ac:dyDescent="0.25">
      <c r="A1537" s="15"/>
      <c r="B1537" s="14"/>
    </row>
    <row r="1538" spans="1:2" x14ac:dyDescent="0.25">
      <c r="A1538" s="15"/>
      <c r="B1538" s="14"/>
    </row>
    <row r="1539" spans="1:2" x14ac:dyDescent="0.25">
      <c r="A1539" s="15"/>
      <c r="B1539" s="14"/>
    </row>
    <row r="1540" spans="1:2" x14ac:dyDescent="0.25">
      <c r="A1540" s="15"/>
      <c r="B1540" s="14"/>
    </row>
    <row r="1541" spans="1:2" x14ac:dyDescent="0.25">
      <c r="A1541" s="15"/>
      <c r="B1541" s="14"/>
    </row>
    <row r="1542" spans="1:2" x14ac:dyDescent="0.25">
      <c r="A1542" s="15"/>
      <c r="B1542" s="14"/>
    </row>
    <row r="1543" spans="1:2" x14ac:dyDescent="0.25">
      <c r="A1543" s="15"/>
      <c r="B1543" s="14"/>
    </row>
    <row r="1544" spans="1:2" x14ac:dyDescent="0.25">
      <c r="A1544" s="15"/>
      <c r="B1544" s="14"/>
    </row>
    <row r="1545" spans="1:2" x14ac:dyDescent="0.25">
      <c r="A1545" s="15"/>
      <c r="B1545" s="14"/>
    </row>
    <row r="1546" spans="1:2" x14ac:dyDescent="0.25">
      <c r="A1546" s="15"/>
      <c r="B1546" s="14"/>
    </row>
    <row r="1547" spans="1:2" x14ac:dyDescent="0.25">
      <c r="A1547" s="15"/>
      <c r="B1547" s="14"/>
    </row>
    <row r="1548" spans="1:2" x14ac:dyDescent="0.25">
      <c r="A1548" s="15"/>
      <c r="B1548" s="14"/>
    </row>
    <row r="1549" spans="1:2" x14ac:dyDescent="0.25">
      <c r="A1549" s="15"/>
      <c r="B1549" s="14"/>
    </row>
    <row r="1550" spans="1:2" x14ac:dyDescent="0.25">
      <c r="A1550" s="15"/>
      <c r="B1550" s="14"/>
    </row>
    <row r="1551" spans="1:2" x14ac:dyDescent="0.25">
      <c r="A1551" s="15"/>
      <c r="B1551" s="14"/>
    </row>
    <row r="1552" spans="1:2" x14ac:dyDescent="0.25">
      <c r="A1552" s="15"/>
      <c r="B1552" s="14"/>
    </row>
    <row r="1553" spans="1:2" x14ac:dyDescent="0.25">
      <c r="A1553" s="15"/>
      <c r="B1553" s="14"/>
    </row>
    <row r="1554" spans="1:2" x14ac:dyDescent="0.25">
      <c r="A1554" s="15"/>
      <c r="B1554" s="14"/>
    </row>
    <row r="1555" spans="1:2" x14ac:dyDescent="0.25">
      <c r="A1555" s="15"/>
      <c r="B1555" s="14"/>
    </row>
    <row r="1556" spans="1:2" x14ac:dyDescent="0.25">
      <c r="A1556" s="15"/>
      <c r="B1556" s="14"/>
    </row>
    <row r="1557" spans="1:2" x14ac:dyDescent="0.25">
      <c r="A1557" s="15"/>
      <c r="B1557" s="14"/>
    </row>
    <row r="1558" spans="1:2" x14ac:dyDescent="0.25">
      <c r="A1558" s="15"/>
      <c r="B1558" s="14"/>
    </row>
    <row r="1559" spans="1:2" x14ac:dyDescent="0.25">
      <c r="A1559" s="15"/>
      <c r="B1559" s="14"/>
    </row>
    <row r="1560" spans="1:2" x14ac:dyDescent="0.25">
      <c r="A1560" s="15"/>
      <c r="B1560" s="14"/>
    </row>
    <row r="1561" spans="1:2" x14ac:dyDescent="0.25">
      <c r="A1561" s="15"/>
      <c r="B1561" s="14"/>
    </row>
    <row r="1562" spans="1:2" x14ac:dyDescent="0.25">
      <c r="A1562" s="15"/>
      <c r="B1562" s="14"/>
    </row>
    <row r="1563" spans="1:2" x14ac:dyDescent="0.25">
      <c r="A1563" s="15"/>
      <c r="B1563" s="14"/>
    </row>
    <row r="1564" spans="1:2" x14ac:dyDescent="0.25">
      <c r="A1564" s="15"/>
      <c r="B1564" s="14"/>
    </row>
    <row r="1565" spans="1:2" x14ac:dyDescent="0.25">
      <c r="A1565" s="15"/>
      <c r="B1565" s="14"/>
    </row>
    <row r="1566" spans="1:2" x14ac:dyDescent="0.25">
      <c r="A1566" s="15"/>
      <c r="B1566" s="14"/>
    </row>
    <row r="1567" spans="1:2" x14ac:dyDescent="0.25">
      <c r="A1567" s="15"/>
      <c r="B1567" s="14"/>
    </row>
    <row r="1568" spans="1:2" x14ac:dyDescent="0.25">
      <c r="A1568" s="15"/>
      <c r="B1568" s="14"/>
    </row>
    <row r="1569" spans="1:2" x14ac:dyDescent="0.25">
      <c r="A1569" s="15"/>
      <c r="B1569" s="14"/>
    </row>
    <row r="1570" spans="1:2" x14ac:dyDescent="0.25">
      <c r="A1570" s="15"/>
      <c r="B1570" s="14"/>
    </row>
    <row r="1571" spans="1:2" x14ac:dyDescent="0.25">
      <c r="A1571" s="15"/>
      <c r="B1571" s="14"/>
    </row>
    <row r="1572" spans="1:2" x14ac:dyDescent="0.25">
      <c r="A1572" s="15"/>
      <c r="B1572" s="14"/>
    </row>
    <row r="1573" spans="1:2" x14ac:dyDescent="0.25">
      <c r="A1573" s="15"/>
      <c r="B1573" s="14"/>
    </row>
    <row r="1574" spans="1:2" x14ac:dyDescent="0.25">
      <c r="A1574" s="15"/>
      <c r="B1574" s="14"/>
    </row>
    <row r="1575" spans="1:2" x14ac:dyDescent="0.25">
      <c r="A1575" s="15"/>
      <c r="B1575" s="14"/>
    </row>
    <row r="1576" spans="1:2" x14ac:dyDescent="0.25">
      <c r="A1576" s="15"/>
      <c r="B1576" s="14"/>
    </row>
    <row r="1577" spans="1:2" x14ac:dyDescent="0.25">
      <c r="A1577" s="15"/>
      <c r="B1577" s="14"/>
    </row>
    <row r="1578" spans="1:2" x14ac:dyDescent="0.25">
      <c r="A1578" s="15"/>
      <c r="B1578" s="14"/>
    </row>
    <row r="1579" spans="1:2" x14ac:dyDescent="0.25">
      <c r="A1579" s="15"/>
      <c r="B1579" s="14"/>
    </row>
    <row r="1580" spans="1:2" x14ac:dyDescent="0.25">
      <c r="A1580" s="15"/>
      <c r="B1580" s="14"/>
    </row>
    <row r="1581" spans="1:2" x14ac:dyDescent="0.25">
      <c r="A1581" s="15"/>
      <c r="B1581" s="14"/>
    </row>
    <row r="1582" spans="1:2" x14ac:dyDescent="0.25">
      <c r="A1582" s="15"/>
      <c r="B1582" s="14"/>
    </row>
    <row r="1583" spans="1:2" x14ac:dyDescent="0.25">
      <c r="A1583" s="15"/>
      <c r="B1583" s="14"/>
    </row>
    <row r="1584" spans="1:2" x14ac:dyDescent="0.25">
      <c r="A1584" s="15"/>
      <c r="B1584" s="14"/>
    </row>
    <row r="1585" spans="1:2" x14ac:dyDescent="0.25">
      <c r="A1585" s="15"/>
      <c r="B1585" s="14"/>
    </row>
    <row r="1586" spans="1:2" x14ac:dyDescent="0.25">
      <c r="A1586" s="15"/>
      <c r="B1586" s="14"/>
    </row>
    <row r="1587" spans="1:2" x14ac:dyDescent="0.25">
      <c r="A1587" s="15"/>
      <c r="B1587" s="14"/>
    </row>
    <row r="1588" spans="1:2" x14ac:dyDescent="0.25">
      <c r="A1588" s="15"/>
      <c r="B1588" s="14"/>
    </row>
    <row r="1589" spans="1:2" x14ac:dyDescent="0.25">
      <c r="A1589" s="15"/>
      <c r="B1589" s="14"/>
    </row>
    <row r="1590" spans="1:2" x14ac:dyDescent="0.25">
      <c r="A1590" s="15"/>
      <c r="B1590" s="14"/>
    </row>
    <row r="1591" spans="1:2" x14ac:dyDescent="0.25">
      <c r="A1591" s="15"/>
      <c r="B1591" s="14"/>
    </row>
    <row r="1592" spans="1:2" x14ac:dyDescent="0.25">
      <c r="A1592" s="15"/>
      <c r="B1592" s="14"/>
    </row>
    <row r="1593" spans="1:2" x14ac:dyDescent="0.25">
      <c r="A1593" s="15"/>
      <c r="B1593" s="14"/>
    </row>
    <row r="1594" spans="1:2" x14ac:dyDescent="0.25">
      <c r="A1594" s="15"/>
      <c r="B1594" s="14"/>
    </row>
    <row r="1595" spans="1:2" x14ac:dyDescent="0.25">
      <c r="A1595" s="15"/>
      <c r="B1595" s="14"/>
    </row>
    <row r="1596" spans="1:2" x14ac:dyDescent="0.25">
      <c r="A1596" s="15"/>
      <c r="B1596" s="14"/>
    </row>
    <row r="1597" spans="1:2" x14ac:dyDescent="0.25">
      <c r="A1597" s="15"/>
      <c r="B1597" s="14"/>
    </row>
    <row r="1598" spans="1:2" x14ac:dyDescent="0.25">
      <c r="A1598" s="15"/>
      <c r="B1598" s="14"/>
    </row>
    <row r="1599" spans="1:2" x14ac:dyDescent="0.25">
      <c r="A1599" s="15"/>
      <c r="B1599" s="14"/>
    </row>
    <row r="1600" spans="1:2" x14ac:dyDescent="0.25">
      <c r="A1600" s="15"/>
      <c r="B1600" s="14"/>
    </row>
    <row r="1601" spans="1:2" x14ac:dyDescent="0.25">
      <c r="A1601" s="15"/>
      <c r="B1601" s="14"/>
    </row>
    <row r="1602" spans="1:2" x14ac:dyDescent="0.25">
      <c r="A1602" s="15"/>
      <c r="B1602" s="14"/>
    </row>
    <row r="1603" spans="1:2" x14ac:dyDescent="0.25">
      <c r="A1603" s="15"/>
      <c r="B1603" s="14"/>
    </row>
    <row r="1604" spans="1:2" x14ac:dyDescent="0.25">
      <c r="A1604" s="15"/>
      <c r="B1604" s="14"/>
    </row>
    <row r="1605" spans="1:2" x14ac:dyDescent="0.25">
      <c r="A1605" s="15"/>
      <c r="B1605" s="14"/>
    </row>
    <row r="1606" spans="1:2" x14ac:dyDescent="0.25">
      <c r="A1606" s="15"/>
      <c r="B1606" s="14"/>
    </row>
    <row r="1607" spans="1:2" x14ac:dyDescent="0.25">
      <c r="A1607" s="15"/>
      <c r="B1607" s="14"/>
    </row>
    <row r="1608" spans="1:2" x14ac:dyDescent="0.25">
      <c r="A1608" s="15"/>
      <c r="B1608" s="14"/>
    </row>
    <row r="1609" spans="1:2" x14ac:dyDescent="0.25">
      <c r="A1609" s="15"/>
      <c r="B1609" s="14"/>
    </row>
    <row r="1610" spans="1:2" x14ac:dyDescent="0.25">
      <c r="A1610" s="15"/>
      <c r="B1610" s="14"/>
    </row>
    <row r="1611" spans="1:2" x14ac:dyDescent="0.25">
      <c r="A1611" s="15"/>
      <c r="B1611" s="14"/>
    </row>
    <row r="1612" spans="1:2" x14ac:dyDescent="0.25">
      <c r="A1612" s="15"/>
      <c r="B1612" s="14"/>
    </row>
    <row r="1613" spans="1:2" x14ac:dyDescent="0.25">
      <c r="A1613" s="15"/>
      <c r="B1613" s="14"/>
    </row>
    <row r="1614" spans="1:2" x14ac:dyDescent="0.25">
      <c r="A1614" s="15"/>
      <c r="B1614" s="14"/>
    </row>
    <row r="1615" spans="1:2" x14ac:dyDescent="0.25">
      <c r="A1615" s="15"/>
      <c r="B1615" s="14"/>
    </row>
    <row r="1616" spans="1:2" x14ac:dyDescent="0.25">
      <c r="A1616" s="15"/>
      <c r="B1616" s="14"/>
    </row>
    <row r="1617" spans="1:2" x14ac:dyDescent="0.25">
      <c r="A1617" s="15"/>
      <c r="B1617" s="14"/>
    </row>
    <row r="1618" spans="1:2" x14ac:dyDescent="0.25">
      <c r="A1618" s="15"/>
      <c r="B1618" s="14"/>
    </row>
    <row r="1619" spans="1:2" x14ac:dyDescent="0.25">
      <c r="A1619" s="15"/>
      <c r="B1619" s="14"/>
    </row>
    <row r="1620" spans="1:2" x14ac:dyDescent="0.25">
      <c r="A1620" s="15"/>
      <c r="B1620" s="14"/>
    </row>
    <row r="1621" spans="1:2" x14ac:dyDescent="0.25">
      <c r="A1621" s="15"/>
      <c r="B1621" s="14"/>
    </row>
    <row r="1622" spans="1:2" x14ac:dyDescent="0.25">
      <c r="A1622" s="15"/>
      <c r="B1622" s="14"/>
    </row>
    <row r="1623" spans="1:2" x14ac:dyDescent="0.25">
      <c r="A1623" s="15"/>
      <c r="B1623" s="14"/>
    </row>
    <row r="1624" spans="1:2" x14ac:dyDescent="0.25">
      <c r="A1624" s="15"/>
      <c r="B1624" s="14"/>
    </row>
    <row r="1625" spans="1:2" x14ac:dyDescent="0.25">
      <c r="A1625" s="15"/>
      <c r="B1625" s="14"/>
    </row>
    <row r="1626" spans="1:2" x14ac:dyDescent="0.25">
      <c r="A1626" s="15"/>
      <c r="B1626" s="14"/>
    </row>
    <row r="1627" spans="1:2" x14ac:dyDescent="0.25">
      <c r="A1627" s="15"/>
      <c r="B1627" s="14"/>
    </row>
    <row r="1628" spans="1:2" x14ac:dyDescent="0.25">
      <c r="A1628" s="15"/>
      <c r="B1628" s="14"/>
    </row>
    <row r="1629" spans="1:2" x14ac:dyDescent="0.25">
      <c r="A1629" s="15"/>
      <c r="B1629" s="14"/>
    </row>
    <row r="1630" spans="1:2" x14ac:dyDescent="0.25">
      <c r="A1630" s="15"/>
      <c r="B1630" s="14"/>
    </row>
    <row r="1631" spans="1:2" x14ac:dyDescent="0.25">
      <c r="A1631" s="15"/>
      <c r="B1631" s="14"/>
    </row>
    <row r="1632" spans="1:2" x14ac:dyDescent="0.25">
      <c r="A1632" s="15"/>
      <c r="B1632" s="14"/>
    </row>
    <row r="1633" spans="1:2" x14ac:dyDescent="0.25">
      <c r="A1633" s="15"/>
      <c r="B1633" s="14"/>
    </row>
    <row r="1634" spans="1:2" x14ac:dyDescent="0.25">
      <c r="A1634" s="15"/>
      <c r="B1634" s="14"/>
    </row>
    <row r="1635" spans="1:2" x14ac:dyDescent="0.25">
      <c r="A1635" s="15"/>
      <c r="B1635" s="14"/>
    </row>
    <row r="1636" spans="1:2" x14ac:dyDescent="0.25">
      <c r="A1636" s="15"/>
      <c r="B1636" s="14"/>
    </row>
    <row r="1637" spans="1:2" x14ac:dyDescent="0.25">
      <c r="A1637" s="15"/>
      <c r="B1637" s="14"/>
    </row>
    <row r="1638" spans="1:2" x14ac:dyDescent="0.25">
      <c r="A1638" s="15"/>
      <c r="B1638" s="14"/>
    </row>
    <row r="1639" spans="1:2" x14ac:dyDescent="0.25">
      <c r="A1639" s="15"/>
      <c r="B1639" s="14"/>
    </row>
    <row r="1640" spans="1:2" x14ac:dyDescent="0.25">
      <c r="A1640" s="15"/>
      <c r="B1640" s="14"/>
    </row>
    <row r="1641" spans="1:2" x14ac:dyDescent="0.25">
      <c r="A1641" s="15"/>
      <c r="B1641" s="14"/>
    </row>
    <row r="1642" spans="1:2" x14ac:dyDescent="0.25">
      <c r="A1642" s="15"/>
      <c r="B1642" s="14"/>
    </row>
    <row r="1643" spans="1:2" x14ac:dyDescent="0.25">
      <c r="A1643" s="15"/>
      <c r="B1643" s="14"/>
    </row>
    <row r="1644" spans="1:2" x14ac:dyDescent="0.25">
      <c r="A1644" s="15"/>
      <c r="B1644" s="14"/>
    </row>
    <row r="1645" spans="1:2" x14ac:dyDescent="0.25">
      <c r="A1645" s="15"/>
      <c r="B1645" s="14"/>
    </row>
    <row r="1646" spans="1:2" x14ac:dyDescent="0.25">
      <c r="A1646" s="15"/>
      <c r="B1646" s="14"/>
    </row>
    <row r="1647" spans="1:2" x14ac:dyDescent="0.25">
      <c r="A1647" s="15"/>
      <c r="B1647" s="14"/>
    </row>
    <row r="1648" spans="1:2" x14ac:dyDescent="0.25">
      <c r="A1648" s="15"/>
      <c r="B1648" s="14"/>
    </row>
    <row r="1649" spans="1:2" x14ac:dyDescent="0.25">
      <c r="A1649" s="15"/>
      <c r="B1649" s="14"/>
    </row>
    <row r="1650" spans="1:2" x14ac:dyDescent="0.25">
      <c r="A1650" s="15"/>
      <c r="B1650" s="14"/>
    </row>
    <row r="1651" spans="1:2" x14ac:dyDescent="0.25">
      <c r="A1651" s="15"/>
      <c r="B1651" s="14"/>
    </row>
    <row r="1652" spans="1:2" x14ac:dyDescent="0.25">
      <c r="A1652" s="15"/>
      <c r="B1652" s="14"/>
    </row>
    <row r="1653" spans="1:2" x14ac:dyDescent="0.25">
      <c r="A1653" s="15"/>
      <c r="B1653" s="14"/>
    </row>
    <row r="1654" spans="1:2" x14ac:dyDescent="0.25">
      <c r="A1654" s="15"/>
      <c r="B1654" s="14"/>
    </row>
    <row r="1655" spans="1:2" x14ac:dyDescent="0.25">
      <c r="A1655" s="15"/>
      <c r="B1655" s="14"/>
    </row>
    <row r="1656" spans="1:2" x14ac:dyDescent="0.25">
      <c r="A1656" s="15"/>
      <c r="B1656" s="14"/>
    </row>
    <row r="1657" spans="1:2" x14ac:dyDescent="0.25">
      <c r="A1657" s="15"/>
      <c r="B1657" s="14"/>
    </row>
    <row r="1658" spans="1:2" x14ac:dyDescent="0.25">
      <c r="A1658" s="15"/>
      <c r="B1658" s="14"/>
    </row>
    <row r="1659" spans="1:2" x14ac:dyDescent="0.25">
      <c r="A1659" s="15"/>
      <c r="B1659" s="14"/>
    </row>
    <row r="1660" spans="1:2" x14ac:dyDescent="0.25">
      <c r="A1660" s="15"/>
      <c r="B1660" s="14"/>
    </row>
    <row r="1661" spans="1:2" x14ac:dyDescent="0.25">
      <c r="A1661" s="15"/>
      <c r="B1661" s="14"/>
    </row>
    <row r="1662" spans="1:2" x14ac:dyDescent="0.25">
      <c r="A1662" s="15"/>
      <c r="B1662" s="14"/>
    </row>
    <row r="1663" spans="1:2" x14ac:dyDescent="0.25">
      <c r="A1663" s="15"/>
      <c r="B1663" s="14"/>
    </row>
    <row r="1664" spans="1:2" x14ac:dyDescent="0.25">
      <c r="A1664" s="15"/>
      <c r="B1664" s="14"/>
    </row>
    <row r="1665" spans="1:2" x14ac:dyDescent="0.25">
      <c r="A1665" s="15"/>
      <c r="B1665" s="14"/>
    </row>
    <row r="1666" spans="1:2" x14ac:dyDescent="0.25">
      <c r="A1666" s="15"/>
      <c r="B1666" s="14"/>
    </row>
    <row r="1667" spans="1:2" x14ac:dyDescent="0.25">
      <c r="A1667" s="15"/>
      <c r="B1667" s="14"/>
    </row>
    <row r="1668" spans="1:2" x14ac:dyDescent="0.25">
      <c r="A1668" s="15"/>
      <c r="B1668" s="14"/>
    </row>
    <row r="1669" spans="1:2" x14ac:dyDescent="0.25">
      <c r="A1669" s="15"/>
      <c r="B1669" s="14"/>
    </row>
    <row r="1670" spans="1:2" x14ac:dyDescent="0.25">
      <c r="A1670" s="15"/>
      <c r="B1670" s="14"/>
    </row>
    <row r="1671" spans="1:2" x14ac:dyDescent="0.25">
      <c r="A1671" s="15"/>
      <c r="B1671" s="14"/>
    </row>
    <row r="1672" spans="1:2" x14ac:dyDescent="0.25">
      <c r="A1672" s="15"/>
      <c r="B1672" s="14"/>
    </row>
    <row r="1673" spans="1:2" x14ac:dyDescent="0.25">
      <c r="A1673" s="15"/>
      <c r="B1673" s="14"/>
    </row>
    <row r="1674" spans="1:2" x14ac:dyDescent="0.25">
      <c r="A1674" s="15"/>
      <c r="B1674" s="14"/>
    </row>
    <row r="1675" spans="1:2" x14ac:dyDescent="0.25">
      <c r="A1675" s="15"/>
      <c r="B1675" s="14"/>
    </row>
    <row r="1676" spans="1:2" x14ac:dyDescent="0.25">
      <c r="A1676" s="15"/>
      <c r="B1676" s="14"/>
    </row>
    <row r="1677" spans="1:2" x14ac:dyDescent="0.25">
      <c r="A1677" s="15"/>
      <c r="B1677" s="14"/>
    </row>
    <row r="1678" spans="1:2" x14ac:dyDescent="0.25">
      <c r="A1678" s="15"/>
      <c r="B1678" s="14"/>
    </row>
    <row r="1679" spans="1:2" x14ac:dyDescent="0.25">
      <c r="A1679" s="15"/>
      <c r="B1679" s="14"/>
    </row>
    <row r="1680" spans="1:2" x14ac:dyDescent="0.25">
      <c r="A1680" s="15"/>
      <c r="B1680" s="14"/>
    </row>
    <row r="1681" spans="1:2" x14ac:dyDescent="0.25">
      <c r="A1681" s="15"/>
      <c r="B1681" s="14"/>
    </row>
    <row r="1682" spans="1:2" x14ac:dyDescent="0.25">
      <c r="A1682" s="15"/>
      <c r="B1682" s="14"/>
    </row>
    <row r="1683" spans="1:2" x14ac:dyDescent="0.25">
      <c r="A1683" s="15"/>
      <c r="B1683" s="14"/>
    </row>
    <row r="1684" spans="1:2" x14ac:dyDescent="0.25">
      <c r="A1684" s="15"/>
      <c r="B1684" s="14"/>
    </row>
    <row r="1685" spans="1:2" x14ac:dyDescent="0.25">
      <c r="A1685" s="15"/>
      <c r="B1685" s="14"/>
    </row>
    <row r="1686" spans="1:2" x14ac:dyDescent="0.25">
      <c r="A1686" s="15"/>
      <c r="B1686" s="14"/>
    </row>
    <row r="1687" spans="1:2" x14ac:dyDescent="0.25">
      <c r="A1687" s="15"/>
      <c r="B1687" s="14"/>
    </row>
    <row r="1688" spans="1:2" x14ac:dyDescent="0.25">
      <c r="A1688" s="15"/>
      <c r="B1688" s="14"/>
    </row>
    <row r="1689" spans="1:2" x14ac:dyDescent="0.25">
      <c r="A1689" s="15"/>
      <c r="B1689" s="14"/>
    </row>
    <row r="1690" spans="1:2" x14ac:dyDescent="0.25">
      <c r="A1690" s="15"/>
      <c r="B1690" s="14"/>
    </row>
    <row r="1691" spans="1:2" x14ac:dyDescent="0.25">
      <c r="A1691" s="15"/>
      <c r="B1691" s="14"/>
    </row>
    <row r="1692" spans="1:2" x14ac:dyDescent="0.25">
      <c r="A1692" s="15"/>
      <c r="B1692" s="14"/>
    </row>
    <row r="1693" spans="1:2" x14ac:dyDescent="0.25">
      <c r="A1693" s="15"/>
      <c r="B1693" s="14"/>
    </row>
    <row r="1694" spans="1:2" x14ac:dyDescent="0.25">
      <c r="A1694" s="15"/>
      <c r="B1694" s="14"/>
    </row>
    <row r="1695" spans="1:2" x14ac:dyDescent="0.25">
      <c r="A1695" s="15"/>
      <c r="B1695" s="14"/>
    </row>
    <row r="1696" spans="1:2" x14ac:dyDescent="0.25">
      <c r="A1696" s="15"/>
      <c r="B1696" s="14"/>
    </row>
    <row r="1697" spans="1:2" x14ac:dyDescent="0.25">
      <c r="A1697" s="15"/>
      <c r="B1697" s="14"/>
    </row>
    <row r="1698" spans="1:2" x14ac:dyDescent="0.25">
      <c r="A1698" s="15"/>
      <c r="B1698" s="14"/>
    </row>
    <row r="1699" spans="1:2" x14ac:dyDescent="0.25">
      <c r="A1699" s="15"/>
      <c r="B1699" s="14"/>
    </row>
    <row r="1700" spans="1:2" x14ac:dyDescent="0.25">
      <c r="A1700" s="15"/>
      <c r="B1700" s="14"/>
    </row>
    <row r="1701" spans="1:2" x14ac:dyDescent="0.25">
      <c r="A1701" s="15"/>
      <c r="B1701" s="14"/>
    </row>
    <row r="1702" spans="1:2" x14ac:dyDescent="0.25">
      <c r="A1702" s="15"/>
      <c r="B1702" s="14"/>
    </row>
    <row r="1703" spans="1:2" x14ac:dyDescent="0.25">
      <c r="A1703" s="15"/>
      <c r="B1703" s="14"/>
    </row>
    <row r="1704" spans="1:2" x14ac:dyDescent="0.25">
      <c r="A1704" s="15"/>
      <c r="B1704" s="14"/>
    </row>
    <row r="1705" spans="1:2" x14ac:dyDescent="0.25">
      <c r="A1705" s="15"/>
      <c r="B1705" s="14"/>
    </row>
    <row r="1706" spans="1:2" x14ac:dyDescent="0.25">
      <c r="A1706" s="15"/>
      <c r="B1706" s="14"/>
    </row>
    <row r="1707" spans="1:2" x14ac:dyDescent="0.25">
      <c r="A1707" s="15"/>
      <c r="B1707" s="14"/>
    </row>
    <row r="1708" spans="1:2" x14ac:dyDescent="0.25">
      <c r="A1708" s="15"/>
      <c r="B1708" s="14"/>
    </row>
    <row r="1709" spans="1:2" x14ac:dyDescent="0.25">
      <c r="A1709" s="15"/>
      <c r="B1709" s="14"/>
    </row>
    <row r="1710" spans="1:2" x14ac:dyDescent="0.25">
      <c r="A1710" s="15"/>
      <c r="B1710" s="14"/>
    </row>
    <row r="1711" spans="1:2" x14ac:dyDescent="0.25">
      <c r="A1711" s="15"/>
      <c r="B1711" s="14"/>
    </row>
    <row r="1712" spans="1:2" x14ac:dyDescent="0.25">
      <c r="A1712" s="15"/>
      <c r="B1712" s="14"/>
    </row>
    <row r="1713" spans="1:2" x14ac:dyDescent="0.25">
      <c r="A1713" s="15"/>
      <c r="B1713" s="14"/>
    </row>
    <row r="1714" spans="1:2" x14ac:dyDescent="0.25">
      <c r="A1714" s="15"/>
      <c r="B1714" s="14"/>
    </row>
    <row r="1715" spans="1:2" x14ac:dyDescent="0.25">
      <c r="A1715" s="15"/>
      <c r="B1715" s="14"/>
    </row>
    <row r="1716" spans="1:2" x14ac:dyDescent="0.25">
      <c r="A1716" s="15"/>
      <c r="B1716" s="14"/>
    </row>
    <row r="1717" spans="1:2" x14ac:dyDescent="0.25">
      <c r="A1717" s="15"/>
      <c r="B1717" s="14"/>
    </row>
    <row r="1718" spans="1:2" x14ac:dyDescent="0.25">
      <c r="A1718" s="15"/>
      <c r="B1718" s="14"/>
    </row>
    <row r="1719" spans="1:2" x14ac:dyDescent="0.25">
      <c r="A1719" s="15"/>
      <c r="B1719" s="14"/>
    </row>
    <row r="1720" spans="1:2" x14ac:dyDescent="0.25">
      <c r="A1720" s="15"/>
      <c r="B1720" s="14"/>
    </row>
    <row r="1721" spans="1:2" x14ac:dyDescent="0.25">
      <c r="A1721" s="15"/>
      <c r="B1721" s="14"/>
    </row>
    <row r="1722" spans="1:2" x14ac:dyDescent="0.25">
      <c r="A1722" s="15"/>
      <c r="B1722" s="14"/>
    </row>
    <row r="1723" spans="1:2" x14ac:dyDescent="0.25">
      <c r="A1723" s="15"/>
      <c r="B1723" s="14"/>
    </row>
    <row r="1724" spans="1:2" x14ac:dyDescent="0.25">
      <c r="A1724" s="15"/>
      <c r="B1724" s="14"/>
    </row>
    <row r="1725" spans="1:2" x14ac:dyDescent="0.25">
      <c r="A1725" s="15"/>
      <c r="B1725" s="14"/>
    </row>
    <row r="1726" spans="1:2" x14ac:dyDescent="0.25">
      <c r="A1726" s="15"/>
      <c r="B1726" s="14"/>
    </row>
    <row r="1727" spans="1:2" x14ac:dyDescent="0.25">
      <c r="A1727" s="15"/>
      <c r="B1727" s="14"/>
    </row>
    <row r="1728" spans="1:2" x14ac:dyDescent="0.25">
      <c r="A1728" s="15"/>
      <c r="B1728" s="14"/>
    </row>
    <row r="1729" spans="1:2" x14ac:dyDescent="0.25">
      <c r="A1729" s="15"/>
      <c r="B1729" s="14"/>
    </row>
    <row r="1730" spans="1:2" x14ac:dyDescent="0.25">
      <c r="A1730" s="15"/>
      <c r="B1730" s="14"/>
    </row>
    <row r="1731" spans="1:2" x14ac:dyDescent="0.25">
      <c r="A1731" s="15"/>
      <c r="B1731" s="14"/>
    </row>
    <row r="1732" spans="1:2" x14ac:dyDescent="0.25">
      <c r="A1732" s="15"/>
      <c r="B1732" s="14"/>
    </row>
    <row r="1733" spans="1:2" x14ac:dyDescent="0.25">
      <c r="A1733" s="15"/>
      <c r="B1733" s="14"/>
    </row>
    <row r="1734" spans="1:2" x14ac:dyDescent="0.25">
      <c r="A1734" s="15"/>
      <c r="B1734" s="14"/>
    </row>
    <row r="1735" spans="1:2" x14ac:dyDescent="0.25">
      <c r="A1735" s="15"/>
      <c r="B1735" s="14"/>
    </row>
    <row r="1736" spans="1:2" x14ac:dyDescent="0.25">
      <c r="A1736" s="15"/>
      <c r="B1736" s="14"/>
    </row>
    <row r="1737" spans="1:2" x14ac:dyDescent="0.25">
      <c r="A1737" s="15"/>
      <c r="B1737" s="14"/>
    </row>
    <row r="1738" spans="1:2" x14ac:dyDescent="0.25">
      <c r="A1738" s="15"/>
      <c r="B1738" s="14"/>
    </row>
    <row r="1739" spans="1:2" x14ac:dyDescent="0.25">
      <c r="A1739" s="15"/>
      <c r="B1739" s="14"/>
    </row>
    <row r="1740" spans="1:2" x14ac:dyDescent="0.25">
      <c r="A1740" s="15"/>
      <c r="B1740" s="14"/>
    </row>
    <row r="1741" spans="1:2" x14ac:dyDescent="0.25">
      <c r="A1741" s="15"/>
      <c r="B1741" s="14"/>
    </row>
    <row r="1742" spans="1:2" x14ac:dyDescent="0.25">
      <c r="A1742" s="15"/>
      <c r="B1742" s="14"/>
    </row>
    <row r="1743" spans="1:2" x14ac:dyDescent="0.25">
      <c r="A1743" s="15"/>
      <c r="B1743" s="14"/>
    </row>
    <row r="1744" spans="1:2" x14ac:dyDescent="0.25">
      <c r="A1744" s="15"/>
      <c r="B1744" s="14"/>
    </row>
    <row r="1745" spans="1:2" x14ac:dyDescent="0.25">
      <c r="A1745" s="15"/>
      <c r="B1745" s="14"/>
    </row>
    <row r="1746" spans="1:2" x14ac:dyDescent="0.25">
      <c r="A1746" s="15"/>
      <c r="B1746" s="14"/>
    </row>
    <row r="1747" spans="1:2" x14ac:dyDescent="0.25">
      <c r="A1747" s="15"/>
      <c r="B1747" s="14"/>
    </row>
    <row r="1748" spans="1:2" x14ac:dyDescent="0.25">
      <c r="A1748" s="15"/>
      <c r="B1748" s="14"/>
    </row>
    <row r="1749" spans="1:2" x14ac:dyDescent="0.25">
      <c r="A1749" s="15"/>
      <c r="B1749" s="14"/>
    </row>
    <row r="1750" spans="1:2" x14ac:dyDescent="0.25">
      <c r="A1750" s="15"/>
      <c r="B1750" s="14"/>
    </row>
    <row r="1751" spans="1:2" hidden="1" x14ac:dyDescent="0.25">
      <c r="A1751" s="15">
        <v>45391.725821759261</v>
      </c>
      <c r="B1751" s="14">
        <v>2.1555555559999999</v>
      </c>
    </row>
    <row r="1752" spans="1:2" hidden="1" x14ac:dyDescent="0.25">
      <c r="A1752" s="15">
        <v>45391.72583333333</v>
      </c>
      <c r="B1752" s="14">
        <v>3.136111111</v>
      </c>
    </row>
    <row r="1753" spans="1:2" hidden="1" x14ac:dyDescent="0.25">
      <c r="A1753" s="15">
        <v>45391.72583333333</v>
      </c>
      <c r="B1753" s="14">
        <v>3.0666666669999998</v>
      </c>
    </row>
    <row r="1754" spans="1:2" hidden="1" x14ac:dyDescent="0.25">
      <c r="A1754" s="15">
        <v>45391.725844907407</v>
      </c>
      <c r="B1754" s="14">
        <v>3.9722222220000001</v>
      </c>
    </row>
    <row r="1755" spans="1:2" hidden="1" x14ac:dyDescent="0.25">
      <c r="A1755" s="15">
        <v>45391.725856481484</v>
      </c>
      <c r="B1755" s="14">
        <v>4.8388888889999997</v>
      </c>
    </row>
    <row r="1756" spans="1:2" hidden="1" x14ac:dyDescent="0.25">
      <c r="A1756" s="15">
        <v>45391.725856481484</v>
      </c>
      <c r="B1756" s="14">
        <v>5.141666667</v>
      </c>
    </row>
    <row r="1757" spans="1:2" hidden="1" x14ac:dyDescent="0.25">
      <c r="A1757" s="15">
        <v>45391.725868055553</v>
      </c>
      <c r="B1757" s="14">
        <v>5.391666667</v>
      </c>
    </row>
    <row r="1758" spans="1:2" hidden="1" x14ac:dyDescent="0.25">
      <c r="A1758" s="15">
        <v>45391.725868055553</v>
      </c>
      <c r="B1758" s="14">
        <v>5.5194444440000003</v>
      </c>
    </row>
    <row r="1759" spans="1:2" hidden="1" x14ac:dyDescent="0.25">
      <c r="A1759" s="15">
        <v>45391.72587962963</v>
      </c>
      <c r="B1759" s="14">
        <v>5.5138888890000004</v>
      </c>
    </row>
    <row r="1760" spans="1:2" hidden="1" x14ac:dyDescent="0.25">
      <c r="A1760" s="15">
        <v>45391.72587962963</v>
      </c>
      <c r="B1760" s="14">
        <v>5.6055555559999997</v>
      </c>
    </row>
    <row r="1761" spans="1:2" hidden="1" x14ac:dyDescent="0.25">
      <c r="A1761" s="15">
        <v>45391.725891203707</v>
      </c>
      <c r="B1761" s="14">
        <v>5.6111111109999996</v>
      </c>
    </row>
    <row r="1762" spans="1:2" hidden="1" x14ac:dyDescent="0.25">
      <c r="A1762" s="15">
        <v>45391.725891203707</v>
      </c>
      <c r="B1762" s="14">
        <v>5.6833333330000002</v>
      </c>
    </row>
    <row r="1763" spans="1:2" hidden="1" x14ac:dyDescent="0.25">
      <c r="A1763" s="15">
        <v>45391.725902777776</v>
      </c>
      <c r="B1763" s="14">
        <v>5.761111111</v>
      </c>
    </row>
    <row r="1764" spans="1:2" hidden="1" x14ac:dyDescent="0.25">
      <c r="A1764" s="15">
        <v>45391.725914351853</v>
      </c>
      <c r="B1764" s="14">
        <v>5.7861111110000003</v>
      </c>
    </row>
    <row r="1765" spans="1:2" hidden="1" x14ac:dyDescent="0.25">
      <c r="A1765" s="15">
        <v>45391.725914351853</v>
      </c>
      <c r="B1765" s="14">
        <v>5.8055555559999998</v>
      </c>
    </row>
    <row r="1766" spans="1:2" hidden="1" x14ac:dyDescent="0.25">
      <c r="A1766" s="15">
        <v>45391.725925925923</v>
      </c>
      <c r="B1766" s="14">
        <v>5.766666667</v>
      </c>
    </row>
    <row r="1767" spans="1:2" hidden="1" x14ac:dyDescent="0.25">
      <c r="A1767" s="15">
        <v>45391.725925925923</v>
      </c>
      <c r="B1767" s="14">
        <v>5.7277777780000001</v>
      </c>
    </row>
    <row r="1768" spans="1:2" hidden="1" x14ac:dyDescent="0.25">
      <c r="A1768" s="15">
        <v>45391.725949074076</v>
      </c>
      <c r="B1768" s="14">
        <v>5.5361111110000003</v>
      </c>
    </row>
    <row r="1769" spans="1:2" hidden="1" x14ac:dyDescent="0.25">
      <c r="A1769" s="15">
        <v>45391.725949074076</v>
      </c>
      <c r="B1769" s="14">
        <v>5.516666667</v>
      </c>
    </row>
    <row r="1770" spans="1:2" hidden="1" x14ac:dyDescent="0.25">
      <c r="A1770" s="15">
        <v>45391.725960648146</v>
      </c>
      <c r="B1770" s="14">
        <v>5.0638888890000002</v>
      </c>
    </row>
    <row r="1771" spans="1:2" hidden="1" x14ac:dyDescent="0.25">
      <c r="A1771" s="15">
        <v>45391.725960648146</v>
      </c>
      <c r="B1771" s="14">
        <v>4.5611111109999998</v>
      </c>
    </row>
    <row r="1772" spans="1:2" hidden="1" x14ac:dyDescent="0.25">
      <c r="A1772" s="15">
        <v>45391.725983796299</v>
      </c>
      <c r="B1772" s="14">
        <v>4.0527777780000003</v>
      </c>
    </row>
    <row r="1773" spans="1:2" hidden="1" x14ac:dyDescent="0.25">
      <c r="A1773" s="15">
        <v>45391.725983796299</v>
      </c>
      <c r="B1773" s="14">
        <v>3.85</v>
      </c>
    </row>
    <row r="1774" spans="1:2" hidden="1" x14ac:dyDescent="0.25">
      <c r="A1774" s="15">
        <v>45391.725995370369</v>
      </c>
      <c r="B1774" s="14">
        <v>3.8333333330000001</v>
      </c>
    </row>
    <row r="1775" spans="1:2" hidden="1" x14ac:dyDescent="0.25">
      <c r="A1775" s="15">
        <v>45391.725995370369</v>
      </c>
      <c r="B1775" s="14">
        <v>3.8194444440000002</v>
      </c>
    </row>
    <row r="1776" spans="1:2" hidden="1" x14ac:dyDescent="0.25">
      <c r="A1776" s="15">
        <v>45391.726006944446</v>
      </c>
      <c r="B1776" s="14">
        <v>3.8222222220000002</v>
      </c>
    </row>
    <row r="1777" spans="1:2" hidden="1" x14ac:dyDescent="0.25">
      <c r="A1777" s="15">
        <v>45391.726018518515</v>
      </c>
      <c r="B1777" s="14">
        <v>3.8111111110000002</v>
      </c>
    </row>
    <row r="1778" spans="1:2" hidden="1" x14ac:dyDescent="0.25">
      <c r="A1778" s="15">
        <v>45391.726030092592</v>
      </c>
      <c r="B1778" s="14">
        <v>3.8</v>
      </c>
    </row>
    <row r="1779" spans="1:2" hidden="1" x14ac:dyDescent="0.25">
      <c r="A1779" s="15">
        <v>45391.726041666669</v>
      </c>
      <c r="B1779" s="14">
        <v>3.763888889</v>
      </c>
    </row>
    <row r="1780" spans="1:2" hidden="1" x14ac:dyDescent="0.25">
      <c r="A1780" s="15">
        <v>45391.726041666669</v>
      </c>
      <c r="B1780" s="14">
        <v>3.761111111</v>
      </c>
    </row>
    <row r="1781" spans="1:2" hidden="1" x14ac:dyDescent="0.25">
      <c r="A1781" s="15">
        <v>45391.726041666669</v>
      </c>
      <c r="B1781" s="14">
        <v>3.85</v>
      </c>
    </row>
    <row r="1782" spans="1:2" hidden="1" x14ac:dyDescent="0.25">
      <c r="A1782" s="15">
        <v>45391.726064814815</v>
      </c>
      <c r="B1782" s="14">
        <v>4.0472222220000003</v>
      </c>
    </row>
    <row r="1783" spans="1:2" hidden="1" x14ac:dyDescent="0.25">
      <c r="A1783" s="15">
        <v>45391.726076388892</v>
      </c>
      <c r="B1783" s="14">
        <v>4.136111111</v>
      </c>
    </row>
    <row r="1784" spans="1:2" hidden="1" x14ac:dyDescent="0.25">
      <c r="A1784" s="15">
        <v>45391.726087962961</v>
      </c>
      <c r="B1784" s="14">
        <v>4.0666666669999998</v>
      </c>
    </row>
    <row r="1785" spans="1:2" hidden="1" x14ac:dyDescent="0.25">
      <c r="A1785" s="15">
        <v>45391.726087962961</v>
      </c>
      <c r="B1785" s="14">
        <v>4.0555555559999998</v>
      </c>
    </row>
    <row r="1786" spans="1:2" hidden="1" x14ac:dyDescent="0.25">
      <c r="A1786" s="15">
        <v>45391.726111111115</v>
      </c>
      <c r="B1786" s="14">
        <v>4.0416666670000003</v>
      </c>
    </row>
    <row r="1787" spans="1:2" hidden="1" x14ac:dyDescent="0.25">
      <c r="A1787" s="15">
        <v>45391.726122685184</v>
      </c>
      <c r="B1787" s="14">
        <v>4.0833333329999997</v>
      </c>
    </row>
    <row r="1788" spans="1:2" hidden="1" x14ac:dyDescent="0.25">
      <c r="A1788" s="15">
        <v>45391.726122685184</v>
      </c>
      <c r="B1788" s="14">
        <v>4.1833333330000002</v>
      </c>
    </row>
    <row r="1789" spans="1:2" hidden="1" x14ac:dyDescent="0.25">
      <c r="A1789" s="15">
        <v>45391.726134259261</v>
      </c>
      <c r="B1789" s="14">
        <v>4.1944444440000002</v>
      </c>
    </row>
    <row r="1790" spans="1:2" hidden="1" x14ac:dyDescent="0.25">
      <c r="A1790" s="15">
        <v>45391.726134259261</v>
      </c>
      <c r="B1790" s="14">
        <v>4.2638888890000004</v>
      </c>
    </row>
    <row r="1791" spans="1:2" hidden="1" x14ac:dyDescent="0.25">
      <c r="A1791" s="15">
        <v>45391.726134259261</v>
      </c>
      <c r="B1791" s="14">
        <v>4.2583333330000004</v>
      </c>
    </row>
    <row r="1792" spans="1:2" hidden="1" x14ac:dyDescent="0.25">
      <c r="A1792" s="15">
        <v>45391.726145833331</v>
      </c>
      <c r="B1792" s="14">
        <v>4.2638888890000004</v>
      </c>
    </row>
    <row r="1793" spans="1:2" hidden="1" x14ac:dyDescent="0.25">
      <c r="A1793" s="15">
        <v>45391.726157407407</v>
      </c>
      <c r="B1793" s="14">
        <v>4.2527777779999996</v>
      </c>
    </row>
    <row r="1794" spans="1:2" hidden="1" x14ac:dyDescent="0.25">
      <c r="A1794" s="15">
        <v>45391.726168981484</v>
      </c>
      <c r="B1794" s="14">
        <v>4.2361111109999996</v>
      </c>
    </row>
    <row r="1795" spans="1:2" hidden="1" x14ac:dyDescent="0.25">
      <c r="A1795" s="15">
        <v>45391.726168981484</v>
      </c>
      <c r="B1795" s="14">
        <v>4.2055555560000002</v>
      </c>
    </row>
    <row r="1796" spans="1:2" hidden="1" x14ac:dyDescent="0.25">
      <c r="A1796" s="15">
        <v>45391.72619212963</v>
      </c>
      <c r="B1796" s="14">
        <v>4.1833333330000002</v>
      </c>
    </row>
    <row r="1797" spans="1:2" hidden="1" x14ac:dyDescent="0.25">
      <c r="A1797" s="15">
        <v>45391.72619212963</v>
      </c>
      <c r="B1797" s="14">
        <v>4.1583333329999999</v>
      </c>
    </row>
    <row r="1798" spans="1:2" hidden="1" x14ac:dyDescent="0.25">
      <c r="A1798" s="15">
        <v>45391.726203703707</v>
      </c>
      <c r="B1798" s="14">
        <v>4.1555555560000004</v>
      </c>
    </row>
    <row r="1799" spans="1:2" hidden="1" x14ac:dyDescent="0.25">
      <c r="A1799" s="15">
        <v>45391.726215277777</v>
      </c>
      <c r="B1799" s="14">
        <v>4.1666666670000003</v>
      </c>
    </row>
    <row r="1800" spans="1:2" hidden="1" x14ac:dyDescent="0.25">
      <c r="A1800" s="15">
        <v>45391.726226851853</v>
      </c>
      <c r="B1800" s="14">
        <v>4.0916666670000001</v>
      </c>
    </row>
    <row r="1801" spans="1:2" hidden="1" x14ac:dyDescent="0.25">
      <c r="A1801" s="15">
        <v>45391.726226851853</v>
      </c>
      <c r="B1801" s="14">
        <v>4.0972222220000001</v>
      </c>
    </row>
    <row r="1802" spans="1:2" hidden="1" x14ac:dyDescent="0.25">
      <c r="A1802" s="15">
        <v>45391.726226851853</v>
      </c>
      <c r="B1802" s="14">
        <v>3.9694444440000001</v>
      </c>
    </row>
    <row r="1803" spans="1:2" hidden="1" x14ac:dyDescent="0.25">
      <c r="A1803" s="15">
        <v>45391.72625</v>
      </c>
      <c r="B1803" s="14">
        <v>3.8472222220000001</v>
      </c>
    </row>
    <row r="1804" spans="1:2" hidden="1" x14ac:dyDescent="0.25">
      <c r="A1804" s="15">
        <v>45391.726261574076</v>
      </c>
      <c r="B1804" s="14">
        <v>3.7194444440000001</v>
      </c>
    </row>
    <row r="1805" spans="1:2" hidden="1" x14ac:dyDescent="0.25">
      <c r="A1805" s="15">
        <v>45391.726273148146</v>
      </c>
      <c r="B1805" s="14">
        <v>3.619444444</v>
      </c>
    </row>
    <row r="1806" spans="1:2" hidden="1" x14ac:dyDescent="0.25">
      <c r="A1806" s="15">
        <v>45391.726284722223</v>
      </c>
      <c r="B1806" s="14">
        <v>3.4222222219999998</v>
      </c>
    </row>
    <row r="1807" spans="1:2" hidden="1" x14ac:dyDescent="0.25">
      <c r="A1807" s="15">
        <v>45391.7262962963</v>
      </c>
      <c r="B1807" s="14">
        <v>3.1166666670000001</v>
      </c>
    </row>
    <row r="1808" spans="1:2" hidden="1" x14ac:dyDescent="0.25">
      <c r="A1808" s="15">
        <v>45391.726307870369</v>
      </c>
      <c r="B1808" s="14">
        <v>2.7916666669999999</v>
      </c>
    </row>
    <row r="1809" spans="1:2" hidden="1" x14ac:dyDescent="0.25">
      <c r="A1809" s="15">
        <v>45391.726307870369</v>
      </c>
      <c r="B1809" s="14">
        <v>2.3138888889999998</v>
      </c>
    </row>
    <row r="1810" spans="1:2" hidden="1" x14ac:dyDescent="0.25">
      <c r="A1810" s="15">
        <v>45391.726331018515</v>
      </c>
      <c r="B1810" s="14">
        <v>1.8194444439999999</v>
      </c>
    </row>
    <row r="1811" spans="1:2" hidden="1" x14ac:dyDescent="0.25">
      <c r="A1811" s="15">
        <v>45391.726342592592</v>
      </c>
      <c r="B1811" s="14">
        <v>1.2222222220000001</v>
      </c>
    </row>
    <row r="1812" spans="1:2" hidden="1" x14ac:dyDescent="0.25">
      <c r="A1812" s="15">
        <v>45391.726342592592</v>
      </c>
      <c r="B1812" s="14">
        <v>0.56944444400000005</v>
      </c>
    </row>
    <row r="1813" spans="1:2" hidden="1" x14ac:dyDescent="0.25">
      <c r="A1813" s="15">
        <v>45391.726354166669</v>
      </c>
      <c r="B1813" s="14">
        <v>0.53611111099999997</v>
      </c>
    </row>
    <row r="1814" spans="1:2" hidden="1" x14ac:dyDescent="0.25">
      <c r="A1814" s="15">
        <v>45391.726365740738</v>
      </c>
      <c r="B1814" s="14">
        <v>0.24722222199999999</v>
      </c>
    </row>
    <row r="1815" spans="1:2" hidden="1" x14ac:dyDescent="0.25">
      <c r="A1815" s="15">
        <v>45391.726377314815</v>
      </c>
      <c r="B1815" s="14">
        <v>6.1111111000000003E-2</v>
      </c>
    </row>
    <row r="1816" spans="1:2" hidden="1" x14ac:dyDescent="0.25">
      <c r="A1816" s="15">
        <v>45391.726377314815</v>
      </c>
      <c r="B1816" s="14">
        <v>5.5555555999999999E-2</v>
      </c>
    </row>
    <row r="1817" spans="1:2" hidden="1" x14ac:dyDescent="0.25">
      <c r="A1817" s="15">
        <v>45391.726388888892</v>
      </c>
      <c r="B1817" s="14">
        <v>3.6111111000000001E-2</v>
      </c>
    </row>
    <row r="1818" spans="1:2" hidden="1" x14ac:dyDescent="0.25">
      <c r="A1818" s="15">
        <v>45391.726388888892</v>
      </c>
      <c r="B1818" s="14">
        <v>0</v>
      </c>
    </row>
    <row r="1819" spans="1:2" hidden="1" x14ac:dyDescent="0.25">
      <c r="A1819" s="15"/>
      <c r="B1819" s="14"/>
    </row>
    <row r="1820" spans="1:2" hidden="1" x14ac:dyDescent="0.25">
      <c r="A1820" s="15"/>
      <c r="B1820" s="14"/>
    </row>
    <row r="1821" spans="1:2" hidden="1" x14ac:dyDescent="0.25">
      <c r="A1821" s="15"/>
      <c r="B1821" s="14"/>
    </row>
    <row r="1822" spans="1:2" hidden="1" x14ac:dyDescent="0.25">
      <c r="A1822" s="15"/>
      <c r="B1822" s="14"/>
    </row>
    <row r="1823" spans="1:2" hidden="1" x14ac:dyDescent="0.25">
      <c r="A1823" s="15"/>
      <c r="B1823" s="14"/>
    </row>
    <row r="1824" spans="1:2" hidden="1" x14ac:dyDescent="0.25">
      <c r="A1824" s="15"/>
      <c r="B1824" s="14"/>
    </row>
    <row r="1825" spans="1:2" hidden="1" x14ac:dyDescent="0.25">
      <c r="A1825" s="15"/>
      <c r="B1825" s="14"/>
    </row>
    <row r="1826" spans="1:2" hidden="1" x14ac:dyDescent="0.25">
      <c r="A1826" s="15"/>
      <c r="B1826" s="14"/>
    </row>
    <row r="1827" spans="1:2" hidden="1" x14ac:dyDescent="0.25">
      <c r="A1827" s="15"/>
      <c r="B1827" s="14"/>
    </row>
    <row r="1828" spans="1:2" hidden="1" x14ac:dyDescent="0.25">
      <c r="A1828" s="15"/>
      <c r="B1828" s="14"/>
    </row>
    <row r="1829" spans="1:2" hidden="1" x14ac:dyDescent="0.25">
      <c r="A1829" s="15"/>
      <c r="B1829" s="14"/>
    </row>
    <row r="1830" spans="1:2" hidden="1" x14ac:dyDescent="0.25">
      <c r="A1830" s="15"/>
      <c r="B1830" s="14"/>
    </row>
    <row r="1831" spans="1:2" hidden="1" x14ac:dyDescent="0.25">
      <c r="A1831" s="15"/>
      <c r="B1831" s="14"/>
    </row>
    <row r="1832" spans="1:2" hidden="1" x14ac:dyDescent="0.25">
      <c r="A1832" s="15"/>
      <c r="B1832" s="14"/>
    </row>
    <row r="1833" spans="1:2" hidden="1" x14ac:dyDescent="0.25">
      <c r="A1833" s="15"/>
      <c r="B1833" s="14"/>
    </row>
    <row r="1834" spans="1:2" hidden="1" x14ac:dyDescent="0.25">
      <c r="A1834" s="15"/>
      <c r="B1834" s="14"/>
    </row>
    <row r="1835" spans="1:2" hidden="1" x14ac:dyDescent="0.25">
      <c r="A1835" s="15"/>
      <c r="B1835" s="14"/>
    </row>
    <row r="1836" spans="1:2" hidden="1" x14ac:dyDescent="0.25">
      <c r="A1836" s="15"/>
      <c r="B1836" s="14"/>
    </row>
    <row r="1837" spans="1:2" hidden="1" x14ac:dyDescent="0.25">
      <c r="A1837" s="15"/>
      <c r="B1837" s="14"/>
    </row>
    <row r="1838" spans="1:2" hidden="1" x14ac:dyDescent="0.25">
      <c r="A1838" s="15"/>
      <c r="B1838" s="14"/>
    </row>
    <row r="1839" spans="1:2" hidden="1" x14ac:dyDescent="0.25">
      <c r="A1839" s="15"/>
      <c r="B1839" s="14"/>
    </row>
    <row r="1840" spans="1:2" hidden="1" x14ac:dyDescent="0.25">
      <c r="A1840" s="15"/>
      <c r="B1840" s="14"/>
    </row>
    <row r="1841" spans="1:2" hidden="1" x14ac:dyDescent="0.25">
      <c r="A1841" s="15"/>
      <c r="B1841" s="14"/>
    </row>
    <row r="1842" spans="1:2" hidden="1" x14ac:dyDescent="0.25">
      <c r="A1842" s="15"/>
      <c r="B1842" s="14"/>
    </row>
    <row r="1843" spans="1:2" hidden="1" x14ac:dyDescent="0.25">
      <c r="A1843" s="15"/>
      <c r="B1843" s="14"/>
    </row>
    <row r="1844" spans="1:2" hidden="1" x14ac:dyDescent="0.25">
      <c r="A1844" s="15"/>
      <c r="B1844" s="14"/>
    </row>
    <row r="1845" spans="1:2" hidden="1" x14ac:dyDescent="0.25">
      <c r="A1845" s="15"/>
      <c r="B1845" s="14"/>
    </row>
    <row r="1846" spans="1:2" hidden="1" x14ac:dyDescent="0.25">
      <c r="A1846" s="15"/>
      <c r="B1846" s="14"/>
    </row>
    <row r="1847" spans="1:2" hidden="1" x14ac:dyDescent="0.25">
      <c r="A1847" s="15"/>
      <c r="B1847" s="14"/>
    </row>
    <row r="1848" spans="1:2" hidden="1" x14ac:dyDescent="0.25">
      <c r="A1848" s="15"/>
      <c r="B1848" s="14"/>
    </row>
    <row r="1849" spans="1:2" hidden="1" x14ac:dyDescent="0.25">
      <c r="A1849" s="15"/>
      <c r="B1849" s="14"/>
    </row>
    <row r="1850" spans="1:2" hidden="1" x14ac:dyDescent="0.25">
      <c r="A1850" s="15"/>
      <c r="B1850" s="14"/>
    </row>
    <row r="1851" spans="1:2" hidden="1" x14ac:dyDescent="0.25">
      <c r="A1851" s="15"/>
      <c r="B1851" s="14"/>
    </row>
    <row r="1852" spans="1:2" hidden="1" x14ac:dyDescent="0.25">
      <c r="A1852" s="15"/>
      <c r="B1852" s="14"/>
    </row>
    <row r="1853" spans="1:2" hidden="1" x14ac:dyDescent="0.25">
      <c r="A1853" s="15"/>
      <c r="B1853" s="14"/>
    </row>
    <row r="1854" spans="1:2" hidden="1" x14ac:dyDescent="0.25">
      <c r="A1854" s="15"/>
      <c r="B1854" s="14"/>
    </row>
    <row r="1855" spans="1:2" hidden="1" x14ac:dyDescent="0.25">
      <c r="A1855" s="15"/>
      <c r="B1855" s="14"/>
    </row>
    <row r="1856" spans="1:2" hidden="1" x14ac:dyDescent="0.25">
      <c r="A1856" s="15"/>
      <c r="B1856" s="14"/>
    </row>
    <row r="1857" spans="1:2" hidden="1" x14ac:dyDescent="0.25">
      <c r="A1857" s="15"/>
      <c r="B1857" s="14"/>
    </row>
    <row r="1858" spans="1:2" hidden="1" x14ac:dyDescent="0.25">
      <c r="A1858" s="15"/>
      <c r="B1858" s="14"/>
    </row>
    <row r="1859" spans="1:2" hidden="1" x14ac:dyDescent="0.25">
      <c r="A1859" s="15"/>
      <c r="B1859" s="14"/>
    </row>
    <row r="1860" spans="1:2" hidden="1" x14ac:dyDescent="0.25">
      <c r="A1860" s="15"/>
      <c r="B1860" s="14"/>
    </row>
    <row r="1861" spans="1:2" hidden="1" x14ac:dyDescent="0.25">
      <c r="A1861" s="15"/>
      <c r="B1861" s="14"/>
    </row>
    <row r="1862" spans="1:2" hidden="1" x14ac:dyDescent="0.25">
      <c r="A1862" s="15"/>
      <c r="B1862" s="14"/>
    </row>
    <row r="1863" spans="1:2" hidden="1" x14ac:dyDescent="0.25">
      <c r="A1863" s="15"/>
      <c r="B1863" s="14"/>
    </row>
    <row r="1864" spans="1:2" hidden="1" x14ac:dyDescent="0.25">
      <c r="A1864" s="15"/>
      <c r="B1864" s="14"/>
    </row>
    <row r="1865" spans="1:2" hidden="1" x14ac:dyDescent="0.25">
      <c r="A1865" s="15"/>
      <c r="B1865" s="14"/>
    </row>
    <row r="1866" spans="1:2" hidden="1" x14ac:dyDescent="0.25">
      <c r="A1866" s="15"/>
      <c r="B1866" s="14"/>
    </row>
    <row r="1867" spans="1:2" hidden="1" x14ac:dyDescent="0.25">
      <c r="A1867" s="15"/>
      <c r="B1867" s="14"/>
    </row>
    <row r="1868" spans="1:2" hidden="1" x14ac:dyDescent="0.25">
      <c r="A1868" s="15"/>
      <c r="B1868" s="14"/>
    </row>
    <row r="1869" spans="1:2" hidden="1" x14ac:dyDescent="0.25">
      <c r="A1869" s="15"/>
      <c r="B1869" s="14"/>
    </row>
    <row r="1870" spans="1:2" hidden="1" x14ac:dyDescent="0.25">
      <c r="A1870" s="15"/>
      <c r="B1870" s="14"/>
    </row>
    <row r="1871" spans="1:2" hidden="1" x14ac:dyDescent="0.25">
      <c r="A1871" s="15"/>
      <c r="B1871" s="14"/>
    </row>
    <row r="1872" spans="1:2" hidden="1" x14ac:dyDescent="0.25">
      <c r="A1872" s="15"/>
      <c r="B1872" s="14"/>
    </row>
    <row r="1873" spans="1:2" hidden="1" x14ac:dyDescent="0.25">
      <c r="A1873" s="15"/>
      <c r="B1873" s="14"/>
    </row>
    <row r="1874" spans="1:2" hidden="1" x14ac:dyDescent="0.25">
      <c r="A1874" s="15"/>
      <c r="B1874" s="14"/>
    </row>
    <row r="1875" spans="1:2" hidden="1" x14ac:dyDescent="0.25">
      <c r="A1875" s="15"/>
      <c r="B1875" s="14"/>
    </row>
    <row r="1876" spans="1:2" hidden="1" x14ac:dyDescent="0.25">
      <c r="A1876" s="15"/>
      <c r="B1876" s="14"/>
    </row>
    <row r="1877" spans="1:2" hidden="1" x14ac:dyDescent="0.25">
      <c r="A1877" s="15"/>
      <c r="B1877" s="14"/>
    </row>
    <row r="1878" spans="1:2" hidden="1" x14ac:dyDescent="0.25">
      <c r="A1878" s="15"/>
      <c r="B1878" s="14"/>
    </row>
    <row r="1879" spans="1:2" hidden="1" x14ac:dyDescent="0.25">
      <c r="A1879" s="15"/>
      <c r="B1879" s="14"/>
    </row>
    <row r="1880" spans="1:2" hidden="1" x14ac:dyDescent="0.25">
      <c r="A1880" s="15"/>
      <c r="B1880" s="14"/>
    </row>
    <row r="1881" spans="1:2" hidden="1" x14ac:dyDescent="0.25">
      <c r="A1881" s="15"/>
      <c r="B1881" s="14"/>
    </row>
    <row r="1882" spans="1:2" hidden="1" x14ac:dyDescent="0.25">
      <c r="A1882" s="15"/>
      <c r="B1882" s="14"/>
    </row>
    <row r="1883" spans="1:2" hidden="1" x14ac:dyDescent="0.25">
      <c r="A1883" s="15"/>
      <c r="B1883" s="14"/>
    </row>
    <row r="1884" spans="1:2" hidden="1" x14ac:dyDescent="0.25">
      <c r="A1884" s="15"/>
      <c r="B1884" s="14"/>
    </row>
    <row r="1885" spans="1:2" hidden="1" x14ac:dyDescent="0.25">
      <c r="A1885" s="15"/>
      <c r="B1885" s="14"/>
    </row>
    <row r="1886" spans="1:2" hidden="1" x14ac:dyDescent="0.25">
      <c r="A1886" s="15"/>
      <c r="B1886" s="14"/>
    </row>
    <row r="1887" spans="1:2" hidden="1" x14ac:dyDescent="0.25">
      <c r="A1887" s="15"/>
      <c r="B1887" s="14"/>
    </row>
    <row r="1888" spans="1:2" hidden="1" x14ac:dyDescent="0.25">
      <c r="A1888" s="15"/>
      <c r="B1888" s="14"/>
    </row>
    <row r="1889" spans="1:2" hidden="1" x14ac:dyDescent="0.25">
      <c r="A1889" s="15"/>
      <c r="B1889" s="14"/>
    </row>
    <row r="1890" spans="1:2" hidden="1" x14ac:dyDescent="0.25">
      <c r="A1890" s="15"/>
      <c r="B1890" s="14"/>
    </row>
    <row r="1891" spans="1:2" hidden="1" x14ac:dyDescent="0.25">
      <c r="A1891" s="15"/>
      <c r="B1891" s="14"/>
    </row>
    <row r="1892" spans="1:2" hidden="1" x14ac:dyDescent="0.25">
      <c r="A1892" s="15"/>
      <c r="B1892" s="14"/>
    </row>
    <row r="1893" spans="1:2" hidden="1" x14ac:dyDescent="0.25">
      <c r="A1893" s="15"/>
      <c r="B1893" s="14"/>
    </row>
    <row r="1894" spans="1:2" hidden="1" x14ac:dyDescent="0.25">
      <c r="A1894" s="15"/>
      <c r="B1894" s="14"/>
    </row>
    <row r="1895" spans="1:2" hidden="1" x14ac:dyDescent="0.25">
      <c r="A1895" s="15"/>
      <c r="B1895" s="14"/>
    </row>
    <row r="1896" spans="1:2" hidden="1" x14ac:dyDescent="0.25">
      <c r="A1896" s="15"/>
      <c r="B1896" s="14"/>
    </row>
    <row r="1897" spans="1:2" hidden="1" x14ac:dyDescent="0.25">
      <c r="A1897" s="15"/>
      <c r="B1897" s="14"/>
    </row>
    <row r="1898" spans="1:2" hidden="1" x14ac:dyDescent="0.25">
      <c r="A1898" s="15"/>
      <c r="B1898" s="14"/>
    </row>
    <row r="1899" spans="1:2" hidden="1" x14ac:dyDescent="0.25">
      <c r="A1899" s="15"/>
      <c r="B1899" s="14"/>
    </row>
    <row r="1900" spans="1:2" hidden="1" x14ac:dyDescent="0.25">
      <c r="A1900" s="15"/>
      <c r="B1900" s="14"/>
    </row>
    <row r="1901" spans="1:2" hidden="1" x14ac:dyDescent="0.25">
      <c r="A1901" s="15"/>
      <c r="B1901" s="14"/>
    </row>
    <row r="1902" spans="1:2" hidden="1" x14ac:dyDescent="0.25">
      <c r="A1902" s="15"/>
      <c r="B1902" s="14"/>
    </row>
    <row r="1903" spans="1:2" hidden="1" x14ac:dyDescent="0.25">
      <c r="A1903" s="15"/>
      <c r="B1903" s="14"/>
    </row>
    <row r="1904" spans="1:2" hidden="1" x14ac:dyDescent="0.25">
      <c r="A1904" s="15"/>
      <c r="B1904" s="14"/>
    </row>
    <row r="1905" spans="1:2" hidden="1" x14ac:dyDescent="0.25">
      <c r="A1905" s="15"/>
      <c r="B1905" s="14"/>
    </row>
    <row r="1906" spans="1:2" hidden="1" x14ac:dyDescent="0.25">
      <c r="A1906" s="15"/>
      <c r="B1906" s="14"/>
    </row>
    <row r="1907" spans="1:2" hidden="1" x14ac:dyDescent="0.25">
      <c r="A1907" s="15"/>
      <c r="B1907" s="14"/>
    </row>
    <row r="1908" spans="1:2" hidden="1" x14ac:dyDescent="0.25">
      <c r="A1908" s="15"/>
      <c r="B1908" s="14"/>
    </row>
    <row r="1909" spans="1:2" hidden="1" x14ac:dyDescent="0.25">
      <c r="A1909" s="15"/>
      <c r="B1909" s="14"/>
    </row>
    <row r="1910" spans="1:2" hidden="1" x14ac:dyDescent="0.25">
      <c r="A1910" s="15"/>
      <c r="B1910" s="14"/>
    </row>
    <row r="1911" spans="1:2" hidden="1" x14ac:dyDescent="0.25">
      <c r="A1911" s="15"/>
      <c r="B1911" s="14"/>
    </row>
    <row r="1912" spans="1:2" hidden="1" x14ac:dyDescent="0.25">
      <c r="A1912" s="15"/>
      <c r="B1912" s="14"/>
    </row>
    <row r="1913" spans="1:2" hidden="1" x14ac:dyDescent="0.25">
      <c r="A1913" s="15"/>
      <c r="B1913" s="14"/>
    </row>
    <row r="1914" spans="1:2" hidden="1" x14ac:dyDescent="0.25">
      <c r="A1914" s="15"/>
      <c r="B1914" s="14"/>
    </row>
    <row r="1915" spans="1:2" hidden="1" x14ac:dyDescent="0.25">
      <c r="A1915" s="15"/>
      <c r="B1915" s="14"/>
    </row>
    <row r="1916" spans="1:2" hidden="1" x14ac:dyDescent="0.25">
      <c r="A1916" s="15"/>
      <c r="B1916" s="14"/>
    </row>
    <row r="1917" spans="1:2" hidden="1" x14ac:dyDescent="0.25">
      <c r="A1917" s="15"/>
      <c r="B1917" s="14"/>
    </row>
    <row r="1918" spans="1:2" hidden="1" x14ac:dyDescent="0.25">
      <c r="A1918" s="15"/>
      <c r="B1918" s="14"/>
    </row>
    <row r="1919" spans="1:2" hidden="1" x14ac:dyDescent="0.25">
      <c r="A1919" s="15"/>
      <c r="B1919" s="14"/>
    </row>
    <row r="1920" spans="1:2" hidden="1" x14ac:dyDescent="0.25">
      <c r="A1920" s="15"/>
      <c r="B1920" s="14"/>
    </row>
    <row r="1921" spans="1:2" hidden="1" x14ac:dyDescent="0.25">
      <c r="A1921" s="15"/>
      <c r="B1921" s="14"/>
    </row>
    <row r="1922" spans="1:2" hidden="1" x14ac:dyDescent="0.25">
      <c r="A1922" s="15"/>
      <c r="B1922" s="14"/>
    </row>
    <row r="1923" spans="1:2" hidden="1" x14ac:dyDescent="0.25">
      <c r="A1923" s="15"/>
      <c r="B1923" s="14"/>
    </row>
    <row r="1924" spans="1:2" hidden="1" x14ac:dyDescent="0.25">
      <c r="A1924" s="15"/>
      <c r="B1924" s="14"/>
    </row>
    <row r="1925" spans="1:2" hidden="1" x14ac:dyDescent="0.25">
      <c r="A1925" s="15"/>
      <c r="B1925" s="14"/>
    </row>
    <row r="1926" spans="1:2" hidden="1" x14ac:dyDescent="0.25">
      <c r="A1926" s="15"/>
      <c r="B1926" s="14"/>
    </row>
    <row r="1927" spans="1:2" hidden="1" x14ac:dyDescent="0.25">
      <c r="A1927" s="15"/>
      <c r="B1927" s="14"/>
    </row>
    <row r="1928" spans="1:2" hidden="1" x14ac:dyDescent="0.25">
      <c r="A1928" s="15"/>
      <c r="B1928" s="14"/>
    </row>
    <row r="1929" spans="1:2" hidden="1" x14ac:dyDescent="0.25">
      <c r="A1929" s="15"/>
      <c r="B1929" s="14"/>
    </row>
    <row r="1930" spans="1:2" hidden="1" x14ac:dyDescent="0.25">
      <c r="A1930" s="15"/>
      <c r="B1930" s="14"/>
    </row>
    <row r="1931" spans="1:2" hidden="1" x14ac:dyDescent="0.25">
      <c r="A1931" s="15"/>
      <c r="B1931" s="14"/>
    </row>
    <row r="1932" spans="1:2" hidden="1" x14ac:dyDescent="0.25">
      <c r="A1932" s="15"/>
      <c r="B1932" s="14"/>
    </row>
    <row r="1933" spans="1:2" hidden="1" x14ac:dyDescent="0.25">
      <c r="A1933" s="15"/>
      <c r="B1933" s="14"/>
    </row>
    <row r="1934" spans="1:2" hidden="1" x14ac:dyDescent="0.25">
      <c r="A1934" s="15"/>
      <c r="B1934" s="14"/>
    </row>
    <row r="1935" spans="1:2" hidden="1" x14ac:dyDescent="0.25">
      <c r="A1935" s="15"/>
      <c r="B1935" s="14"/>
    </row>
    <row r="1936" spans="1:2" hidden="1" x14ac:dyDescent="0.25">
      <c r="A1936" s="15"/>
      <c r="B1936" s="14"/>
    </row>
    <row r="1937" spans="1:2" hidden="1" x14ac:dyDescent="0.25">
      <c r="A1937" s="15"/>
      <c r="B1937" s="14"/>
    </row>
    <row r="1938" spans="1:2" hidden="1" x14ac:dyDescent="0.25">
      <c r="A1938" s="15"/>
      <c r="B1938" s="14"/>
    </row>
    <row r="1939" spans="1:2" hidden="1" x14ac:dyDescent="0.25">
      <c r="A1939" s="15"/>
      <c r="B1939" s="14"/>
    </row>
    <row r="1940" spans="1:2" hidden="1" x14ac:dyDescent="0.25">
      <c r="A1940" s="15"/>
      <c r="B1940" s="14"/>
    </row>
    <row r="1941" spans="1:2" hidden="1" x14ac:dyDescent="0.25">
      <c r="A1941" s="15"/>
      <c r="B1941" s="14"/>
    </row>
    <row r="1942" spans="1:2" hidden="1" x14ac:dyDescent="0.25">
      <c r="A1942" s="15"/>
      <c r="B1942" s="14"/>
    </row>
    <row r="1943" spans="1:2" hidden="1" x14ac:dyDescent="0.25">
      <c r="A1943" s="15"/>
      <c r="B1943" s="14"/>
    </row>
    <row r="1944" spans="1:2" hidden="1" x14ac:dyDescent="0.25">
      <c r="A1944" s="15"/>
      <c r="B1944" s="14"/>
    </row>
    <row r="1945" spans="1:2" hidden="1" x14ac:dyDescent="0.25">
      <c r="A1945" s="15"/>
      <c r="B1945" s="14"/>
    </row>
    <row r="1946" spans="1:2" hidden="1" x14ac:dyDescent="0.25">
      <c r="A1946" s="15"/>
      <c r="B1946" s="14"/>
    </row>
    <row r="1947" spans="1:2" hidden="1" x14ac:dyDescent="0.25">
      <c r="A1947" s="15"/>
      <c r="B1947" s="14"/>
    </row>
    <row r="1948" spans="1:2" hidden="1" x14ac:dyDescent="0.25">
      <c r="A1948" s="15"/>
      <c r="B1948" s="14"/>
    </row>
    <row r="1949" spans="1:2" hidden="1" x14ac:dyDescent="0.25">
      <c r="A1949" s="15"/>
      <c r="B1949" s="14"/>
    </row>
    <row r="1950" spans="1:2" hidden="1" x14ac:dyDescent="0.25">
      <c r="A1950" s="15"/>
      <c r="B1950" s="14"/>
    </row>
    <row r="1951" spans="1:2" hidden="1" x14ac:dyDescent="0.25">
      <c r="A1951" s="15"/>
      <c r="B1951" s="14"/>
    </row>
    <row r="1952" spans="1:2" hidden="1" x14ac:dyDescent="0.25">
      <c r="A1952" s="15"/>
      <c r="B1952" s="14"/>
    </row>
    <row r="1953" spans="1:2" hidden="1" x14ac:dyDescent="0.25">
      <c r="A1953" s="15"/>
      <c r="B1953" s="14"/>
    </row>
    <row r="1954" spans="1:2" hidden="1" x14ac:dyDescent="0.25">
      <c r="A1954" s="15"/>
      <c r="B1954" s="14"/>
    </row>
    <row r="1955" spans="1:2" hidden="1" x14ac:dyDescent="0.25">
      <c r="A1955" s="15"/>
      <c r="B1955" s="14"/>
    </row>
    <row r="1956" spans="1:2" hidden="1" x14ac:dyDescent="0.25">
      <c r="A1956" s="15"/>
      <c r="B1956" s="14"/>
    </row>
    <row r="1957" spans="1:2" hidden="1" x14ac:dyDescent="0.25">
      <c r="A1957" s="15"/>
      <c r="B1957" s="14"/>
    </row>
    <row r="1958" spans="1:2" hidden="1" x14ac:dyDescent="0.25">
      <c r="A1958" s="15"/>
      <c r="B1958" s="14"/>
    </row>
    <row r="1959" spans="1:2" hidden="1" x14ac:dyDescent="0.25">
      <c r="A1959" s="15"/>
      <c r="B1959" s="14"/>
    </row>
    <row r="1960" spans="1:2" hidden="1" x14ac:dyDescent="0.25">
      <c r="A1960" s="15"/>
      <c r="B1960" s="14"/>
    </row>
    <row r="1961" spans="1:2" hidden="1" x14ac:dyDescent="0.25">
      <c r="A1961" s="15"/>
      <c r="B1961" s="14"/>
    </row>
    <row r="1962" spans="1:2" hidden="1" x14ac:dyDescent="0.25">
      <c r="A1962" s="15"/>
      <c r="B1962" s="14"/>
    </row>
    <row r="1963" spans="1:2" hidden="1" x14ac:dyDescent="0.25">
      <c r="A1963" s="15"/>
      <c r="B1963" s="14"/>
    </row>
    <row r="1964" spans="1:2" hidden="1" x14ac:dyDescent="0.25">
      <c r="A1964" s="15"/>
      <c r="B1964" s="14"/>
    </row>
    <row r="1965" spans="1:2" hidden="1" x14ac:dyDescent="0.25">
      <c r="A1965" s="15"/>
      <c r="B1965" s="14"/>
    </row>
    <row r="1966" spans="1:2" hidden="1" x14ac:dyDescent="0.25">
      <c r="A1966" s="15"/>
      <c r="B1966" s="14"/>
    </row>
    <row r="1967" spans="1:2" hidden="1" x14ac:dyDescent="0.25">
      <c r="A1967" s="15"/>
      <c r="B1967" s="14"/>
    </row>
    <row r="1968" spans="1:2" hidden="1" x14ac:dyDescent="0.25">
      <c r="A1968" s="15"/>
      <c r="B1968" s="14"/>
    </row>
    <row r="1969" spans="1:2" hidden="1" x14ac:dyDescent="0.25">
      <c r="A1969" s="15"/>
      <c r="B1969" s="14"/>
    </row>
    <row r="1970" spans="1:2" hidden="1" x14ac:dyDescent="0.25">
      <c r="A1970" s="15"/>
      <c r="B1970" s="14"/>
    </row>
    <row r="1971" spans="1:2" hidden="1" x14ac:dyDescent="0.25">
      <c r="A1971" s="15"/>
      <c r="B1971" s="14"/>
    </row>
    <row r="1972" spans="1:2" hidden="1" x14ac:dyDescent="0.25">
      <c r="A1972" s="15"/>
      <c r="B1972" s="14"/>
    </row>
    <row r="1973" spans="1:2" hidden="1" x14ac:dyDescent="0.25">
      <c r="A1973" s="15"/>
      <c r="B1973" s="14"/>
    </row>
    <row r="1974" spans="1:2" hidden="1" x14ac:dyDescent="0.25">
      <c r="A1974" s="15"/>
      <c r="B1974" s="14"/>
    </row>
    <row r="1975" spans="1:2" hidden="1" x14ac:dyDescent="0.25">
      <c r="A1975" s="15"/>
      <c r="B1975" s="14"/>
    </row>
    <row r="1976" spans="1:2" hidden="1" x14ac:dyDescent="0.25">
      <c r="A1976" s="15"/>
      <c r="B1976" s="14"/>
    </row>
    <row r="1977" spans="1:2" hidden="1" x14ac:dyDescent="0.25">
      <c r="A1977" s="15"/>
      <c r="B1977" s="14"/>
    </row>
    <row r="1978" spans="1:2" hidden="1" x14ac:dyDescent="0.25">
      <c r="A1978" s="15"/>
      <c r="B1978" s="14"/>
    </row>
    <row r="1979" spans="1:2" hidden="1" x14ac:dyDescent="0.25">
      <c r="A1979" s="15"/>
      <c r="B1979" s="14"/>
    </row>
    <row r="1980" spans="1:2" hidden="1" x14ac:dyDescent="0.25">
      <c r="A1980" s="15"/>
      <c r="B1980" s="14"/>
    </row>
    <row r="1981" spans="1:2" hidden="1" x14ac:dyDescent="0.25">
      <c r="A1981" s="15"/>
      <c r="B1981" s="14"/>
    </row>
    <row r="1982" spans="1:2" hidden="1" x14ac:dyDescent="0.25">
      <c r="A1982" s="15"/>
      <c r="B1982" s="14"/>
    </row>
    <row r="1983" spans="1:2" hidden="1" x14ac:dyDescent="0.25">
      <c r="A1983" s="15"/>
      <c r="B1983" s="14"/>
    </row>
    <row r="1984" spans="1:2" hidden="1" x14ac:dyDescent="0.25">
      <c r="A1984" s="15"/>
      <c r="B1984" s="14"/>
    </row>
    <row r="1985" spans="1:2" hidden="1" x14ac:dyDescent="0.25">
      <c r="A1985" s="15"/>
      <c r="B1985" s="14"/>
    </row>
    <row r="1986" spans="1:2" hidden="1" x14ac:dyDescent="0.25">
      <c r="A1986" s="15"/>
      <c r="B1986" s="14"/>
    </row>
    <row r="1987" spans="1:2" hidden="1" x14ac:dyDescent="0.25">
      <c r="A1987" s="15"/>
      <c r="B1987" s="14"/>
    </row>
    <row r="1988" spans="1:2" hidden="1" x14ac:dyDescent="0.25">
      <c r="A1988" s="15"/>
      <c r="B1988" s="14"/>
    </row>
    <row r="1989" spans="1:2" hidden="1" x14ac:dyDescent="0.25">
      <c r="A1989" s="15"/>
      <c r="B1989" s="14"/>
    </row>
    <row r="1990" spans="1:2" hidden="1" x14ac:dyDescent="0.25">
      <c r="A1990" s="15"/>
      <c r="B1990" s="14"/>
    </row>
    <row r="1991" spans="1:2" hidden="1" x14ac:dyDescent="0.25">
      <c r="A1991" s="15"/>
      <c r="B1991" s="14"/>
    </row>
    <row r="1992" spans="1:2" hidden="1" x14ac:dyDescent="0.25">
      <c r="A1992" s="15"/>
      <c r="B1992" s="14"/>
    </row>
    <row r="1993" spans="1:2" hidden="1" x14ac:dyDescent="0.25">
      <c r="A1993" s="15"/>
      <c r="B1993" s="14"/>
    </row>
    <row r="1994" spans="1:2" hidden="1" x14ac:dyDescent="0.25">
      <c r="A1994" s="15"/>
      <c r="B1994" s="14"/>
    </row>
    <row r="1995" spans="1:2" hidden="1" x14ac:dyDescent="0.25">
      <c r="A1995" s="15"/>
      <c r="B1995" s="14"/>
    </row>
    <row r="1996" spans="1:2" hidden="1" x14ac:dyDescent="0.25">
      <c r="A1996" s="15"/>
      <c r="B1996" s="14"/>
    </row>
    <row r="1997" spans="1:2" hidden="1" x14ac:dyDescent="0.25">
      <c r="A1997" s="15"/>
      <c r="B1997" s="14"/>
    </row>
    <row r="1998" spans="1:2" hidden="1" x14ac:dyDescent="0.25">
      <c r="A1998" s="15"/>
      <c r="B1998" s="14"/>
    </row>
    <row r="1999" spans="1:2" hidden="1" x14ac:dyDescent="0.25">
      <c r="A1999" s="15"/>
      <c r="B1999" s="14"/>
    </row>
    <row r="2000" spans="1:2" hidden="1" x14ac:dyDescent="0.25">
      <c r="A2000" s="15"/>
      <c r="B2000" s="14"/>
    </row>
    <row r="2001" spans="1:2" hidden="1" x14ac:dyDescent="0.25">
      <c r="A2001" s="15"/>
      <c r="B2001" s="14"/>
    </row>
    <row r="2002" spans="1:2" hidden="1" x14ac:dyDescent="0.25">
      <c r="A2002" s="15"/>
      <c r="B2002" s="14"/>
    </row>
    <row r="2003" spans="1:2" hidden="1" x14ac:dyDescent="0.25">
      <c r="A2003" s="15"/>
      <c r="B2003" s="14"/>
    </row>
    <row r="2004" spans="1:2" hidden="1" x14ac:dyDescent="0.25">
      <c r="A2004" s="15"/>
      <c r="B2004" s="14"/>
    </row>
    <row r="2005" spans="1:2" hidden="1" x14ac:dyDescent="0.25">
      <c r="A2005" s="15"/>
      <c r="B2005" s="14"/>
    </row>
    <row r="2006" spans="1:2" hidden="1" x14ac:dyDescent="0.25">
      <c r="A2006" s="15"/>
      <c r="B2006" s="14"/>
    </row>
    <row r="2007" spans="1:2" hidden="1" x14ac:dyDescent="0.25">
      <c r="A2007" s="15"/>
      <c r="B2007" s="14"/>
    </row>
    <row r="2008" spans="1:2" hidden="1" x14ac:dyDescent="0.25">
      <c r="A2008" s="15"/>
      <c r="B2008" s="14"/>
    </row>
    <row r="2009" spans="1:2" hidden="1" x14ac:dyDescent="0.25">
      <c r="A2009" s="15"/>
      <c r="B2009" s="14"/>
    </row>
    <row r="2010" spans="1:2" hidden="1" x14ac:dyDescent="0.25">
      <c r="A2010" s="15"/>
      <c r="B2010" s="14"/>
    </row>
    <row r="2011" spans="1:2" hidden="1" x14ac:dyDescent="0.25">
      <c r="A2011" s="15"/>
      <c r="B2011" s="14"/>
    </row>
    <row r="2012" spans="1:2" hidden="1" x14ac:dyDescent="0.25">
      <c r="A2012" s="15"/>
      <c r="B2012" s="14"/>
    </row>
    <row r="2013" spans="1:2" hidden="1" x14ac:dyDescent="0.25">
      <c r="A2013" s="15"/>
      <c r="B2013" s="14"/>
    </row>
    <row r="2014" spans="1:2" hidden="1" x14ac:dyDescent="0.25">
      <c r="A2014" s="15"/>
      <c r="B2014" s="14"/>
    </row>
    <row r="2015" spans="1:2" hidden="1" x14ac:dyDescent="0.25">
      <c r="A2015" s="15"/>
      <c r="B2015" s="14"/>
    </row>
    <row r="2016" spans="1:2" hidden="1" x14ac:dyDescent="0.25">
      <c r="A2016" s="15"/>
      <c r="B2016" s="14"/>
    </row>
    <row r="2017" spans="1:2" hidden="1" x14ac:dyDescent="0.25">
      <c r="A2017" s="15"/>
      <c r="B2017" s="14"/>
    </row>
    <row r="2018" spans="1:2" hidden="1" x14ac:dyDescent="0.25">
      <c r="A2018" s="15"/>
      <c r="B2018" s="14"/>
    </row>
    <row r="2019" spans="1:2" hidden="1" x14ac:dyDescent="0.25">
      <c r="A2019" s="15"/>
      <c r="B2019" s="14"/>
    </row>
    <row r="2020" spans="1:2" hidden="1" x14ac:dyDescent="0.25">
      <c r="A2020" s="15"/>
      <c r="B2020" s="14"/>
    </row>
    <row r="2021" spans="1:2" hidden="1" x14ac:dyDescent="0.25">
      <c r="A2021" s="15"/>
      <c r="B2021" s="14"/>
    </row>
    <row r="2022" spans="1:2" hidden="1" x14ac:dyDescent="0.25">
      <c r="A2022" s="15"/>
      <c r="B2022" s="14"/>
    </row>
    <row r="2023" spans="1:2" hidden="1" x14ac:dyDescent="0.25">
      <c r="A2023" s="15"/>
      <c r="B2023" s="14"/>
    </row>
    <row r="2024" spans="1:2" hidden="1" x14ac:dyDescent="0.25">
      <c r="A2024" s="15"/>
      <c r="B2024" s="14"/>
    </row>
    <row r="2025" spans="1:2" hidden="1" x14ac:dyDescent="0.25">
      <c r="A2025" s="15"/>
      <c r="B2025" s="14"/>
    </row>
    <row r="2026" spans="1:2" hidden="1" x14ac:dyDescent="0.25">
      <c r="A2026" s="15"/>
      <c r="B2026" s="14"/>
    </row>
    <row r="2027" spans="1:2" hidden="1" x14ac:dyDescent="0.25">
      <c r="A2027" s="15"/>
      <c r="B2027" s="14"/>
    </row>
    <row r="2028" spans="1:2" hidden="1" x14ac:dyDescent="0.25">
      <c r="A2028" s="15"/>
      <c r="B2028" s="14"/>
    </row>
    <row r="2029" spans="1:2" hidden="1" x14ac:dyDescent="0.25">
      <c r="A2029" s="15"/>
      <c r="B2029" s="14"/>
    </row>
    <row r="2030" spans="1:2" hidden="1" x14ac:dyDescent="0.25">
      <c r="A2030" s="15"/>
      <c r="B2030" s="14"/>
    </row>
    <row r="2031" spans="1:2" hidden="1" x14ac:dyDescent="0.25">
      <c r="A2031" s="15"/>
      <c r="B2031" s="14"/>
    </row>
    <row r="2032" spans="1:2" hidden="1" x14ac:dyDescent="0.25">
      <c r="A2032" s="15"/>
      <c r="B2032" s="14"/>
    </row>
    <row r="2033" spans="1:2" hidden="1" x14ac:dyDescent="0.25">
      <c r="A2033" s="15"/>
      <c r="B2033" s="14"/>
    </row>
    <row r="2034" spans="1:2" hidden="1" x14ac:dyDescent="0.25">
      <c r="A2034" s="15"/>
      <c r="B2034" s="14"/>
    </row>
    <row r="2035" spans="1:2" hidden="1" x14ac:dyDescent="0.25">
      <c r="A2035" s="15"/>
      <c r="B2035" s="14"/>
    </row>
    <row r="2036" spans="1:2" hidden="1" x14ac:dyDescent="0.25">
      <c r="A2036" s="15"/>
      <c r="B2036" s="14"/>
    </row>
    <row r="2037" spans="1:2" hidden="1" x14ac:dyDescent="0.25">
      <c r="A2037" s="15"/>
      <c r="B2037" s="14"/>
    </row>
    <row r="2038" spans="1:2" hidden="1" x14ac:dyDescent="0.25">
      <c r="A2038" s="15"/>
      <c r="B2038" s="14"/>
    </row>
    <row r="2039" spans="1:2" hidden="1" x14ac:dyDescent="0.25">
      <c r="A2039" s="15"/>
      <c r="B2039" s="14"/>
    </row>
    <row r="2040" spans="1:2" hidden="1" x14ac:dyDescent="0.25">
      <c r="A2040" s="15"/>
      <c r="B2040" s="14"/>
    </row>
    <row r="2041" spans="1:2" hidden="1" x14ac:dyDescent="0.25">
      <c r="A2041" s="15"/>
      <c r="B2041" s="14"/>
    </row>
    <row r="2042" spans="1:2" hidden="1" x14ac:dyDescent="0.25">
      <c r="A2042" s="15"/>
      <c r="B2042" s="14"/>
    </row>
    <row r="2043" spans="1:2" hidden="1" x14ac:dyDescent="0.25">
      <c r="A2043" s="15"/>
      <c r="B2043" s="14"/>
    </row>
    <row r="2044" spans="1:2" hidden="1" x14ac:dyDescent="0.25">
      <c r="A2044" s="15"/>
      <c r="B2044" s="14"/>
    </row>
    <row r="2045" spans="1:2" hidden="1" x14ac:dyDescent="0.25">
      <c r="A2045" s="15"/>
      <c r="B2045" s="14"/>
    </row>
    <row r="2046" spans="1:2" hidden="1" x14ac:dyDescent="0.25">
      <c r="A2046" s="15"/>
      <c r="B2046" s="14"/>
    </row>
    <row r="2047" spans="1:2" hidden="1" x14ac:dyDescent="0.25">
      <c r="A2047" s="15"/>
      <c r="B2047" s="14"/>
    </row>
    <row r="2048" spans="1:2" hidden="1" x14ac:dyDescent="0.25">
      <c r="A2048" s="15"/>
      <c r="B2048" s="14"/>
    </row>
    <row r="2049" spans="1:2" hidden="1" x14ac:dyDescent="0.25">
      <c r="A2049" s="15"/>
      <c r="B2049" s="14"/>
    </row>
    <row r="2050" spans="1:2" hidden="1" x14ac:dyDescent="0.25">
      <c r="A2050" s="15"/>
      <c r="B2050" s="14"/>
    </row>
    <row r="2051" spans="1:2" hidden="1" x14ac:dyDescent="0.25">
      <c r="A2051" s="15"/>
      <c r="B2051" s="14"/>
    </row>
    <row r="2052" spans="1:2" hidden="1" x14ac:dyDescent="0.25">
      <c r="A2052" s="15"/>
      <c r="B2052" s="14"/>
    </row>
    <row r="2053" spans="1:2" hidden="1" x14ac:dyDescent="0.25">
      <c r="A2053" s="15"/>
      <c r="B2053" s="14"/>
    </row>
    <row r="2054" spans="1:2" hidden="1" x14ac:dyDescent="0.25">
      <c r="A2054" s="15"/>
      <c r="B2054" s="14"/>
    </row>
    <row r="2055" spans="1:2" hidden="1" x14ac:dyDescent="0.25">
      <c r="A2055" s="15"/>
      <c r="B2055" s="14"/>
    </row>
    <row r="2056" spans="1:2" hidden="1" x14ac:dyDescent="0.25">
      <c r="A2056" s="15"/>
      <c r="B2056" s="14"/>
    </row>
    <row r="2057" spans="1:2" hidden="1" x14ac:dyDescent="0.25">
      <c r="A2057" s="15"/>
      <c r="B2057" s="14"/>
    </row>
    <row r="2058" spans="1:2" hidden="1" x14ac:dyDescent="0.25">
      <c r="A2058" s="15"/>
      <c r="B2058" s="14"/>
    </row>
    <row r="2059" spans="1:2" hidden="1" x14ac:dyDescent="0.25">
      <c r="A2059" s="15"/>
      <c r="B2059" s="14"/>
    </row>
    <row r="2060" spans="1:2" hidden="1" x14ac:dyDescent="0.25">
      <c r="A2060" s="15"/>
      <c r="B2060" s="14"/>
    </row>
    <row r="2061" spans="1:2" hidden="1" x14ac:dyDescent="0.25">
      <c r="A2061" s="15"/>
      <c r="B2061" s="14"/>
    </row>
    <row r="2062" spans="1:2" hidden="1" x14ac:dyDescent="0.25">
      <c r="A2062" s="15"/>
      <c r="B2062" s="14"/>
    </row>
    <row r="2063" spans="1:2" hidden="1" x14ac:dyDescent="0.25">
      <c r="A2063" s="15"/>
      <c r="B2063" s="14"/>
    </row>
    <row r="2064" spans="1:2" hidden="1" x14ac:dyDescent="0.25">
      <c r="A2064" s="15"/>
      <c r="B2064" s="14"/>
    </row>
    <row r="2065" spans="1:2" hidden="1" x14ac:dyDescent="0.25">
      <c r="A2065" s="15"/>
      <c r="B2065" s="14"/>
    </row>
    <row r="2066" spans="1:2" hidden="1" x14ac:dyDescent="0.25">
      <c r="A2066" s="15"/>
      <c r="B2066" s="14"/>
    </row>
    <row r="2067" spans="1:2" hidden="1" x14ac:dyDescent="0.25">
      <c r="A2067" s="15"/>
      <c r="B2067" s="14"/>
    </row>
    <row r="2068" spans="1:2" hidden="1" x14ac:dyDescent="0.25">
      <c r="A2068" s="15"/>
      <c r="B2068" s="14"/>
    </row>
    <row r="2069" spans="1:2" hidden="1" x14ac:dyDescent="0.25">
      <c r="A2069" s="15"/>
      <c r="B2069" s="14"/>
    </row>
    <row r="2070" spans="1:2" hidden="1" x14ac:dyDescent="0.25">
      <c r="A2070" s="15"/>
      <c r="B2070" s="14"/>
    </row>
    <row r="2071" spans="1:2" hidden="1" x14ac:dyDescent="0.25">
      <c r="A2071" s="15"/>
      <c r="B2071" s="14"/>
    </row>
    <row r="2072" spans="1:2" hidden="1" x14ac:dyDescent="0.25">
      <c r="A2072" s="15"/>
      <c r="B2072" s="14"/>
    </row>
    <row r="2073" spans="1:2" hidden="1" x14ac:dyDescent="0.25">
      <c r="A2073" s="15"/>
      <c r="B2073" s="14"/>
    </row>
    <row r="2074" spans="1:2" hidden="1" x14ac:dyDescent="0.25">
      <c r="A2074" s="15"/>
      <c r="B2074" s="14"/>
    </row>
    <row r="2075" spans="1:2" hidden="1" x14ac:dyDescent="0.25">
      <c r="A2075" s="15"/>
      <c r="B2075" s="14"/>
    </row>
    <row r="2076" spans="1:2" hidden="1" x14ac:dyDescent="0.25">
      <c r="A2076" s="15"/>
      <c r="B2076" s="14"/>
    </row>
    <row r="2077" spans="1:2" hidden="1" x14ac:dyDescent="0.25">
      <c r="A2077" s="15"/>
      <c r="B2077" s="14"/>
    </row>
    <row r="2078" spans="1:2" hidden="1" x14ac:dyDescent="0.25">
      <c r="A2078" s="15"/>
      <c r="B2078" s="14"/>
    </row>
    <row r="2079" spans="1:2" hidden="1" x14ac:dyDescent="0.25">
      <c r="A2079" s="15"/>
      <c r="B2079" s="14"/>
    </row>
    <row r="2080" spans="1:2" hidden="1" x14ac:dyDescent="0.25">
      <c r="A2080" s="15"/>
      <c r="B2080" s="14"/>
    </row>
    <row r="2081" spans="1:2" hidden="1" x14ac:dyDescent="0.25">
      <c r="A2081" s="15"/>
      <c r="B2081" s="14"/>
    </row>
    <row r="2082" spans="1:2" hidden="1" x14ac:dyDescent="0.25">
      <c r="A2082" s="15"/>
      <c r="B2082" s="14"/>
    </row>
    <row r="2083" spans="1:2" hidden="1" x14ac:dyDescent="0.25">
      <c r="A2083" s="15"/>
      <c r="B2083" s="14"/>
    </row>
    <row r="2084" spans="1:2" hidden="1" x14ac:dyDescent="0.25">
      <c r="A2084" s="15"/>
      <c r="B2084" s="14"/>
    </row>
    <row r="2085" spans="1:2" hidden="1" x14ac:dyDescent="0.25">
      <c r="A2085" s="15"/>
      <c r="B2085" s="14"/>
    </row>
    <row r="2086" spans="1:2" hidden="1" x14ac:dyDescent="0.25">
      <c r="A2086" s="15"/>
      <c r="B2086" s="14"/>
    </row>
    <row r="2087" spans="1:2" hidden="1" x14ac:dyDescent="0.25">
      <c r="A2087" s="15"/>
      <c r="B2087" s="14"/>
    </row>
    <row r="2088" spans="1:2" hidden="1" x14ac:dyDescent="0.25">
      <c r="A2088" s="15"/>
      <c r="B2088" s="14"/>
    </row>
    <row r="2089" spans="1:2" hidden="1" x14ac:dyDescent="0.25">
      <c r="A2089" s="15"/>
      <c r="B2089" s="14"/>
    </row>
    <row r="2090" spans="1:2" hidden="1" x14ac:dyDescent="0.25">
      <c r="A2090" s="15"/>
      <c r="B2090" s="14"/>
    </row>
    <row r="2091" spans="1:2" hidden="1" x14ac:dyDescent="0.25">
      <c r="A2091" s="15"/>
      <c r="B2091" s="14"/>
    </row>
    <row r="2092" spans="1:2" hidden="1" x14ac:dyDescent="0.25">
      <c r="A2092" s="15"/>
      <c r="B2092" s="14"/>
    </row>
    <row r="2093" spans="1:2" hidden="1" x14ac:dyDescent="0.25">
      <c r="A2093" s="15"/>
      <c r="B2093" s="14"/>
    </row>
    <row r="2094" spans="1:2" hidden="1" x14ac:dyDescent="0.25">
      <c r="A2094" s="15"/>
      <c r="B2094" s="14"/>
    </row>
    <row r="2095" spans="1:2" hidden="1" x14ac:dyDescent="0.25">
      <c r="A2095" s="15"/>
      <c r="B2095" s="14"/>
    </row>
    <row r="2096" spans="1:2" hidden="1" x14ac:dyDescent="0.25">
      <c r="A2096" s="15"/>
      <c r="B2096" s="14"/>
    </row>
    <row r="2097" spans="1:2" hidden="1" x14ac:dyDescent="0.25">
      <c r="A2097" s="15"/>
      <c r="B2097" s="14"/>
    </row>
    <row r="2098" spans="1:2" hidden="1" x14ac:dyDescent="0.25">
      <c r="A2098" s="15"/>
      <c r="B2098" s="14"/>
    </row>
    <row r="2099" spans="1:2" hidden="1" x14ac:dyDescent="0.25">
      <c r="A2099" s="15"/>
      <c r="B2099" s="14"/>
    </row>
    <row r="2100" spans="1:2" hidden="1" x14ac:dyDescent="0.25">
      <c r="A2100" s="15"/>
      <c r="B2100" s="14"/>
    </row>
    <row r="2101" spans="1:2" hidden="1" x14ac:dyDescent="0.25">
      <c r="A2101" s="15"/>
      <c r="B2101" s="14"/>
    </row>
    <row r="2102" spans="1:2" hidden="1" x14ac:dyDescent="0.25">
      <c r="A2102" s="15"/>
      <c r="B2102" s="14"/>
    </row>
    <row r="2103" spans="1:2" hidden="1" x14ac:dyDescent="0.25">
      <c r="A2103" s="15"/>
      <c r="B2103" s="14"/>
    </row>
    <row r="2104" spans="1:2" hidden="1" x14ac:dyDescent="0.25">
      <c r="A2104" s="15"/>
      <c r="B2104" s="14"/>
    </row>
    <row r="2105" spans="1:2" hidden="1" x14ac:dyDescent="0.25">
      <c r="A2105" s="15"/>
      <c r="B2105" s="14"/>
    </row>
    <row r="2106" spans="1:2" hidden="1" x14ac:dyDescent="0.25">
      <c r="A2106" s="15"/>
      <c r="B2106" s="14"/>
    </row>
    <row r="2107" spans="1:2" hidden="1" x14ac:dyDescent="0.25">
      <c r="A2107" s="15"/>
      <c r="B2107" s="14"/>
    </row>
    <row r="2108" spans="1:2" hidden="1" x14ac:dyDescent="0.25">
      <c r="A2108" s="15"/>
      <c r="B2108" s="14"/>
    </row>
    <row r="2109" spans="1:2" hidden="1" x14ac:dyDescent="0.25">
      <c r="A2109" s="15"/>
      <c r="B2109" s="14"/>
    </row>
    <row r="2110" spans="1:2" hidden="1" x14ac:dyDescent="0.25">
      <c r="A2110" s="15"/>
      <c r="B2110" s="14"/>
    </row>
    <row r="2111" spans="1:2" hidden="1" x14ac:dyDescent="0.25">
      <c r="A2111" s="15"/>
      <c r="B2111" s="14"/>
    </row>
    <row r="2112" spans="1:2" hidden="1" x14ac:dyDescent="0.25">
      <c r="A2112" s="15"/>
      <c r="B2112" s="14"/>
    </row>
    <row r="2113" spans="1:2" hidden="1" x14ac:dyDescent="0.25">
      <c r="A2113" s="15"/>
      <c r="B2113" s="14"/>
    </row>
    <row r="2114" spans="1:2" hidden="1" x14ac:dyDescent="0.25">
      <c r="A2114" s="15"/>
      <c r="B2114" s="14"/>
    </row>
    <row r="2115" spans="1:2" hidden="1" x14ac:dyDescent="0.25">
      <c r="A2115" s="15"/>
      <c r="B2115" s="14"/>
    </row>
    <row r="2116" spans="1:2" hidden="1" x14ac:dyDescent="0.25">
      <c r="A2116" s="15"/>
      <c r="B2116" s="14"/>
    </row>
    <row r="2117" spans="1:2" hidden="1" x14ac:dyDescent="0.25">
      <c r="A2117" s="15"/>
      <c r="B2117" s="14"/>
    </row>
    <row r="2118" spans="1:2" hidden="1" x14ac:dyDescent="0.25">
      <c r="A2118" s="15"/>
      <c r="B2118" s="14"/>
    </row>
    <row r="2119" spans="1:2" hidden="1" x14ac:dyDescent="0.25">
      <c r="A2119" s="15"/>
      <c r="B2119" s="14"/>
    </row>
    <row r="2120" spans="1:2" hidden="1" x14ac:dyDescent="0.25">
      <c r="A2120" s="15"/>
      <c r="B2120" s="14"/>
    </row>
    <row r="2121" spans="1:2" hidden="1" x14ac:dyDescent="0.25">
      <c r="A2121" s="15"/>
      <c r="B2121" s="14"/>
    </row>
    <row r="2122" spans="1:2" hidden="1" x14ac:dyDescent="0.25">
      <c r="A2122" s="15"/>
      <c r="B2122" s="14"/>
    </row>
    <row r="2123" spans="1:2" hidden="1" x14ac:dyDescent="0.25">
      <c r="A2123" s="15"/>
      <c r="B2123" s="14"/>
    </row>
    <row r="2124" spans="1:2" hidden="1" x14ac:dyDescent="0.25">
      <c r="A2124" s="15"/>
      <c r="B2124" s="14"/>
    </row>
    <row r="2125" spans="1:2" hidden="1" x14ac:dyDescent="0.25">
      <c r="A2125" s="15"/>
      <c r="B2125" s="14"/>
    </row>
    <row r="2126" spans="1:2" hidden="1" x14ac:dyDescent="0.25">
      <c r="A2126" s="15"/>
      <c r="B2126" s="14"/>
    </row>
    <row r="2127" spans="1:2" hidden="1" x14ac:dyDescent="0.25">
      <c r="A2127" s="15"/>
      <c r="B2127" s="14"/>
    </row>
    <row r="2128" spans="1:2" hidden="1" x14ac:dyDescent="0.25">
      <c r="A2128" s="15"/>
      <c r="B2128" s="14"/>
    </row>
    <row r="2129" spans="1:2" hidden="1" x14ac:dyDescent="0.25">
      <c r="A2129" s="15"/>
      <c r="B2129" s="14"/>
    </row>
    <row r="2130" spans="1:2" hidden="1" x14ac:dyDescent="0.25">
      <c r="A2130" s="15"/>
      <c r="B2130" s="14"/>
    </row>
    <row r="2131" spans="1:2" hidden="1" x14ac:dyDescent="0.25">
      <c r="A2131" s="15"/>
      <c r="B2131" s="14"/>
    </row>
    <row r="2132" spans="1:2" hidden="1" x14ac:dyDescent="0.25">
      <c r="A2132" s="15"/>
      <c r="B2132" s="14"/>
    </row>
    <row r="2133" spans="1:2" hidden="1" x14ac:dyDescent="0.25">
      <c r="A2133" s="15"/>
      <c r="B2133" s="14"/>
    </row>
    <row r="2134" spans="1:2" hidden="1" x14ac:dyDescent="0.25">
      <c r="A2134" s="15"/>
      <c r="B2134" s="14"/>
    </row>
    <row r="2135" spans="1:2" hidden="1" x14ac:dyDescent="0.25">
      <c r="A2135" s="15"/>
      <c r="B2135" s="14"/>
    </row>
    <row r="2136" spans="1:2" hidden="1" x14ac:dyDescent="0.25">
      <c r="A2136" s="15"/>
      <c r="B2136" s="14"/>
    </row>
    <row r="2137" spans="1:2" hidden="1" x14ac:dyDescent="0.25">
      <c r="A2137" s="15"/>
      <c r="B2137" s="14"/>
    </row>
    <row r="2138" spans="1:2" hidden="1" x14ac:dyDescent="0.25">
      <c r="A2138" s="15"/>
      <c r="B2138" s="14"/>
    </row>
    <row r="2139" spans="1:2" hidden="1" x14ac:dyDescent="0.25">
      <c r="A2139" s="15"/>
      <c r="B2139" s="14"/>
    </row>
    <row r="2140" spans="1:2" hidden="1" x14ac:dyDescent="0.25">
      <c r="A2140" s="15"/>
      <c r="B2140" s="14"/>
    </row>
    <row r="2141" spans="1:2" hidden="1" x14ac:dyDescent="0.25">
      <c r="A2141" s="15"/>
      <c r="B2141" s="14"/>
    </row>
    <row r="2142" spans="1:2" hidden="1" x14ac:dyDescent="0.25">
      <c r="A2142" s="15"/>
      <c r="B2142" s="14"/>
    </row>
    <row r="2143" spans="1:2" hidden="1" x14ac:dyDescent="0.25">
      <c r="A2143" s="15"/>
      <c r="B2143" s="14"/>
    </row>
    <row r="2144" spans="1:2" hidden="1" x14ac:dyDescent="0.25">
      <c r="A2144" s="15"/>
      <c r="B2144" s="14"/>
    </row>
    <row r="2145" spans="1:2" hidden="1" x14ac:dyDescent="0.25">
      <c r="A2145" s="15"/>
      <c r="B2145" s="14"/>
    </row>
    <row r="2146" spans="1:2" hidden="1" x14ac:dyDescent="0.25">
      <c r="A2146" s="15"/>
      <c r="B2146" s="14"/>
    </row>
    <row r="2147" spans="1:2" hidden="1" x14ac:dyDescent="0.25">
      <c r="A2147" s="15"/>
      <c r="B2147" s="14"/>
    </row>
    <row r="2148" spans="1:2" hidden="1" x14ac:dyDescent="0.25">
      <c r="A2148" s="15"/>
      <c r="B2148" s="14"/>
    </row>
    <row r="2149" spans="1:2" hidden="1" x14ac:dyDescent="0.25">
      <c r="A2149" s="15"/>
      <c r="B2149" s="14"/>
    </row>
    <row r="2150" spans="1:2" hidden="1" x14ac:dyDescent="0.25">
      <c r="A2150" s="15"/>
      <c r="B2150" s="14"/>
    </row>
    <row r="2151" spans="1:2" hidden="1" x14ac:dyDescent="0.25">
      <c r="A2151" s="15"/>
      <c r="B2151" s="14"/>
    </row>
    <row r="2152" spans="1:2" hidden="1" x14ac:dyDescent="0.25">
      <c r="A2152" s="15"/>
      <c r="B2152" s="14"/>
    </row>
    <row r="2153" spans="1:2" hidden="1" x14ac:dyDescent="0.25">
      <c r="A2153" s="15"/>
      <c r="B2153" s="14"/>
    </row>
    <row r="2154" spans="1:2" hidden="1" x14ac:dyDescent="0.25">
      <c r="A2154" s="15"/>
      <c r="B2154" s="14"/>
    </row>
    <row r="2155" spans="1:2" hidden="1" x14ac:dyDescent="0.25">
      <c r="A2155" s="15"/>
      <c r="B2155" s="14"/>
    </row>
    <row r="2156" spans="1:2" hidden="1" x14ac:dyDescent="0.25">
      <c r="A2156" s="15"/>
      <c r="B2156" s="14"/>
    </row>
    <row r="2157" spans="1:2" hidden="1" x14ac:dyDescent="0.25">
      <c r="A2157" s="15"/>
      <c r="B2157" s="14"/>
    </row>
    <row r="2158" spans="1:2" hidden="1" x14ac:dyDescent="0.25">
      <c r="A2158" s="15"/>
      <c r="B2158" s="14"/>
    </row>
    <row r="2159" spans="1:2" hidden="1" x14ac:dyDescent="0.25">
      <c r="A2159" s="15"/>
      <c r="B2159" s="14"/>
    </row>
    <row r="2160" spans="1:2" hidden="1" x14ac:dyDescent="0.25">
      <c r="A2160" s="15"/>
      <c r="B2160" s="14"/>
    </row>
    <row r="2161" spans="1:2" hidden="1" x14ac:dyDescent="0.25">
      <c r="A2161" s="15"/>
      <c r="B2161" s="14"/>
    </row>
    <row r="2162" spans="1:2" hidden="1" x14ac:dyDescent="0.25">
      <c r="A2162" s="15"/>
      <c r="B2162" s="14"/>
    </row>
    <row r="2163" spans="1:2" hidden="1" x14ac:dyDescent="0.25">
      <c r="A2163" s="15"/>
      <c r="B2163" s="14"/>
    </row>
    <row r="2164" spans="1:2" hidden="1" x14ac:dyDescent="0.25">
      <c r="A2164" s="15"/>
      <c r="B2164" s="14"/>
    </row>
    <row r="2165" spans="1:2" hidden="1" x14ac:dyDescent="0.25">
      <c r="A2165" s="15"/>
      <c r="B2165" s="14"/>
    </row>
    <row r="2166" spans="1:2" hidden="1" x14ac:dyDescent="0.25">
      <c r="A2166" s="15"/>
      <c r="B2166" s="14"/>
    </row>
    <row r="2167" spans="1:2" hidden="1" x14ac:dyDescent="0.25">
      <c r="A2167" s="15"/>
      <c r="B2167" s="14"/>
    </row>
    <row r="2168" spans="1:2" hidden="1" x14ac:dyDescent="0.25">
      <c r="A2168" s="15"/>
      <c r="B2168" s="14"/>
    </row>
    <row r="2169" spans="1:2" hidden="1" x14ac:dyDescent="0.25">
      <c r="A2169" s="15"/>
      <c r="B2169" s="14"/>
    </row>
    <row r="2170" spans="1:2" hidden="1" x14ac:dyDescent="0.25">
      <c r="A2170" s="15"/>
      <c r="B2170" s="14"/>
    </row>
    <row r="2171" spans="1:2" hidden="1" x14ac:dyDescent="0.25">
      <c r="A2171" s="15"/>
      <c r="B2171" s="14"/>
    </row>
    <row r="2172" spans="1:2" hidden="1" x14ac:dyDescent="0.25">
      <c r="A2172" s="15"/>
      <c r="B2172" s="14"/>
    </row>
    <row r="2173" spans="1:2" hidden="1" x14ac:dyDescent="0.25">
      <c r="A2173" s="15"/>
      <c r="B2173" s="14"/>
    </row>
    <row r="2174" spans="1:2" hidden="1" x14ac:dyDescent="0.25">
      <c r="A2174" s="15"/>
      <c r="B2174" s="14"/>
    </row>
    <row r="2175" spans="1:2" hidden="1" x14ac:dyDescent="0.25">
      <c r="A2175" s="15"/>
      <c r="B2175" s="14"/>
    </row>
    <row r="2176" spans="1:2" hidden="1" x14ac:dyDescent="0.25">
      <c r="A2176" s="15"/>
      <c r="B2176" s="14"/>
    </row>
    <row r="2177" spans="1:2" hidden="1" x14ac:dyDescent="0.25">
      <c r="A2177" s="15"/>
      <c r="B2177" s="14"/>
    </row>
    <row r="2178" spans="1:2" hidden="1" x14ac:dyDescent="0.25">
      <c r="A2178" s="15"/>
      <c r="B2178" s="14"/>
    </row>
    <row r="2179" spans="1:2" hidden="1" x14ac:dyDescent="0.25">
      <c r="A2179" s="15"/>
      <c r="B2179" s="14"/>
    </row>
    <row r="2180" spans="1:2" hidden="1" x14ac:dyDescent="0.25">
      <c r="A2180" s="15"/>
      <c r="B2180" s="14"/>
    </row>
    <row r="2181" spans="1:2" hidden="1" x14ac:dyDescent="0.25">
      <c r="A2181" s="15"/>
      <c r="B2181" s="14"/>
    </row>
    <row r="2182" spans="1:2" hidden="1" x14ac:dyDescent="0.25">
      <c r="A2182" s="15"/>
      <c r="B2182" s="14"/>
    </row>
    <row r="2183" spans="1:2" hidden="1" x14ac:dyDescent="0.25">
      <c r="A2183" s="15"/>
      <c r="B2183" s="14"/>
    </row>
    <row r="2184" spans="1:2" hidden="1" x14ac:dyDescent="0.25">
      <c r="A2184" s="15"/>
      <c r="B2184" s="14"/>
    </row>
    <row r="2185" spans="1:2" hidden="1" x14ac:dyDescent="0.25">
      <c r="A2185" s="15"/>
      <c r="B2185" s="14"/>
    </row>
    <row r="2186" spans="1:2" hidden="1" x14ac:dyDescent="0.25">
      <c r="A2186" s="15"/>
      <c r="B2186" s="14"/>
    </row>
    <row r="2187" spans="1:2" hidden="1" x14ac:dyDescent="0.25">
      <c r="A2187" s="15"/>
      <c r="B2187" s="14"/>
    </row>
    <row r="2188" spans="1:2" hidden="1" x14ac:dyDescent="0.25">
      <c r="A2188" s="15"/>
      <c r="B2188" s="14"/>
    </row>
    <row r="2189" spans="1:2" hidden="1" x14ac:dyDescent="0.25">
      <c r="A2189" s="15"/>
      <c r="B2189" s="14"/>
    </row>
    <row r="2190" spans="1:2" hidden="1" x14ac:dyDescent="0.25">
      <c r="A2190" s="15"/>
      <c r="B2190" s="14"/>
    </row>
    <row r="2191" spans="1:2" hidden="1" x14ac:dyDescent="0.25">
      <c r="A2191" s="15"/>
      <c r="B2191" s="14"/>
    </row>
    <row r="2192" spans="1:2" hidden="1" x14ac:dyDescent="0.25">
      <c r="A2192" s="15"/>
      <c r="B2192" s="14"/>
    </row>
    <row r="2193" spans="1:2" hidden="1" x14ac:dyDescent="0.25">
      <c r="A2193" s="15"/>
      <c r="B2193" s="14"/>
    </row>
    <row r="2194" spans="1:2" hidden="1" x14ac:dyDescent="0.25">
      <c r="A2194" s="15"/>
      <c r="B2194" s="14"/>
    </row>
    <row r="2195" spans="1:2" hidden="1" x14ac:dyDescent="0.25">
      <c r="A2195" s="15"/>
      <c r="B2195" s="14"/>
    </row>
    <row r="2196" spans="1:2" hidden="1" x14ac:dyDescent="0.25">
      <c r="A2196" s="15"/>
      <c r="B2196" s="14"/>
    </row>
    <row r="2197" spans="1:2" hidden="1" x14ac:dyDescent="0.25">
      <c r="A2197" s="15"/>
      <c r="B2197" s="14"/>
    </row>
    <row r="2198" spans="1:2" hidden="1" x14ac:dyDescent="0.25">
      <c r="A2198" s="15"/>
      <c r="B2198" s="14"/>
    </row>
    <row r="2199" spans="1:2" hidden="1" x14ac:dyDescent="0.25">
      <c r="A2199" s="15"/>
      <c r="B2199" s="14"/>
    </row>
    <row r="2200" spans="1:2" hidden="1" x14ac:dyDescent="0.25">
      <c r="A2200" s="15"/>
      <c r="B2200" s="14"/>
    </row>
    <row r="2201" spans="1:2" hidden="1" x14ac:dyDescent="0.25">
      <c r="A2201" s="15"/>
      <c r="B2201" s="14"/>
    </row>
    <row r="2202" spans="1:2" hidden="1" x14ac:dyDescent="0.25">
      <c r="A2202" s="15"/>
      <c r="B2202" s="14"/>
    </row>
    <row r="2203" spans="1:2" hidden="1" x14ac:dyDescent="0.25">
      <c r="A2203" s="15"/>
      <c r="B2203" s="14"/>
    </row>
    <row r="2204" spans="1:2" hidden="1" x14ac:dyDescent="0.25">
      <c r="A2204" s="15"/>
      <c r="B2204" s="14"/>
    </row>
    <row r="2205" spans="1:2" hidden="1" x14ac:dyDescent="0.25">
      <c r="A2205" s="15"/>
      <c r="B2205" s="14"/>
    </row>
    <row r="2206" spans="1:2" hidden="1" x14ac:dyDescent="0.25">
      <c r="A2206" s="15"/>
      <c r="B2206" s="14"/>
    </row>
    <row r="2207" spans="1:2" hidden="1" x14ac:dyDescent="0.25">
      <c r="A2207" s="15"/>
      <c r="B2207" s="14"/>
    </row>
    <row r="2208" spans="1:2" hidden="1" x14ac:dyDescent="0.25">
      <c r="A2208" s="15"/>
      <c r="B2208" s="14"/>
    </row>
    <row r="2209" spans="1:2" hidden="1" x14ac:dyDescent="0.25">
      <c r="A2209" s="15"/>
      <c r="B2209" s="14"/>
    </row>
    <row r="2210" spans="1:2" hidden="1" x14ac:dyDescent="0.25">
      <c r="A2210" s="15"/>
      <c r="B2210" s="14"/>
    </row>
    <row r="2211" spans="1:2" hidden="1" x14ac:dyDescent="0.25">
      <c r="A2211" s="15"/>
      <c r="B2211" s="14"/>
    </row>
    <row r="2212" spans="1:2" hidden="1" x14ac:dyDescent="0.25">
      <c r="A2212" s="15"/>
      <c r="B2212" s="14"/>
    </row>
    <row r="2213" spans="1:2" hidden="1" x14ac:dyDescent="0.25">
      <c r="A2213" s="15"/>
      <c r="B2213" s="14"/>
    </row>
    <row r="2214" spans="1:2" hidden="1" x14ac:dyDescent="0.25">
      <c r="A2214" s="15"/>
      <c r="B2214" s="14"/>
    </row>
    <row r="2215" spans="1:2" hidden="1" x14ac:dyDescent="0.25">
      <c r="A2215" s="15"/>
      <c r="B2215" s="14"/>
    </row>
    <row r="2216" spans="1:2" hidden="1" x14ac:dyDescent="0.25">
      <c r="A2216" s="15"/>
      <c r="B2216" s="14"/>
    </row>
    <row r="2217" spans="1:2" hidden="1" x14ac:dyDescent="0.25">
      <c r="A2217" s="15"/>
      <c r="B2217" s="14"/>
    </row>
    <row r="2218" spans="1:2" hidden="1" x14ac:dyDescent="0.25">
      <c r="A2218" s="15"/>
      <c r="B2218" s="14"/>
    </row>
    <row r="2219" spans="1:2" hidden="1" x14ac:dyDescent="0.25">
      <c r="A2219" s="15"/>
      <c r="B2219" s="14"/>
    </row>
    <row r="2220" spans="1:2" hidden="1" x14ac:dyDescent="0.25">
      <c r="A2220" s="15"/>
      <c r="B2220" s="14"/>
    </row>
    <row r="2221" spans="1:2" hidden="1" x14ac:dyDescent="0.25">
      <c r="A2221" s="15"/>
      <c r="B2221" s="14"/>
    </row>
    <row r="2222" spans="1:2" hidden="1" x14ac:dyDescent="0.25">
      <c r="A2222" s="15"/>
      <c r="B2222" s="14"/>
    </row>
    <row r="2223" spans="1:2" hidden="1" x14ac:dyDescent="0.25">
      <c r="A2223" s="15"/>
      <c r="B2223" s="14"/>
    </row>
    <row r="2224" spans="1:2" hidden="1" x14ac:dyDescent="0.25">
      <c r="A2224" s="15"/>
      <c r="B2224" s="14"/>
    </row>
    <row r="2225" spans="1:2" hidden="1" x14ac:dyDescent="0.25">
      <c r="A2225" s="15"/>
      <c r="B2225" s="14"/>
    </row>
    <row r="2226" spans="1:2" hidden="1" x14ac:dyDescent="0.25">
      <c r="A2226" s="15"/>
      <c r="B2226" s="14"/>
    </row>
    <row r="2227" spans="1:2" hidden="1" x14ac:dyDescent="0.25">
      <c r="A2227" s="15"/>
      <c r="B2227" s="14"/>
    </row>
    <row r="2228" spans="1:2" hidden="1" x14ac:dyDescent="0.25">
      <c r="A2228" s="15"/>
      <c r="B2228" s="14"/>
    </row>
    <row r="2229" spans="1:2" hidden="1" x14ac:dyDescent="0.25">
      <c r="A2229" s="15"/>
      <c r="B2229" s="14"/>
    </row>
    <row r="2230" spans="1:2" hidden="1" x14ac:dyDescent="0.25">
      <c r="A2230" s="15"/>
      <c r="B2230" s="14"/>
    </row>
    <row r="2231" spans="1:2" hidden="1" x14ac:dyDescent="0.25">
      <c r="A2231" s="15"/>
      <c r="B2231" s="14"/>
    </row>
    <row r="2232" spans="1:2" hidden="1" x14ac:dyDescent="0.25">
      <c r="A2232" s="15"/>
      <c r="B2232" s="14"/>
    </row>
    <row r="2233" spans="1:2" hidden="1" x14ac:dyDescent="0.25">
      <c r="A2233" s="15"/>
      <c r="B2233" s="14"/>
    </row>
    <row r="2234" spans="1:2" hidden="1" x14ac:dyDescent="0.25">
      <c r="A2234" s="15"/>
      <c r="B2234" s="14"/>
    </row>
    <row r="2235" spans="1:2" hidden="1" x14ac:dyDescent="0.25">
      <c r="A2235" s="15"/>
      <c r="B2235" s="14"/>
    </row>
    <row r="2236" spans="1:2" hidden="1" x14ac:dyDescent="0.25">
      <c r="A2236" s="15"/>
      <c r="B2236" s="14"/>
    </row>
    <row r="2237" spans="1:2" hidden="1" x14ac:dyDescent="0.25">
      <c r="A2237" s="15"/>
      <c r="B2237" s="14"/>
    </row>
    <row r="2238" spans="1:2" hidden="1" x14ac:dyDescent="0.25">
      <c r="A2238" s="15"/>
      <c r="B2238" s="14"/>
    </row>
    <row r="2239" spans="1:2" hidden="1" x14ac:dyDescent="0.25">
      <c r="A2239" s="15"/>
      <c r="B2239" s="14"/>
    </row>
    <row r="2240" spans="1:2" hidden="1" x14ac:dyDescent="0.25">
      <c r="A2240" s="15"/>
      <c r="B2240" s="14"/>
    </row>
    <row r="2241" spans="1:2" hidden="1" x14ac:dyDescent="0.25">
      <c r="A2241" s="15"/>
      <c r="B2241" s="14"/>
    </row>
    <row r="2242" spans="1:2" hidden="1" x14ac:dyDescent="0.25">
      <c r="A2242" s="15"/>
      <c r="B2242" s="14"/>
    </row>
    <row r="2243" spans="1:2" hidden="1" x14ac:dyDescent="0.25">
      <c r="A2243" s="15"/>
      <c r="B2243" s="14"/>
    </row>
    <row r="2244" spans="1:2" hidden="1" x14ac:dyDescent="0.25">
      <c r="A2244" s="15"/>
      <c r="B2244" s="14"/>
    </row>
    <row r="2245" spans="1:2" hidden="1" x14ac:dyDescent="0.25">
      <c r="A2245" s="15"/>
      <c r="B2245" s="14"/>
    </row>
    <row r="2246" spans="1:2" hidden="1" x14ac:dyDescent="0.25">
      <c r="A2246" s="15"/>
      <c r="B2246" s="14"/>
    </row>
    <row r="2247" spans="1:2" hidden="1" x14ac:dyDescent="0.25">
      <c r="A2247" s="15"/>
      <c r="B2247" s="14"/>
    </row>
    <row r="2248" spans="1:2" hidden="1" x14ac:dyDescent="0.25">
      <c r="A2248" s="15"/>
      <c r="B2248" s="14"/>
    </row>
    <row r="2249" spans="1:2" hidden="1" x14ac:dyDescent="0.25">
      <c r="A2249" s="15"/>
      <c r="B2249" s="14"/>
    </row>
    <row r="2250" spans="1:2" hidden="1" x14ac:dyDescent="0.25">
      <c r="A2250" s="15"/>
      <c r="B2250" s="14"/>
    </row>
    <row r="2251" spans="1:2" hidden="1" x14ac:dyDescent="0.25">
      <c r="A2251" s="15"/>
      <c r="B2251" s="14"/>
    </row>
    <row r="2252" spans="1:2" hidden="1" x14ac:dyDescent="0.25">
      <c r="A2252" s="15"/>
      <c r="B2252" s="14"/>
    </row>
    <row r="2253" spans="1:2" hidden="1" x14ac:dyDescent="0.25">
      <c r="A2253" s="15"/>
      <c r="B2253" s="14"/>
    </row>
    <row r="2254" spans="1:2" hidden="1" x14ac:dyDescent="0.25">
      <c r="A2254" s="15"/>
      <c r="B2254" s="14"/>
    </row>
    <row r="2255" spans="1:2" hidden="1" x14ac:dyDescent="0.25">
      <c r="A2255" s="15"/>
      <c r="B2255" s="14"/>
    </row>
    <row r="2256" spans="1:2" hidden="1" x14ac:dyDescent="0.25">
      <c r="A2256" s="15"/>
      <c r="B2256" s="14"/>
    </row>
    <row r="2257" spans="1:2" hidden="1" x14ac:dyDescent="0.25">
      <c r="A2257" s="15"/>
      <c r="B2257" s="14"/>
    </row>
    <row r="2258" spans="1:2" hidden="1" x14ac:dyDescent="0.25">
      <c r="A2258" s="15"/>
      <c r="B2258" s="14"/>
    </row>
    <row r="2259" spans="1:2" hidden="1" x14ac:dyDescent="0.25">
      <c r="A2259" s="15"/>
      <c r="B2259" s="14"/>
    </row>
    <row r="2260" spans="1:2" hidden="1" x14ac:dyDescent="0.25">
      <c r="A2260" s="15"/>
      <c r="B2260" s="14"/>
    </row>
    <row r="2261" spans="1:2" hidden="1" x14ac:dyDescent="0.25">
      <c r="A2261" s="15"/>
      <c r="B2261" s="14"/>
    </row>
    <row r="2262" spans="1:2" hidden="1" x14ac:dyDescent="0.25">
      <c r="A2262" s="15"/>
      <c r="B2262" s="14"/>
    </row>
    <row r="2263" spans="1:2" hidden="1" x14ac:dyDescent="0.25">
      <c r="A2263" s="15"/>
      <c r="B2263" s="14"/>
    </row>
    <row r="2264" spans="1:2" hidden="1" x14ac:dyDescent="0.25">
      <c r="A2264" s="15"/>
      <c r="B2264" s="14"/>
    </row>
    <row r="2265" spans="1:2" hidden="1" x14ac:dyDescent="0.25">
      <c r="A2265" s="15"/>
      <c r="B2265" s="14"/>
    </row>
    <row r="2266" spans="1:2" hidden="1" x14ac:dyDescent="0.25">
      <c r="A2266" s="15"/>
      <c r="B2266" s="14"/>
    </row>
    <row r="2267" spans="1:2" hidden="1" x14ac:dyDescent="0.25">
      <c r="A2267" s="15"/>
      <c r="B2267" s="14"/>
    </row>
    <row r="2268" spans="1:2" hidden="1" x14ac:dyDescent="0.25">
      <c r="A2268" s="15"/>
      <c r="B2268" s="14"/>
    </row>
    <row r="2269" spans="1:2" hidden="1" x14ac:dyDescent="0.25">
      <c r="A2269" s="15"/>
      <c r="B2269" s="14"/>
    </row>
    <row r="2270" spans="1:2" hidden="1" x14ac:dyDescent="0.25">
      <c r="A2270" s="15"/>
      <c r="B2270" s="14"/>
    </row>
    <row r="2271" spans="1:2" hidden="1" x14ac:dyDescent="0.25">
      <c r="A2271" s="15"/>
      <c r="B2271" s="14"/>
    </row>
    <row r="2272" spans="1:2" hidden="1" x14ac:dyDescent="0.25">
      <c r="A2272" s="15"/>
      <c r="B2272" s="14"/>
    </row>
    <row r="2273" spans="1:2" hidden="1" x14ac:dyDescent="0.25">
      <c r="A2273" s="15"/>
      <c r="B2273" s="14"/>
    </row>
    <row r="2274" spans="1:2" hidden="1" x14ac:dyDescent="0.25">
      <c r="A2274" s="15"/>
      <c r="B2274" s="14"/>
    </row>
    <row r="2275" spans="1:2" hidden="1" x14ac:dyDescent="0.25">
      <c r="A2275" s="15"/>
      <c r="B2275" s="14"/>
    </row>
    <row r="2276" spans="1:2" hidden="1" x14ac:dyDescent="0.25">
      <c r="A2276" s="15"/>
      <c r="B2276" s="14"/>
    </row>
    <row r="2277" spans="1:2" hidden="1" x14ac:dyDescent="0.25">
      <c r="A2277" s="15"/>
      <c r="B2277" s="14"/>
    </row>
    <row r="2278" spans="1:2" hidden="1" x14ac:dyDescent="0.25">
      <c r="A2278" s="15"/>
      <c r="B2278" s="14"/>
    </row>
    <row r="2279" spans="1:2" hidden="1" x14ac:dyDescent="0.25">
      <c r="A2279" s="15"/>
      <c r="B2279" s="14"/>
    </row>
    <row r="2280" spans="1:2" hidden="1" x14ac:dyDescent="0.25">
      <c r="A2280" s="15"/>
      <c r="B2280" s="14"/>
    </row>
    <row r="2281" spans="1:2" hidden="1" x14ac:dyDescent="0.25">
      <c r="A2281" s="15"/>
      <c r="B2281" s="14"/>
    </row>
    <row r="2282" spans="1:2" hidden="1" x14ac:dyDescent="0.25">
      <c r="A2282" s="15"/>
      <c r="B2282" s="14"/>
    </row>
    <row r="2283" spans="1:2" hidden="1" x14ac:dyDescent="0.25">
      <c r="A2283" s="15"/>
      <c r="B2283" s="14"/>
    </row>
    <row r="2284" spans="1:2" hidden="1" x14ac:dyDescent="0.25">
      <c r="A2284" s="15"/>
      <c r="B2284" s="14"/>
    </row>
    <row r="2285" spans="1:2" hidden="1" x14ac:dyDescent="0.25">
      <c r="A2285" s="15"/>
      <c r="B2285" s="14"/>
    </row>
    <row r="2286" spans="1:2" hidden="1" x14ac:dyDescent="0.25">
      <c r="A2286" s="15"/>
      <c r="B2286" s="14"/>
    </row>
    <row r="2287" spans="1:2" hidden="1" x14ac:dyDescent="0.25">
      <c r="A2287" s="15"/>
      <c r="B2287" s="14"/>
    </row>
    <row r="2288" spans="1:2" hidden="1" x14ac:dyDescent="0.25">
      <c r="A2288" s="15"/>
      <c r="B2288" s="14"/>
    </row>
    <row r="2289" spans="1:2" hidden="1" x14ac:dyDescent="0.25">
      <c r="A2289" s="15"/>
      <c r="B2289" s="14"/>
    </row>
    <row r="2290" spans="1:2" hidden="1" x14ac:dyDescent="0.25">
      <c r="A2290" s="15"/>
      <c r="B2290" s="14"/>
    </row>
    <row r="2291" spans="1:2" hidden="1" x14ac:dyDescent="0.25">
      <c r="A2291" s="15"/>
      <c r="B2291" s="14"/>
    </row>
    <row r="2292" spans="1:2" hidden="1" x14ac:dyDescent="0.25">
      <c r="A2292" s="15"/>
      <c r="B2292" s="14"/>
    </row>
    <row r="2293" spans="1:2" hidden="1" x14ac:dyDescent="0.25">
      <c r="A2293" s="15"/>
      <c r="B2293" s="14"/>
    </row>
    <row r="2294" spans="1:2" hidden="1" x14ac:dyDescent="0.25">
      <c r="A2294" s="15"/>
      <c r="B2294" s="14"/>
    </row>
    <row r="2295" spans="1:2" hidden="1" x14ac:dyDescent="0.25">
      <c r="A2295" s="15"/>
      <c r="B2295" s="14"/>
    </row>
    <row r="2296" spans="1:2" hidden="1" x14ac:dyDescent="0.25">
      <c r="A2296" s="15"/>
      <c r="B2296" s="14"/>
    </row>
    <row r="2297" spans="1:2" hidden="1" x14ac:dyDescent="0.25">
      <c r="A2297" s="15"/>
      <c r="B2297" s="14"/>
    </row>
    <row r="2298" spans="1:2" hidden="1" x14ac:dyDescent="0.25">
      <c r="A2298" s="15"/>
      <c r="B2298" s="14"/>
    </row>
    <row r="2299" spans="1:2" hidden="1" x14ac:dyDescent="0.25">
      <c r="A2299" s="15"/>
      <c r="B2299" s="14"/>
    </row>
    <row r="2300" spans="1:2" hidden="1" x14ac:dyDescent="0.25">
      <c r="A2300" s="15"/>
      <c r="B2300" s="14"/>
    </row>
    <row r="2301" spans="1:2" hidden="1" x14ac:dyDescent="0.25">
      <c r="A2301" s="15"/>
      <c r="B2301" s="14"/>
    </row>
    <row r="2302" spans="1:2" hidden="1" x14ac:dyDescent="0.25">
      <c r="A2302" s="15"/>
      <c r="B2302" s="14"/>
    </row>
    <row r="2303" spans="1:2" hidden="1" x14ac:dyDescent="0.25">
      <c r="A2303" s="15"/>
      <c r="B2303" s="14"/>
    </row>
    <row r="2304" spans="1:2" hidden="1" x14ac:dyDescent="0.25">
      <c r="A2304" s="15"/>
      <c r="B2304" s="14"/>
    </row>
    <row r="2305" spans="1:2" hidden="1" x14ac:dyDescent="0.25">
      <c r="A2305" s="15"/>
      <c r="B2305" s="14"/>
    </row>
    <row r="2306" spans="1:2" hidden="1" x14ac:dyDescent="0.25">
      <c r="A2306" s="15"/>
      <c r="B2306" s="14"/>
    </row>
    <row r="2307" spans="1:2" hidden="1" x14ac:dyDescent="0.25">
      <c r="A2307" s="15"/>
      <c r="B2307" s="14"/>
    </row>
    <row r="2308" spans="1:2" hidden="1" x14ac:dyDescent="0.25">
      <c r="A2308" s="15"/>
      <c r="B2308" s="14"/>
    </row>
    <row r="2309" spans="1:2" hidden="1" x14ac:dyDescent="0.25">
      <c r="A2309" s="15"/>
      <c r="B2309" s="14"/>
    </row>
    <row r="2310" spans="1:2" hidden="1" x14ac:dyDescent="0.25">
      <c r="A2310" s="15"/>
      <c r="B2310" s="14"/>
    </row>
    <row r="2311" spans="1:2" hidden="1" x14ac:dyDescent="0.25">
      <c r="A2311" s="15"/>
      <c r="B2311" s="14"/>
    </row>
    <row r="2312" spans="1:2" hidden="1" x14ac:dyDescent="0.25">
      <c r="A2312" s="15"/>
      <c r="B2312" s="14"/>
    </row>
    <row r="2313" spans="1:2" hidden="1" x14ac:dyDescent="0.25">
      <c r="A2313" s="15"/>
      <c r="B2313" s="14"/>
    </row>
    <row r="2314" spans="1:2" hidden="1" x14ac:dyDescent="0.25">
      <c r="A2314" s="15"/>
      <c r="B2314" s="14"/>
    </row>
    <row r="2315" spans="1:2" hidden="1" x14ac:dyDescent="0.25">
      <c r="A2315" s="15"/>
      <c r="B2315" s="14"/>
    </row>
    <row r="2316" spans="1:2" hidden="1" x14ac:dyDescent="0.25">
      <c r="A2316" s="15"/>
      <c r="B2316" s="14"/>
    </row>
    <row r="2317" spans="1:2" hidden="1" x14ac:dyDescent="0.25">
      <c r="A2317" s="15"/>
      <c r="B2317" s="14"/>
    </row>
    <row r="2318" spans="1:2" hidden="1" x14ac:dyDescent="0.25">
      <c r="A2318" s="15"/>
      <c r="B2318" s="14"/>
    </row>
    <row r="2319" spans="1:2" hidden="1" x14ac:dyDescent="0.25">
      <c r="A2319" s="15"/>
      <c r="B2319" s="14"/>
    </row>
    <row r="2320" spans="1:2" hidden="1" x14ac:dyDescent="0.25">
      <c r="A2320" s="15"/>
      <c r="B2320" s="14"/>
    </row>
    <row r="2321" spans="1:2" hidden="1" x14ac:dyDescent="0.25">
      <c r="A2321" s="15"/>
      <c r="B2321" s="14"/>
    </row>
    <row r="2322" spans="1:2" hidden="1" x14ac:dyDescent="0.25">
      <c r="A2322" s="15"/>
      <c r="B2322" s="14"/>
    </row>
    <row r="2323" spans="1:2" hidden="1" x14ac:dyDescent="0.25">
      <c r="A2323" s="15"/>
      <c r="B2323" s="14"/>
    </row>
    <row r="2324" spans="1:2" hidden="1" x14ac:dyDescent="0.25">
      <c r="A2324" s="15"/>
      <c r="B2324" s="14"/>
    </row>
    <row r="2325" spans="1:2" hidden="1" x14ac:dyDescent="0.25">
      <c r="A2325" s="15"/>
      <c r="B2325" s="14"/>
    </row>
    <row r="2326" spans="1:2" hidden="1" x14ac:dyDescent="0.25">
      <c r="A2326" s="15"/>
      <c r="B2326" s="14"/>
    </row>
    <row r="2327" spans="1:2" hidden="1" x14ac:dyDescent="0.25">
      <c r="A2327" s="15"/>
      <c r="B2327" s="14"/>
    </row>
    <row r="2328" spans="1:2" hidden="1" x14ac:dyDescent="0.25">
      <c r="A2328" s="15"/>
      <c r="B2328" s="14"/>
    </row>
    <row r="2329" spans="1:2" hidden="1" x14ac:dyDescent="0.25">
      <c r="A2329" s="15"/>
      <c r="B2329" s="14"/>
    </row>
    <row r="2330" spans="1:2" hidden="1" x14ac:dyDescent="0.25">
      <c r="A2330" s="15"/>
      <c r="B2330" s="14"/>
    </row>
    <row r="2331" spans="1:2" hidden="1" x14ac:dyDescent="0.25">
      <c r="A2331" s="15"/>
      <c r="B2331" s="14"/>
    </row>
    <row r="2332" spans="1:2" hidden="1" x14ac:dyDescent="0.25">
      <c r="A2332" s="15"/>
      <c r="B2332" s="14"/>
    </row>
    <row r="2333" spans="1:2" hidden="1" x14ac:dyDescent="0.25">
      <c r="A2333" s="15"/>
      <c r="B2333" s="14"/>
    </row>
    <row r="2334" spans="1:2" hidden="1" x14ac:dyDescent="0.25">
      <c r="A2334" s="15"/>
      <c r="B2334" s="14"/>
    </row>
    <row r="2335" spans="1:2" hidden="1" x14ac:dyDescent="0.25">
      <c r="A2335" s="15"/>
      <c r="B2335" s="14"/>
    </row>
    <row r="2336" spans="1:2" hidden="1" x14ac:dyDescent="0.25">
      <c r="A2336" s="15"/>
      <c r="B2336" s="14"/>
    </row>
    <row r="2337" spans="1:2" hidden="1" x14ac:dyDescent="0.25">
      <c r="A2337" s="15"/>
      <c r="B2337" s="14"/>
    </row>
    <row r="2338" spans="1:2" hidden="1" x14ac:dyDescent="0.25">
      <c r="A2338" s="15"/>
      <c r="B2338" s="14"/>
    </row>
    <row r="2339" spans="1:2" hidden="1" x14ac:dyDescent="0.25">
      <c r="A2339" s="15"/>
      <c r="B2339" s="14"/>
    </row>
    <row r="2340" spans="1:2" hidden="1" x14ac:dyDescent="0.25">
      <c r="A2340" s="15"/>
      <c r="B2340" s="14"/>
    </row>
    <row r="2341" spans="1:2" hidden="1" x14ac:dyDescent="0.25">
      <c r="A2341" s="15"/>
      <c r="B2341" s="14"/>
    </row>
    <row r="2342" spans="1:2" hidden="1" x14ac:dyDescent="0.25">
      <c r="A2342" s="15"/>
      <c r="B2342" s="14"/>
    </row>
    <row r="2343" spans="1:2" hidden="1" x14ac:dyDescent="0.25">
      <c r="A2343" s="15"/>
      <c r="B2343" s="14"/>
    </row>
    <row r="2344" spans="1:2" hidden="1" x14ac:dyDescent="0.25">
      <c r="A2344" s="15"/>
      <c r="B2344" s="14"/>
    </row>
    <row r="2345" spans="1:2" hidden="1" x14ac:dyDescent="0.25">
      <c r="A2345" s="15"/>
      <c r="B2345" s="14"/>
    </row>
    <row r="2346" spans="1:2" hidden="1" x14ac:dyDescent="0.25">
      <c r="A2346" s="15"/>
      <c r="B2346" s="14"/>
    </row>
    <row r="2347" spans="1:2" hidden="1" x14ac:dyDescent="0.25">
      <c r="A2347" s="15"/>
      <c r="B2347" s="14"/>
    </row>
    <row r="2348" spans="1:2" hidden="1" x14ac:dyDescent="0.25">
      <c r="A2348" s="15"/>
      <c r="B2348" s="14"/>
    </row>
    <row r="2349" spans="1:2" hidden="1" x14ac:dyDescent="0.25">
      <c r="A2349" s="15"/>
      <c r="B2349" s="14"/>
    </row>
    <row r="2350" spans="1:2" hidden="1" x14ac:dyDescent="0.25">
      <c r="A2350" s="15"/>
      <c r="B2350" s="14"/>
    </row>
    <row r="2351" spans="1:2" hidden="1" x14ac:dyDescent="0.25">
      <c r="A2351" s="15"/>
      <c r="B2351" s="14"/>
    </row>
    <row r="2352" spans="1:2" hidden="1" x14ac:dyDescent="0.25">
      <c r="A2352" s="15"/>
      <c r="B2352" s="14"/>
    </row>
    <row r="2353" spans="1:2" hidden="1" x14ac:dyDescent="0.25">
      <c r="A2353" s="15"/>
      <c r="B2353" s="14"/>
    </row>
    <row r="2354" spans="1:2" hidden="1" x14ac:dyDescent="0.25">
      <c r="A2354" s="15"/>
      <c r="B2354" s="14"/>
    </row>
    <row r="2355" spans="1:2" hidden="1" x14ac:dyDescent="0.25">
      <c r="A2355" s="15"/>
      <c r="B2355" s="14"/>
    </row>
    <row r="2356" spans="1:2" hidden="1" x14ac:dyDescent="0.25">
      <c r="A2356" s="15"/>
      <c r="B2356" s="14"/>
    </row>
    <row r="2357" spans="1:2" hidden="1" x14ac:dyDescent="0.25">
      <c r="A2357" s="15"/>
      <c r="B2357" s="14"/>
    </row>
    <row r="2358" spans="1:2" hidden="1" x14ac:dyDescent="0.25">
      <c r="A2358" s="15"/>
      <c r="B2358" s="14"/>
    </row>
    <row r="2359" spans="1:2" hidden="1" x14ac:dyDescent="0.25">
      <c r="A2359" s="15"/>
      <c r="B2359" s="14"/>
    </row>
    <row r="2360" spans="1:2" hidden="1" x14ac:dyDescent="0.25">
      <c r="A2360" s="15"/>
      <c r="B2360" s="14"/>
    </row>
    <row r="2361" spans="1:2" hidden="1" x14ac:dyDescent="0.25">
      <c r="A2361" s="15"/>
      <c r="B2361" s="14"/>
    </row>
    <row r="2362" spans="1:2" hidden="1" x14ac:dyDescent="0.25">
      <c r="A2362" s="15"/>
      <c r="B2362" s="14"/>
    </row>
    <row r="2363" spans="1:2" hidden="1" x14ac:dyDescent="0.25">
      <c r="A2363" s="15"/>
      <c r="B2363" s="14"/>
    </row>
    <row r="2364" spans="1:2" hidden="1" x14ac:dyDescent="0.25">
      <c r="A2364" s="15"/>
      <c r="B2364" s="14"/>
    </row>
    <row r="2365" spans="1:2" hidden="1" x14ac:dyDescent="0.25">
      <c r="A2365" s="15"/>
      <c r="B2365" s="14"/>
    </row>
    <row r="2366" spans="1:2" hidden="1" x14ac:dyDescent="0.25">
      <c r="A2366" s="15"/>
      <c r="B2366" s="14"/>
    </row>
    <row r="2367" spans="1:2" hidden="1" x14ac:dyDescent="0.25">
      <c r="A2367" s="15"/>
      <c r="B2367" s="14"/>
    </row>
    <row r="2368" spans="1:2" hidden="1" x14ac:dyDescent="0.25">
      <c r="A2368" s="15"/>
      <c r="B2368" s="14"/>
    </row>
    <row r="2369" spans="1:2" hidden="1" x14ac:dyDescent="0.25">
      <c r="A2369" s="15"/>
      <c r="B2369" s="14"/>
    </row>
    <row r="2370" spans="1:2" hidden="1" x14ac:dyDescent="0.25">
      <c r="A2370" s="15"/>
      <c r="B2370" s="14"/>
    </row>
    <row r="2371" spans="1:2" hidden="1" x14ac:dyDescent="0.25">
      <c r="A2371" s="15"/>
      <c r="B2371" s="14"/>
    </row>
    <row r="2372" spans="1:2" hidden="1" x14ac:dyDescent="0.25">
      <c r="A2372" s="15"/>
      <c r="B2372" s="14"/>
    </row>
    <row r="2373" spans="1:2" hidden="1" x14ac:dyDescent="0.25">
      <c r="A2373" s="15"/>
      <c r="B2373" s="14"/>
    </row>
    <row r="2374" spans="1:2" hidden="1" x14ac:dyDescent="0.25">
      <c r="A2374" s="15"/>
      <c r="B2374" s="14"/>
    </row>
    <row r="2375" spans="1:2" hidden="1" x14ac:dyDescent="0.25">
      <c r="A2375" s="15"/>
      <c r="B2375" s="14"/>
    </row>
    <row r="2376" spans="1:2" hidden="1" x14ac:dyDescent="0.25">
      <c r="A2376" s="15"/>
      <c r="B2376" s="14"/>
    </row>
    <row r="2377" spans="1:2" hidden="1" x14ac:dyDescent="0.25">
      <c r="A2377" s="15"/>
      <c r="B2377" s="14"/>
    </row>
    <row r="2378" spans="1:2" hidden="1" x14ac:dyDescent="0.25">
      <c r="A2378" s="15"/>
      <c r="B2378" s="14"/>
    </row>
    <row r="2379" spans="1:2" hidden="1" x14ac:dyDescent="0.25">
      <c r="A2379" s="15"/>
      <c r="B2379" s="14"/>
    </row>
    <row r="2380" spans="1:2" hidden="1" x14ac:dyDescent="0.25">
      <c r="A2380" s="15"/>
      <c r="B2380" s="14"/>
    </row>
    <row r="2381" spans="1:2" hidden="1" x14ac:dyDescent="0.25">
      <c r="A2381" s="15"/>
      <c r="B2381" s="14"/>
    </row>
    <row r="2382" spans="1:2" hidden="1" x14ac:dyDescent="0.25">
      <c r="A2382" s="15"/>
      <c r="B2382" s="14"/>
    </row>
    <row r="2383" spans="1:2" hidden="1" x14ac:dyDescent="0.25">
      <c r="A2383" s="15"/>
      <c r="B2383" s="14"/>
    </row>
    <row r="2384" spans="1:2" hidden="1" x14ac:dyDescent="0.25">
      <c r="A2384" s="15"/>
      <c r="B2384" s="14"/>
    </row>
    <row r="2385" spans="1:2" hidden="1" x14ac:dyDescent="0.25">
      <c r="A2385" s="15"/>
      <c r="B2385" s="14"/>
    </row>
    <row r="2386" spans="1:2" hidden="1" x14ac:dyDescent="0.25">
      <c r="A2386" s="15"/>
      <c r="B2386" s="14"/>
    </row>
    <row r="2387" spans="1:2" hidden="1" x14ac:dyDescent="0.25">
      <c r="A2387" s="15"/>
      <c r="B2387" s="14"/>
    </row>
    <row r="2388" spans="1:2" hidden="1" x14ac:dyDescent="0.25">
      <c r="A2388" s="15"/>
      <c r="B2388" s="14"/>
    </row>
    <row r="2389" spans="1:2" hidden="1" x14ac:dyDescent="0.25">
      <c r="A2389" s="15"/>
      <c r="B2389" s="14"/>
    </row>
    <row r="2390" spans="1:2" hidden="1" x14ac:dyDescent="0.25">
      <c r="A2390" s="15"/>
      <c r="B2390" s="14"/>
    </row>
    <row r="2391" spans="1:2" hidden="1" x14ac:dyDescent="0.25">
      <c r="A2391" s="15"/>
      <c r="B2391" s="14"/>
    </row>
    <row r="2392" spans="1:2" hidden="1" x14ac:dyDescent="0.25">
      <c r="A2392" s="15"/>
      <c r="B2392" s="14"/>
    </row>
    <row r="2393" spans="1:2" hidden="1" x14ac:dyDescent="0.25">
      <c r="A2393" s="15"/>
      <c r="B2393" s="14"/>
    </row>
    <row r="2394" spans="1:2" hidden="1" x14ac:dyDescent="0.25">
      <c r="A2394" s="15"/>
      <c r="B2394" s="14"/>
    </row>
    <row r="2395" spans="1:2" hidden="1" x14ac:dyDescent="0.25">
      <c r="A2395" s="15"/>
      <c r="B2395" s="14"/>
    </row>
    <row r="2396" spans="1:2" hidden="1" x14ac:dyDescent="0.25">
      <c r="A2396" s="15"/>
      <c r="B2396" s="14"/>
    </row>
    <row r="2397" spans="1:2" hidden="1" x14ac:dyDescent="0.25">
      <c r="A2397" s="15"/>
      <c r="B2397" s="14"/>
    </row>
    <row r="2398" spans="1:2" hidden="1" x14ac:dyDescent="0.25">
      <c r="A2398" s="15"/>
      <c r="B2398" s="14"/>
    </row>
    <row r="2399" spans="1:2" hidden="1" x14ac:dyDescent="0.25">
      <c r="A2399" s="15"/>
      <c r="B2399" s="14"/>
    </row>
    <row r="2400" spans="1:2" hidden="1" x14ac:dyDescent="0.25">
      <c r="A2400" s="15"/>
      <c r="B2400" s="14"/>
    </row>
    <row r="2401" spans="1:2" hidden="1" x14ac:dyDescent="0.25">
      <c r="A2401" s="15"/>
      <c r="B2401" s="14"/>
    </row>
    <row r="2402" spans="1:2" hidden="1" x14ac:dyDescent="0.25">
      <c r="A2402" s="15"/>
      <c r="B2402" s="14"/>
    </row>
    <row r="2403" spans="1:2" hidden="1" x14ac:dyDescent="0.25">
      <c r="A2403" s="15"/>
      <c r="B2403" s="14"/>
    </row>
    <row r="2404" spans="1:2" hidden="1" x14ac:dyDescent="0.25">
      <c r="A2404" s="15"/>
      <c r="B2404" s="14"/>
    </row>
    <row r="2405" spans="1:2" hidden="1" x14ac:dyDescent="0.25">
      <c r="A2405" s="15"/>
      <c r="B2405" s="14"/>
    </row>
    <row r="2406" spans="1:2" hidden="1" x14ac:dyDescent="0.25">
      <c r="A2406" s="15"/>
      <c r="B2406" s="14"/>
    </row>
    <row r="2407" spans="1:2" hidden="1" x14ac:dyDescent="0.25">
      <c r="A2407" s="15"/>
      <c r="B2407" s="14"/>
    </row>
    <row r="2408" spans="1:2" hidden="1" x14ac:dyDescent="0.25">
      <c r="A2408" s="15"/>
      <c r="B2408" s="14"/>
    </row>
    <row r="2409" spans="1:2" hidden="1" x14ac:dyDescent="0.25">
      <c r="A2409" s="15"/>
      <c r="B2409" s="14"/>
    </row>
    <row r="2410" spans="1:2" hidden="1" x14ac:dyDescent="0.25">
      <c r="A2410" s="15"/>
      <c r="B2410" s="14"/>
    </row>
    <row r="2411" spans="1:2" hidden="1" x14ac:dyDescent="0.25">
      <c r="A2411" s="15"/>
      <c r="B2411" s="14"/>
    </row>
    <row r="2412" spans="1:2" hidden="1" x14ac:dyDescent="0.25">
      <c r="A2412" s="15"/>
      <c r="B2412" s="14"/>
    </row>
    <row r="2413" spans="1:2" hidden="1" x14ac:dyDescent="0.25">
      <c r="A2413" s="15"/>
      <c r="B2413" s="14"/>
    </row>
    <row r="2414" spans="1:2" hidden="1" x14ac:dyDescent="0.25">
      <c r="A2414" s="15"/>
      <c r="B2414" s="14"/>
    </row>
    <row r="2415" spans="1:2" hidden="1" x14ac:dyDescent="0.25">
      <c r="A2415" s="15"/>
      <c r="B2415" s="14"/>
    </row>
    <row r="2416" spans="1:2" hidden="1" x14ac:dyDescent="0.25">
      <c r="A2416" s="15"/>
      <c r="B2416" s="14"/>
    </row>
    <row r="2417" spans="1:2" hidden="1" x14ac:dyDescent="0.25">
      <c r="A2417" s="15"/>
      <c r="B2417" s="14"/>
    </row>
    <row r="2418" spans="1:2" hidden="1" x14ac:dyDescent="0.25">
      <c r="A2418" s="15"/>
      <c r="B2418" s="14"/>
    </row>
    <row r="2419" spans="1:2" hidden="1" x14ac:dyDescent="0.25">
      <c r="A2419" s="15"/>
      <c r="B2419" s="14"/>
    </row>
    <row r="2420" spans="1:2" hidden="1" x14ac:dyDescent="0.25">
      <c r="A2420" s="15"/>
      <c r="B2420" s="14"/>
    </row>
    <row r="2421" spans="1:2" hidden="1" x14ac:dyDescent="0.25">
      <c r="A2421" s="15"/>
      <c r="B2421" s="14"/>
    </row>
    <row r="2422" spans="1:2" hidden="1" x14ac:dyDescent="0.25">
      <c r="A2422" s="15"/>
      <c r="B2422" s="14"/>
    </row>
    <row r="2423" spans="1:2" hidden="1" x14ac:dyDescent="0.25">
      <c r="A2423" s="15"/>
      <c r="B2423" s="14"/>
    </row>
    <row r="2424" spans="1:2" hidden="1" x14ac:dyDescent="0.25">
      <c r="A2424" s="15"/>
      <c r="B2424" s="14"/>
    </row>
    <row r="2425" spans="1:2" hidden="1" x14ac:dyDescent="0.25">
      <c r="A2425" s="15"/>
      <c r="B2425" s="14"/>
    </row>
    <row r="2426" spans="1:2" hidden="1" x14ac:dyDescent="0.25">
      <c r="A2426" s="15"/>
      <c r="B2426" s="14"/>
    </row>
    <row r="2427" spans="1:2" hidden="1" x14ac:dyDescent="0.25">
      <c r="A2427" s="15"/>
      <c r="B2427" s="14"/>
    </row>
    <row r="2428" spans="1:2" hidden="1" x14ac:dyDescent="0.25">
      <c r="A2428" s="15"/>
      <c r="B2428" s="14"/>
    </row>
    <row r="2429" spans="1:2" hidden="1" x14ac:dyDescent="0.25">
      <c r="A2429" s="15"/>
      <c r="B2429" s="14"/>
    </row>
    <row r="2430" spans="1:2" hidden="1" x14ac:dyDescent="0.25">
      <c r="A2430" s="15"/>
      <c r="B2430" s="14"/>
    </row>
    <row r="2431" spans="1:2" hidden="1" x14ac:dyDescent="0.25">
      <c r="A2431" s="15"/>
      <c r="B2431" s="14"/>
    </row>
    <row r="2432" spans="1:2" hidden="1" x14ac:dyDescent="0.25">
      <c r="A2432" s="15"/>
      <c r="B2432" s="14"/>
    </row>
    <row r="2433" spans="1:2" hidden="1" x14ac:dyDescent="0.25">
      <c r="A2433" s="15"/>
      <c r="B2433" s="14"/>
    </row>
    <row r="2434" spans="1:2" hidden="1" x14ac:dyDescent="0.25">
      <c r="A2434" s="15"/>
      <c r="B2434" s="14"/>
    </row>
    <row r="2435" spans="1:2" hidden="1" x14ac:dyDescent="0.25">
      <c r="A2435" s="15"/>
      <c r="B2435" s="14"/>
    </row>
    <row r="2436" spans="1:2" hidden="1" x14ac:dyDescent="0.25">
      <c r="A2436" s="15"/>
      <c r="B2436" s="14"/>
    </row>
    <row r="2437" spans="1:2" hidden="1" x14ac:dyDescent="0.25">
      <c r="A2437" s="15"/>
      <c r="B2437" s="14"/>
    </row>
    <row r="2438" spans="1:2" hidden="1" x14ac:dyDescent="0.25">
      <c r="A2438" s="15"/>
      <c r="B2438" s="14"/>
    </row>
    <row r="2439" spans="1:2" hidden="1" x14ac:dyDescent="0.25">
      <c r="A2439" s="15"/>
      <c r="B2439" s="14"/>
    </row>
    <row r="2440" spans="1:2" hidden="1" x14ac:dyDescent="0.25">
      <c r="A2440" s="15"/>
      <c r="B2440" s="14"/>
    </row>
    <row r="2441" spans="1:2" hidden="1" x14ac:dyDescent="0.25">
      <c r="A2441" s="15"/>
      <c r="B2441" s="14"/>
    </row>
    <row r="2442" spans="1:2" hidden="1" x14ac:dyDescent="0.25">
      <c r="A2442" s="15"/>
      <c r="B2442" s="14"/>
    </row>
    <row r="2443" spans="1:2" hidden="1" x14ac:dyDescent="0.25">
      <c r="A2443" s="15"/>
      <c r="B2443" s="14"/>
    </row>
    <row r="2444" spans="1:2" hidden="1" x14ac:dyDescent="0.25">
      <c r="A2444" s="15"/>
      <c r="B2444" s="14"/>
    </row>
    <row r="2445" spans="1:2" hidden="1" x14ac:dyDescent="0.25">
      <c r="A2445" s="15"/>
      <c r="B2445" s="14"/>
    </row>
    <row r="2446" spans="1:2" hidden="1" x14ac:dyDescent="0.25">
      <c r="A2446" s="15"/>
      <c r="B2446" s="14"/>
    </row>
    <row r="2447" spans="1:2" hidden="1" x14ac:dyDescent="0.25">
      <c r="A2447" s="15"/>
      <c r="B2447" s="14"/>
    </row>
    <row r="2448" spans="1:2" hidden="1" x14ac:dyDescent="0.25">
      <c r="A2448" s="15"/>
      <c r="B2448" s="14"/>
    </row>
    <row r="2449" spans="1:2" hidden="1" x14ac:dyDescent="0.25">
      <c r="A2449" s="15"/>
      <c r="B2449" s="14"/>
    </row>
    <row r="2450" spans="1:2" hidden="1" x14ac:dyDescent="0.25">
      <c r="A2450" s="15"/>
      <c r="B2450" s="14"/>
    </row>
    <row r="2451" spans="1:2" hidden="1" x14ac:dyDescent="0.25">
      <c r="A2451" s="15"/>
      <c r="B2451" s="14"/>
    </row>
    <row r="2452" spans="1:2" hidden="1" x14ac:dyDescent="0.25">
      <c r="A2452" s="15"/>
      <c r="B2452" s="14"/>
    </row>
    <row r="2453" spans="1:2" hidden="1" x14ac:dyDescent="0.25">
      <c r="A2453" s="15"/>
      <c r="B2453" s="14"/>
    </row>
    <row r="2454" spans="1:2" hidden="1" x14ac:dyDescent="0.25">
      <c r="A2454" s="15"/>
      <c r="B2454" s="14"/>
    </row>
    <row r="2455" spans="1:2" hidden="1" x14ac:dyDescent="0.25">
      <c r="A2455" s="15"/>
      <c r="B2455" s="14"/>
    </row>
    <row r="2456" spans="1:2" hidden="1" x14ac:dyDescent="0.25">
      <c r="A2456" s="15"/>
      <c r="B2456" s="14"/>
    </row>
    <row r="2457" spans="1:2" hidden="1" x14ac:dyDescent="0.25">
      <c r="A2457" s="15"/>
      <c r="B2457" s="14"/>
    </row>
    <row r="2458" spans="1:2" hidden="1" x14ac:dyDescent="0.25">
      <c r="A2458" s="15"/>
      <c r="B2458" s="14"/>
    </row>
    <row r="2459" spans="1:2" hidden="1" x14ac:dyDescent="0.25">
      <c r="A2459" s="15"/>
      <c r="B2459" s="14"/>
    </row>
    <row r="2460" spans="1:2" hidden="1" x14ac:dyDescent="0.25">
      <c r="A2460" s="15"/>
      <c r="B2460" s="14"/>
    </row>
    <row r="2461" spans="1:2" hidden="1" x14ac:dyDescent="0.25">
      <c r="A2461" s="15"/>
      <c r="B2461" s="14"/>
    </row>
    <row r="2462" spans="1:2" hidden="1" x14ac:dyDescent="0.25">
      <c r="A2462" s="15"/>
      <c r="B2462" s="14"/>
    </row>
    <row r="2463" spans="1:2" hidden="1" x14ac:dyDescent="0.25">
      <c r="A2463" s="15"/>
      <c r="B2463" s="14"/>
    </row>
    <row r="2464" spans="1:2" hidden="1" x14ac:dyDescent="0.25">
      <c r="A2464" s="15"/>
      <c r="B2464" s="14"/>
    </row>
    <row r="2465" spans="1:2" hidden="1" x14ac:dyDescent="0.25">
      <c r="A2465" s="15"/>
      <c r="B2465" s="14"/>
    </row>
    <row r="2466" spans="1:2" hidden="1" x14ac:dyDescent="0.25">
      <c r="A2466" s="15"/>
      <c r="B2466" s="14"/>
    </row>
    <row r="2467" spans="1:2" hidden="1" x14ac:dyDescent="0.25">
      <c r="A2467" s="15"/>
      <c r="B2467" s="14"/>
    </row>
    <row r="2468" spans="1:2" hidden="1" x14ac:dyDescent="0.25">
      <c r="A2468" s="15"/>
      <c r="B2468" s="14"/>
    </row>
    <row r="2469" spans="1:2" hidden="1" x14ac:dyDescent="0.25">
      <c r="A2469" s="15"/>
      <c r="B2469" s="14"/>
    </row>
    <row r="2470" spans="1:2" hidden="1" x14ac:dyDescent="0.25">
      <c r="A2470" s="15"/>
      <c r="B2470" s="14"/>
    </row>
    <row r="2471" spans="1:2" hidden="1" x14ac:dyDescent="0.25">
      <c r="A2471" s="15"/>
      <c r="B2471" s="14"/>
    </row>
    <row r="2472" spans="1:2" hidden="1" x14ac:dyDescent="0.25">
      <c r="A2472" s="15"/>
      <c r="B2472" s="14"/>
    </row>
    <row r="2473" spans="1:2" hidden="1" x14ac:dyDescent="0.25">
      <c r="A2473" s="15"/>
      <c r="B2473" s="14"/>
    </row>
    <row r="2474" spans="1:2" hidden="1" x14ac:dyDescent="0.25">
      <c r="A2474" s="15"/>
      <c r="B2474" s="14"/>
    </row>
    <row r="2475" spans="1:2" hidden="1" x14ac:dyDescent="0.25">
      <c r="A2475" s="15"/>
      <c r="B2475" s="14"/>
    </row>
    <row r="2476" spans="1:2" hidden="1" x14ac:dyDescent="0.25">
      <c r="A2476" s="15"/>
      <c r="B2476" s="14"/>
    </row>
    <row r="2477" spans="1:2" hidden="1" x14ac:dyDescent="0.25">
      <c r="A2477" s="15"/>
      <c r="B2477" s="14"/>
    </row>
    <row r="2478" spans="1:2" hidden="1" x14ac:dyDescent="0.25">
      <c r="A2478" s="15"/>
      <c r="B2478" s="14"/>
    </row>
    <row r="2479" spans="1:2" hidden="1" x14ac:dyDescent="0.25">
      <c r="A2479" s="15"/>
      <c r="B2479" s="14"/>
    </row>
    <row r="2480" spans="1:2" hidden="1" x14ac:dyDescent="0.25">
      <c r="A2480" s="15"/>
      <c r="B2480" s="14"/>
    </row>
    <row r="2481" spans="1:2" hidden="1" x14ac:dyDescent="0.25">
      <c r="A2481" s="15"/>
      <c r="B2481" s="14"/>
    </row>
    <row r="2482" spans="1:2" hidden="1" x14ac:dyDescent="0.25">
      <c r="A2482" s="15"/>
      <c r="B2482" s="14"/>
    </row>
    <row r="2483" spans="1:2" hidden="1" x14ac:dyDescent="0.25">
      <c r="A2483" s="15"/>
      <c r="B2483" s="14"/>
    </row>
    <row r="2484" spans="1:2" hidden="1" x14ac:dyDescent="0.25">
      <c r="A2484" s="15"/>
      <c r="B2484" s="14"/>
    </row>
    <row r="2485" spans="1:2" hidden="1" x14ac:dyDescent="0.25">
      <c r="A2485" s="15"/>
      <c r="B2485" s="14"/>
    </row>
    <row r="2486" spans="1:2" hidden="1" x14ac:dyDescent="0.25">
      <c r="A2486" s="15"/>
      <c r="B2486" s="14"/>
    </row>
    <row r="2487" spans="1:2" hidden="1" x14ac:dyDescent="0.25">
      <c r="A2487" s="15"/>
      <c r="B2487" s="14"/>
    </row>
    <row r="2488" spans="1:2" hidden="1" x14ac:dyDescent="0.25">
      <c r="A2488" s="15"/>
      <c r="B2488" s="14"/>
    </row>
    <row r="2489" spans="1:2" hidden="1" x14ac:dyDescent="0.25">
      <c r="A2489" s="15"/>
      <c r="B2489" s="14"/>
    </row>
    <row r="2490" spans="1:2" hidden="1" x14ac:dyDescent="0.25">
      <c r="A2490" s="15"/>
      <c r="B2490" s="14"/>
    </row>
    <row r="2491" spans="1:2" hidden="1" x14ac:dyDescent="0.25">
      <c r="A2491" s="15"/>
      <c r="B2491" s="14"/>
    </row>
    <row r="2492" spans="1:2" hidden="1" x14ac:dyDescent="0.25">
      <c r="A2492" s="15"/>
      <c r="B2492" s="14"/>
    </row>
    <row r="2493" spans="1:2" hidden="1" x14ac:dyDescent="0.25">
      <c r="A2493" s="15"/>
      <c r="B2493" s="14"/>
    </row>
    <row r="2494" spans="1:2" hidden="1" x14ac:dyDescent="0.25">
      <c r="A2494" s="15"/>
      <c r="B2494" s="14"/>
    </row>
    <row r="2495" spans="1:2" hidden="1" x14ac:dyDescent="0.25">
      <c r="A2495" s="15"/>
      <c r="B2495" s="14"/>
    </row>
    <row r="2496" spans="1:2" hidden="1" x14ac:dyDescent="0.25">
      <c r="A2496" s="15"/>
      <c r="B2496" s="14"/>
    </row>
    <row r="2497" spans="1:2" hidden="1" x14ac:dyDescent="0.25">
      <c r="A2497" s="15"/>
      <c r="B2497" s="14"/>
    </row>
    <row r="2498" spans="1:2" hidden="1" x14ac:dyDescent="0.25">
      <c r="A2498" s="15"/>
      <c r="B2498" s="14"/>
    </row>
    <row r="2499" spans="1:2" hidden="1" x14ac:dyDescent="0.25">
      <c r="A2499" s="15"/>
      <c r="B2499" s="14"/>
    </row>
    <row r="2500" spans="1:2" hidden="1" x14ac:dyDescent="0.25">
      <c r="A2500" s="15"/>
      <c r="B2500" s="14"/>
    </row>
    <row r="2501" spans="1:2" hidden="1" x14ac:dyDescent="0.25">
      <c r="A2501" s="15"/>
      <c r="B2501" s="14"/>
    </row>
    <row r="2502" spans="1:2" hidden="1" x14ac:dyDescent="0.25">
      <c r="A2502" s="15"/>
      <c r="B2502" s="14"/>
    </row>
    <row r="2503" spans="1:2" hidden="1" x14ac:dyDescent="0.25">
      <c r="A2503" s="15"/>
      <c r="B2503" s="14"/>
    </row>
    <row r="2504" spans="1:2" hidden="1" x14ac:dyDescent="0.25">
      <c r="A2504" s="15"/>
      <c r="B2504" s="14"/>
    </row>
    <row r="2505" spans="1:2" hidden="1" x14ac:dyDescent="0.25">
      <c r="A2505" s="15"/>
      <c r="B2505" s="14"/>
    </row>
    <row r="2506" spans="1:2" hidden="1" x14ac:dyDescent="0.25">
      <c r="A2506" s="15"/>
      <c r="B2506" s="14"/>
    </row>
    <row r="2507" spans="1:2" hidden="1" x14ac:dyDescent="0.25">
      <c r="A2507" s="15"/>
      <c r="B2507" s="14"/>
    </row>
    <row r="2508" spans="1:2" hidden="1" x14ac:dyDescent="0.25">
      <c r="A2508" s="15"/>
      <c r="B2508" s="14"/>
    </row>
    <row r="2509" spans="1:2" hidden="1" x14ac:dyDescent="0.25">
      <c r="A2509" s="15"/>
      <c r="B2509" s="14"/>
    </row>
    <row r="2510" spans="1:2" hidden="1" x14ac:dyDescent="0.25">
      <c r="A2510" s="15"/>
      <c r="B2510" s="14"/>
    </row>
    <row r="2511" spans="1:2" hidden="1" x14ac:dyDescent="0.25">
      <c r="A2511" s="15"/>
      <c r="B2511" s="14"/>
    </row>
    <row r="2512" spans="1:2" hidden="1" x14ac:dyDescent="0.25">
      <c r="A2512" s="15"/>
      <c r="B2512" s="14"/>
    </row>
    <row r="2513" spans="1:2" hidden="1" x14ac:dyDescent="0.25">
      <c r="A2513" s="15"/>
      <c r="B2513" s="14"/>
    </row>
    <row r="2514" spans="1:2" hidden="1" x14ac:dyDescent="0.25">
      <c r="A2514" s="15"/>
      <c r="B2514" s="14"/>
    </row>
    <row r="2515" spans="1:2" hidden="1" x14ac:dyDescent="0.25">
      <c r="A2515" s="15"/>
      <c r="B2515" s="14"/>
    </row>
    <row r="2516" spans="1:2" hidden="1" x14ac:dyDescent="0.25">
      <c r="A2516" s="15"/>
      <c r="B2516" s="14"/>
    </row>
    <row r="2517" spans="1:2" hidden="1" x14ac:dyDescent="0.25">
      <c r="A2517" s="15"/>
      <c r="B2517" s="14"/>
    </row>
    <row r="2518" spans="1:2" hidden="1" x14ac:dyDescent="0.25">
      <c r="A2518" s="15"/>
      <c r="B2518" s="14"/>
    </row>
    <row r="2519" spans="1:2" hidden="1" x14ac:dyDescent="0.25">
      <c r="A2519" s="15"/>
      <c r="B2519" s="14"/>
    </row>
    <row r="2520" spans="1:2" hidden="1" x14ac:dyDescent="0.25">
      <c r="A2520" s="15"/>
      <c r="B2520" s="14"/>
    </row>
    <row r="2521" spans="1:2" hidden="1" x14ac:dyDescent="0.25">
      <c r="A2521" s="15"/>
      <c r="B2521" s="14"/>
    </row>
    <row r="2522" spans="1:2" hidden="1" x14ac:dyDescent="0.25">
      <c r="A2522" s="15"/>
      <c r="B2522" s="14"/>
    </row>
    <row r="2523" spans="1:2" hidden="1" x14ac:dyDescent="0.25">
      <c r="A2523" s="15"/>
      <c r="B2523" s="14"/>
    </row>
    <row r="2524" spans="1:2" hidden="1" x14ac:dyDescent="0.25">
      <c r="A2524" s="15"/>
      <c r="B2524" s="14"/>
    </row>
    <row r="2525" spans="1:2" hidden="1" x14ac:dyDescent="0.25">
      <c r="A2525" s="15"/>
      <c r="B2525" s="14"/>
    </row>
    <row r="2526" spans="1:2" hidden="1" x14ac:dyDescent="0.25">
      <c r="A2526" s="15"/>
      <c r="B2526" s="14"/>
    </row>
    <row r="2527" spans="1:2" hidden="1" x14ac:dyDescent="0.25">
      <c r="A2527" s="15"/>
      <c r="B2527" s="14"/>
    </row>
    <row r="2528" spans="1:2" hidden="1" x14ac:dyDescent="0.25">
      <c r="A2528" s="15"/>
      <c r="B2528" s="14"/>
    </row>
    <row r="2529" spans="1:2" hidden="1" x14ac:dyDescent="0.25">
      <c r="A2529" s="15"/>
      <c r="B2529" s="14"/>
    </row>
    <row r="2530" spans="1:2" hidden="1" x14ac:dyDescent="0.25">
      <c r="A2530" s="15"/>
      <c r="B2530" s="14"/>
    </row>
    <row r="2531" spans="1:2" hidden="1" x14ac:dyDescent="0.25">
      <c r="A2531" s="15"/>
      <c r="B2531" s="14"/>
    </row>
    <row r="2532" spans="1:2" hidden="1" x14ac:dyDescent="0.25">
      <c r="A2532" s="15"/>
      <c r="B2532" s="14"/>
    </row>
    <row r="2533" spans="1:2" hidden="1" x14ac:dyDescent="0.25">
      <c r="A2533" s="15"/>
      <c r="B2533" s="14"/>
    </row>
    <row r="2534" spans="1:2" hidden="1" x14ac:dyDescent="0.25">
      <c r="A2534" s="15"/>
      <c r="B2534" s="14"/>
    </row>
    <row r="2535" spans="1:2" hidden="1" x14ac:dyDescent="0.25">
      <c r="A2535" s="15"/>
      <c r="B2535" s="14"/>
    </row>
    <row r="2536" spans="1:2" hidden="1" x14ac:dyDescent="0.25">
      <c r="A2536" s="15"/>
      <c r="B2536" s="14"/>
    </row>
    <row r="2537" spans="1:2" hidden="1" x14ac:dyDescent="0.25">
      <c r="A2537" s="15"/>
      <c r="B2537" s="14"/>
    </row>
    <row r="2538" spans="1:2" hidden="1" x14ac:dyDescent="0.25">
      <c r="A2538" s="15"/>
      <c r="B2538" s="14"/>
    </row>
    <row r="2539" spans="1:2" hidden="1" x14ac:dyDescent="0.25">
      <c r="A2539" s="15"/>
      <c r="B2539" s="14"/>
    </row>
    <row r="2540" spans="1:2" hidden="1" x14ac:dyDescent="0.25">
      <c r="A2540" s="15"/>
      <c r="B2540" s="14"/>
    </row>
    <row r="2541" spans="1:2" hidden="1" x14ac:dyDescent="0.25">
      <c r="A2541" s="15"/>
      <c r="B2541" s="14"/>
    </row>
    <row r="2542" spans="1:2" hidden="1" x14ac:dyDescent="0.25">
      <c r="A2542" s="15"/>
      <c r="B2542" s="14"/>
    </row>
    <row r="2543" spans="1:2" hidden="1" x14ac:dyDescent="0.25">
      <c r="A2543" s="15"/>
      <c r="B2543" s="14"/>
    </row>
    <row r="2544" spans="1:2" hidden="1" x14ac:dyDescent="0.25">
      <c r="A2544" s="15"/>
      <c r="B2544" s="14"/>
    </row>
    <row r="2545" spans="1:2" hidden="1" x14ac:dyDescent="0.25">
      <c r="A2545" s="15"/>
      <c r="B2545" s="14"/>
    </row>
    <row r="2546" spans="1:2" hidden="1" x14ac:dyDescent="0.25">
      <c r="A2546" s="15"/>
      <c r="B2546" s="14"/>
    </row>
    <row r="2547" spans="1:2" hidden="1" x14ac:dyDescent="0.25">
      <c r="A2547" s="15"/>
      <c r="B2547" s="14"/>
    </row>
    <row r="2548" spans="1:2" hidden="1" x14ac:dyDescent="0.25">
      <c r="A2548" s="15"/>
      <c r="B2548" s="14"/>
    </row>
    <row r="2549" spans="1:2" hidden="1" x14ac:dyDescent="0.25">
      <c r="A2549" s="15"/>
      <c r="B2549" s="14"/>
    </row>
    <row r="2550" spans="1:2" hidden="1" x14ac:dyDescent="0.25">
      <c r="A2550" s="15"/>
      <c r="B2550" s="14"/>
    </row>
    <row r="2551" spans="1:2" hidden="1" x14ac:dyDescent="0.25">
      <c r="A2551" s="15"/>
      <c r="B2551" s="14"/>
    </row>
    <row r="2552" spans="1:2" hidden="1" x14ac:dyDescent="0.25">
      <c r="A2552" s="15"/>
      <c r="B2552" s="14"/>
    </row>
    <row r="2553" spans="1:2" hidden="1" x14ac:dyDescent="0.25">
      <c r="A2553" s="15"/>
      <c r="B2553" s="14"/>
    </row>
    <row r="2554" spans="1:2" hidden="1" x14ac:dyDescent="0.25">
      <c r="A2554" s="15"/>
      <c r="B2554" s="14"/>
    </row>
    <row r="2555" spans="1:2" hidden="1" x14ac:dyDescent="0.25">
      <c r="A2555" s="15"/>
      <c r="B2555" s="14"/>
    </row>
    <row r="2556" spans="1:2" hidden="1" x14ac:dyDescent="0.25">
      <c r="A2556" s="15"/>
      <c r="B2556" s="14"/>
    </row>
    <row r="2557" spans="1:2" hidden="1" x14ac:dyDescent="0.25">
      <c r="A2557" s="15"/>
      <c r="B2557" s="14"/>
    </row>
    <row r="2558" spans="1:2" hidden="1" x14ac:dyDescent="0.25">
      <c r="A2558" s="15"/>
      <c r="B2558" s="14"/>
    </row>
    <row r="2559" spans="1:2" hidden="1" x14ac:dyDescent="0.25">
      <c r="A2559" s="15"/>
      <c r="B2559" s="14"/>
    </row>
    <row r="2560" spans="1:2" hidden="1" x14ac:dyDescent="0.25">
      <c r="A2560" s="15"/>
      <c r="B2560" s="14"/>
    </row>
    <row r="2561" spans="1:2" hidden="1" x14ac:dyDescent="0.25">
      <c r="A2561" s="15"/>
      <c r="B2561" s="14"/>
    </row>
    <row r="2562" spans="1:2" hidden="1" x14ac:dyDescent="0.25">
      <c r="A2562" s="15"/>
      <c r="B2562" s="14"/>
    </row>
    <row r="2563" spans="1:2" hidden="1" x14ac:dyDescent="0.25">
      <c r="A2563" s="15"/>
      <c r="B2563" s="14"/>
    </row>
    <row r="2564" spans="1:2" hidden="1" x14ac:dyDescent="0.25">
      <c r="A2564" s="15"/>
      <c r="B2564" s="14"/>
    </row>
    <row r="2565" spans="1:2" hidden="1" x14ac:dyDescent="0.25">
      <c r="A2565" s="15"/>
      <c r="B2565" s="14"/>
    </row>
    <row r="2566" spans="1:2" hidden="1" x14ac:dyDescent="0.25">
      <c r="A2566" s="15"/>
      <c r="B2566" s="14"/>
    </row>
    <row r="2567" spans="1:2" hidden="1" x14ac:dyDescent="0.25">
      <c r="A2567" s="15"/>
      <c r="B2567" s="14"/>
    </row>
    <row r="2568" spans="1:2" hidden="1" x14ac:dyDescent="0.25">
      <c r="A2568" s="15"/>
      <c r="B2568" s="14"/>
    </row>
    <row r="2569" spans="1:2" hidden="1" x14ac:dyDescent="0.25">
      <c r="A2569" s="15"/>
      <c r="B2569" s="14"/>
    </row>
    <row r="2570" spans="1:2" hidden="1" x14ac:dyDescent="0.25">
      <c r="A2570" s="15"/>
      <c r="B2570" s="14"/>
    </row>
    <row r="2571" spans="1:2" hidden="1" x14ac:dyDescent="0.25">
      <c r="A2571" s="15"/>
      <c r="B2571" s="14"/>
    </row>
    <row r="2572" spans="1:2" hidden="1" x14ac:dyDescent="0.25">
      <c r="A2572" s="15"/>
      <c r="B2572" s="14"/>
    </row>
    <row r="2573" spans="1:2" hidden="1" x14ac:dyDescent="0.25">
      <c r="A2573" s="15"/>
      <c r="B2573" s="14"/>
    </row>
    <row r="2574" spans="1:2" hidden="1" x14ac:dyDescent="0.25">
      <c r="A2574" s="15"/>
      <c r="B2574" s="14"/>
    </row>
    <row r="2575" spans="1:2" hidden="1" x14ac:dyDescent="0.25">
      <c r="A2575" s="15"/>
      <c r="B2575" s="14"/>
    </row>
    <row r="2576" spans="1:2" hidden="1" x14ac:dyDescent="0.25">
      <c r="A2576" s="15"/>
      <c r="B2576" s="14"/>
    </row>
    <row r="2577" spans="1:2" hidden="1" x14ac:dyDescent="0.25">
      <c r="A2577" s="15"/>
      <c r="B2577" s="14"/>
    </row>
    <row r="2578" spans="1:2" hidden="1" x14ac:dyDescent="0.25">
      <c r="A2578" s="15"/>
      <c r="B2578" s="14"/>
    </row>
    <row r="2579" spans="1:2" hidden="1" x14ac:dyDescent="0.25">
      <c r="A2579" s="15"/>
      <c r="B2579" s="14"/>
    </row>
    <row r="2580" spans="1:2" hidden="1" x14ac:dyDescent="0.25">
      <c r="A2580" s="15"/>
      <c r="B2580" s="14"/>
    </row>
    <row r="2581" spans="1:2" hidden="1" x14ac:dyDescent="0.25">
      <c r="A2581" s="15"/>
      <c r="B2581" s="14"/>
    </row>
    <row r="2582" spans="1:2" hidden="1" x14ac:dyDescent="0.25">
      <c r="A2582" s="15"/>
      <c r="B2582" s="14"/>
    </row>
    <row r="2583" spans="1:2" hidden="1" x14ac:dyDescent="0.25">
      <c r="A2583" s="15"/>
      <c r="B2583" s="14"/>
    </row>
    <row r="2584" spans="1:2" hidden="1" x14ac:dyDescent="0.25">
      <c r="A2584" s="15"/>
      <c r="B2584" s="14"/>
    </row>
    <row r="2585" spans="1:2" hidden="1" x14ac:dyDescent="0.25">
      <c r="A2585" s="15"/>
      <c r="B2585" s="14"/>
    </row>
    <row r="2586" spans="1:2" hidden="1" x14ac:dyDescent="0.25">
      <c r="A2586" s="15"/>
      <c r="B2586" s="14"/>
    </row>
    <row r="2587" spans="1:2" hidden="1" x14ac:dyDescent="0.25">
      <c r="A2587" s="15"/>
      <c r="B2587" s="14"/>
    </row>
    <row r="2588" spans="1:2" hidden="1" x14ac:dyDescent="0.25">
      <c r="A2588" s="15"/>
      <c r="B2588" s="14"/>
    </row>
    <row r="2589" spans="1:2" hidden="1" x14ac:dyDescent="0.25">
      <c r="A2589" s="15"/>
      <c r="B2589" s="14"/>
    </row>
    <row r="2590" spans="1:2" hidden="1" x14ac:dyDescent="0.25">
      <c r="A2590" s="15"/>
      <c r="B2590" s="14"/>
    </row>
    <row r="2591" spans="1:2" hidden="1" x14ac:dyDescent="0.25">
      <c r="A2591" s="15"/>
      <c r="B2591" s="14"/>
    </row>
    <row r="2592" spans="1:2" hidden="1" x14ac:dyDescent="0.25">
      <c r="A2592" s="15"/>
      <c r="B2592" s="14"/>
    </row>
    <row r="2593" spans="1:2" hidden="1" x14ac:dyDescent="0.25">
      <c r="A2593" s="15"/>
      <c r="B2593" s="14"/>
    </row>
    <row r="2594" spans="1:2" hidden="1" x14ac:dyDescent="0.25">
      <c r="A2594" s="15"/>
      <c r="B2594" s="14"/>
    </row>
    <row r="2595" spans="1:2" hidden="1" x14ac:dyDescent="0.25">
      <c r="A2595" s="15"/>
      <c r="B2595" s="14"/>
    </row>
    <row r="2596" spans="1:2" hidden="1" x14ac:dyDescent="0.25">
      <c r="A2596" s="15"/>
      <c r="B2596" s="14"/>
    </row>
    <row r="2597" spans="1:2" hidden="1" x14ac:dyDescent="0.25">
      <c r="A2597" s="15"/>
      <c r="B2597" s="14"/>
    </row>
    <row r="2598" spans="1:2" hidden="1" x14ac:dyDescent="0.25">
      <c r="A2598" s="15"/>
      <c r="B2598" s="14"/>
    </row>
    <row r="2599" spans="1:2" hidden="1" x14ac:dyDescent="0.25">
      <c r="A2599" s="15"/>
      <c r="B2599" s="14"/>
    </row>
    <row r="2600" spans="1:2" hidden="1" x14ac:dyDescent="0.25">
      <c r="A2600" s="15"/>
      <c r="B2600" s="14"/>
    </row>
    <row r="2601" spans="1:2" hidden="1" x14ac:dyDescent="0.25">
      <c r="A2601" s="15"/>
      <c r="B2601" s="14"/>
    </row>
    <row r="2602" spans="1:2" hidden="1" x14ac:dyDescent="0.25">
      <c r="A2602" s="15"/>
      <c r="B2602" s="14"/>
    </row>
    <row r="2603" spans="1:2" hidden="1" x14ac:dyDescent="0.25">
      <c r="A2603" s="15"/>
      <c r="B2603" s="14"/>
    </row>
    <row r="2604" spans="1:2" hidden="1" x14ac:dyDescent="0.25">
      <c r="A2604" s="15"/>
      <c r="B2604" s="14"/>
    </row>
    <row r="2605" spans="1:2" hidden="1" x14ac:dyDescent="0.25">
      <c r="A2605" s="15"/>
      <c r="B2605" s="14"/>
    </row>
    <row r="2606" spans="1:2" hidden="1" x14ac:dyDescent="0.25">
      <c r="A2606" s="15"/>
      <c r="B2606" s="14"/>
    </row>
    <row r="2607" spans="1:2" hidden="1" x14ac:dyDescent="0.25">
      <c r="A2607" s="15"/>
      <c r="B2607" s="14"/>
    </row>
    <row r="2608" spans="1:2" hidden="1" x14ac:dyDescent="0.25">
      <c r="A2608" s="15"/>
      <c r="B2608" s="14"/>
    </row>
    <row r="2609" spans="1:2" hidden="1" x14ac:dyDescent="0.25">
      <c r="A2609" s="15"/>
      <c r="B2609" s="14"/>
    </row>
    <row r="2610" spans="1:2" hidden="1" x14ac:dyDescent="0.25">
      <c r="A2610" s="15"/>
      <c r="B2610" s="14"/>
    </row>
    <row r="2611" spans="1:2" hidden="1" x14ac:dyDescent="0.25">
      <c r="A2611" s="15"/>
      <c r="B2611" s="14"/>
    </row>
    <row r="2612" spans="1:2" hidden="1" x14ac:dyDescent="0.25">
      <c r="A2612" s="15"/>
      <c r="B2612" s="14"/>
    </row>
    <row r="2613" spans="1:2" hidden="1" x14ac:dyDescent="0.25">
      <c r="A2613" s="15"/>
      <c r="B2613" s="14"/>
    </row>
    <row r="2614" spans="1:2" hidden="1" x14ac:dyDescent="0.25">
      <c r="A2614" s="15"/>
      <c r="B2614" s="14"/>
    </row>
    <row r="2615" spans="1:2" hidden="1" x14ac:dyDescent="0.25">
      <c r="A2615" s="15"/>
      <c r="B2615" s="14"/>
    </row>
    <row r="2616" spans="1:2" hidden="1" x14ac:dyDescent="0.25">
      <c r="A2616" s="15"/>
      <c r="B2616" s="14"/>
    </row>
    <row r="2617" spans="1:2" hidden="1" x14ac:dyDescent="0.25">
      <c r="A2617" s="15"/>
      <c r="B2617" s="14"/>
    </row>
    <row r="2618" spans="1:2" hidden="1" x14ac:dyDescent="0.25">
      <c r="A2618" s="15"/>
      <c r="B2618" s="14"/>
    </row>
    <row r="2619" spans="1:2" hidden="1" x14ac:dyDescent="0.25">
      <c r="A2619" s="15"/>
      <c r="B2619" s="14"/>
    </row>
    <row r="2620" spans="1:2" hidden="1" x14ac:dyDescent="0.25">
      <c r="A2620" s="15"/>
      <c r="B2620" s="14"/>
    </row>
    <row r="2621" spans="1:2" hidden="1" x14ac:dyDescent="0.25">
      <c r="A2621" s="15"/>
      <c r="B2621" s="14"/>
    </row>
    <row r="2622" spans="1:2" hidden="1" x14ac:dyDescent="0.25">
      <c r="A2622" s="15"/>
      <c r="B2622" s="14"/>
    </row>
    <row r="2623" spans="1:2" hidden="1" x14ac:dyDescent="0.25">
      <c r="A2623" s="15"/>
      <c r="B2623" s="14"/>
    </row>
    <row r="2624" spans="1:2" hidden="1" x14ac:dyDescent="0.25">
      <c r="A2624" s="15"/>
      <c r="B2624" s="14"/>
    </row>
    <row r="2625" spans="1:2" hidden="1" x14ac:dyDescent="0.25">
      <c r="A2625" s="15"/>
      <c r="B2625" s="14"/>
    </row>
    <row r="2626" spans="1:2" hidden="1" x14ac:dyDescent="0.25">
      <c r="A2626" s="15"/>
      <c r="B2626" s="14"/>
    </row>
    <row r="2627" spans="1:2" hidden="1" x14ac:dyDescent="0.25">
      <c r="A2627" s="15"/>
      <c r="B2627" s="14"/>
    </row>
    <row r="2628" spans="1:2" hidden="1" x14ac:dyDescent="0.25">
      <c r="A2628" s="15"/>
      <c r="B2628" s="14"/>
    </row>
    <row r="2629" spans="1:2" hidden="1" x14ac:dyDescent="0.25">
      <c r="A2629" s="15"/>
      <c r="B2629" s="14"/>
    </row>
    <row r="2630" spans="1:2" hidden="1" x14ac:dyDescent="0.25">
      <c r="A2630" s="15"/>
      <c r="B2630" s="14"/>
    </row>
    <row r="2631" spans="1:2" hidden="1" x14ac:dyDescent="0.25">
      <c r="A2631" s="15"/>
      <c r="B2631" s="14"/>
    </row>
    <row r="2632" spans="1:2" hidden="1" x14ac:dyDescent="0.25">
      <c r="A2632" s="15"/>
      <c r="B2632" s="14"/>
    </row>
    <row r="2633" spans="1:2" hidden="1" x14ac:dyDescent="0.25">
      <c r="A2633" s="15"/>
      <c r="B2633" s="14"/>
    </row>
    <row r="2634" spans="1:2" hidden="1" x14ac:dyDescent="0.25">
      <c r="A2634" s="15"/>
      <c r="B2634" s="14"/>
    </row>
    <row r="2635" spans="1:2" hidden="1" x14ac:dyDescent="0.25">
      <c r="A2635" s="15"/>
      <c r="B2635" s="14"/>
    </row>
    <row r="2636" spans="1:2" hidden="1" x14ac:dyDescent="0.25">
      <c r="A2636" s="15"/>
      <c r="B2636" s="14"/>
    </row>
    <row r="2637" spans="1:2" hidden="1" x14ac:dyDescent="0.25">
      <c r="A2637" s="15"/>
      <c r="B2637" s="14"/>
    </row>
    <row r="2638" spans="1:2" hidden="1" x14ac:dyDescent="0.25">
      <c r="A2638" s="15"/>
      <c r="B2638" s="14"/>
    </row>
    <row r="2639" spans="1:2" hidden="1" x14ac:dyDescent="0.25">
      <c r="A2639" s="15"/>
      <c r="B2639" s="14"/>
    </row>
    <row r="2640" spans="1:2" hidden="1" x14ac:dyDescent="0.25">
      <c r="A2640" s="15"/>
      <c r="B2640" s="14"/>
    </row>
    <row r="2641" spans="1:2" hidden="1" x14ac:dyDescent="0.25">
      <c r="A2641" s="15"/>
      <c r="B2641" s="14"/>
    </row>
    <row r="2642" spans="1:2" hidden="1" x14ac:dyDescent="0.25">
      <c r="A2642" s="15"/>
      <c r="B2642" s="14"/>
    </row>
    <row r="2643" spans="1:2" hidden="1" x14ac:dyDescent="0.25">
      <c r="A2643" s="15"/>
      <c r="B2643" s="14"/>
    </row>
    <row r="2644" spans="1:2" hidden="1" x14ac:dyDescent="0.25">
      <c r="A2644" s="15"/>
      <c r="B2644" s="14"/>
    </row>
    <row r="2645" spans="1:2" hidden="1" x14ac:dyDescent="0.25">
      <c r="A2645" s="15"/>
      <c r="B2645" s="14"/>
    </row>
    <row r="2646" spans="1:2" hidden="1" x14ac:dyDescent="0.25">
      <c r="A2646" s="15"/>
      <c r="B2646" s="14"/>
    </row>
    <row r="2647" spans="1:2" hidden="1" x14ac:dyDescent="0.25">
      <c r="A2647" s="15"/>
      <c r="B2647" s="14"/>
    </row>
    <row r="2648" spans="1:2" hidden="1" x14ac:dyDescent="0.25">
      <c r="A2648" s="15"/>
      <c r="B2648" s="14"/>
    </row>
    <row r="2649" spans="1:2" hidden="1" x14ac:dyDescent="0.25">
      <c r="A2649" s="15"/>
      <c r="B2649" s="14"/>
    </row>
    <row r="2650" spans="1:2" hidden="1" x14ac:dyDescent="0.25">
      <c r="A2650" s="15"/>
      <c r="B2650" s="14"/>
    </row>
    <row r="2651" spans="1:2" hidden="1" x14ac:dyDescent="0.25">
      <c r="A2651" s="15"/>
      <c r="B2651" s="14"/>
    </row>
    <row r="2652" spans="1:2" hidden="1" x14ac:dyDescent="0.25">
      <c r="A2652" s="15"/>
      <c r="B2652" s="14"/>
    </row>
    <row r="2653" spans="1:2" hidden="1" x14ac:dyDescent="0.25">
      <c r="A2653" s="15"/>
      <c r="B2653" s="14"/>
    </row>
    <row r="2654" spans="1:2" hidden="1" x14ac:dyDescent="0.25">
      <c r="A2654" s="15"/>
      <c r="B2654" s="14"/>
    </row>
    <row r="2655" spans="1:2" hidden="1" x14ac:dyDescent="0.25">
      <c r="A2655" s="15"/>
      <c r="B2655" s="14"/>
    </row>
    <row r="2656" spans="1:2" hidden="1" x14ac:dyDescent="0.25">
      <c r="A2656" s="15"/>
      <c r="B2656" s="14"/>
    </row>
    <row r="2657" spans="1:2" hidden="1" x14ac:dyDescent="0.25">
      <c r="A2657" s="15"/>
      <c r="B2657" s="14"/>
    </row>
    <row r="2658" spans="1:2" hidden="1" x14ac:dyDescent="0.25">
      <c r="A2658" s="15"/>
      <c r="B2658" s="14"/>
    </row>
    <row r="2659" spans="1:2" hidden="1" x14ac:dyDescent="0.25">
      <c r="A2659" s="15"/>
      <c r="B2659" s="14"/>
    </row>
    <row r="2660" spans="1:2" hidden="1" x14ac:dyDescent="0.25">
      <c r="A2660" s="15"/>
      <c r="B2660" s="14"/>
    </row>
    <row r="2661" spans="1:2" hidden="1" x14ac:dyDescent="0.25">
      <c r="A2661" s="15"/>
      <c r="B2661" s="14"/>
    </row>
    <row r="2662" spans="1:2" hidden="1" x14ac:dyDescent="0.25">
      <c r="A2662" s="15"/>
      <c r="B2662" s="14"/>
    </row>
    <row r="2663" spans="1:2" hidden="1" x14ac:dyDescent="0.25">
      <c r="A2663" s="15"/>
      <c r="B2663" s="14"/>
    </row>
    <row r="2664" spans="1:2" hidden="1" x14ac:dyDescent="0.25">
      <c r="A2664" s="15"/>
      <c r="B2664" s="14"/>
    </row>
    <row r="2665" spans="1:2" hidden="1" x14ac:dyDescent="0.25">
      <c r="A2665" s="15"/>
      <c r="B2665" s="14"/>
    </row>
    <row r="2666" spans="1:2" hidden="1" x14ac:dyDescent="0.25">
      <c r="A2666" s="15"/>
      <c r="B2666" s="14"/>
    </row>
    <row r="2667" spans="1:2" hidden="1" x14ac:dyDescent="0.25">
      <c r="A2667" s="15"/>
      <c r="B2667" s="14"/>
    </row>
    <row r="2668" spans="1:2" hidden="1" x14ac:dyDescent="0.25">
      <c r="A2668" s="15"/>
      <c r="B2668" s="14"/>
    </row>
    <row r="2669" spans="1:2" hidden="1" x14ac:dyDescent="0.25">
      <c r="A2669" s="15"/>
      <c r="B2669" s="14"/>
    </row>
    <row r="2670" spans="1:2" hidden="1" x14ac:dyDescent="0.25">
      <c r="A2670" s="15"/>
      <c r="B2670" s="14"/>
    </row>
    <row r="2671" spans="1:2" hidden="1" x14ac:dyDescent="0.25">
      <c r="A2671" s="15"/>
      <c r="B2671" s="14"/>
    </row>
    <row r="2672" spans="1:2" hidden="1" x14ac:dyDescent="0.25">
      <c r="A2672" s="15"/>
      <c r="B2672" s="14"/>
    </row>
    <row r="2673" spans="1:2" hidden="1" x14ac:dyDescent="0.25">
      <c r="A2673" s="15"/>
      <c r="B2673" s="14"/>
    </row>
    <row r="2674" spans="1:2" hidden="1" x14ac:dyDescent="0.25">
      <c r="A2674" s="15"/>
      <c r="B2674" s="14"/>
    </row>
    <row r="2675" spans="1:2" hidden="1" x14ac:dyDescent="0.25">
      <c r="A2675" s="15"/>
      <c r="B2675" s="14"/>
    </row>
    <row r="2676" spans="1:2" hidden="1" x14ac:dyDescent="0.25">
      <c r="A2676" s="15"/>
      <c r="B2676" s="14"/>
    </row>
    <row r="2677" spans="1:2" hidden="1" x14ac:dyDescent="0.25">
      <c r="A2677" s="15"/>
      <c r="B2677" s="14"/>
    </row>
    <row r="2678" spans="1:2" hidden="1" x14ac:dyDescent="0.25">
      <c r="A2678" s="15"/>
      <c r="B2678" s="14"/>
    </row>
    <row r="2679" spans="1:2" hidden="1" x14ac:dyDescent="0.25">
      <c r="A2679" s="15"/>
      <c r="B2679" s="14"/>
    </row>
    <row r="2680" spans="1:2" hidden="1" x14ac:dyDescent="0.25">
      <c r="A2680" s="15"/>
      <c r="B2680" s="14"/>
    </row>
    <row r="2681" spans="1:2" hidden="1" x14ac:dyDescent="0.25">
      <c r="A2681" s="15"/>
      <c r="B2681" s="14"/>
    </row>
    <row r="2682" spans="1:2" hidden="1" x14ac:dyDescent="0.25">
      <c r="A2682" s="15"/>
      <c r="B2682" s="14"/>
    </row>
    <row r="2683" spans="1:2" hidden="1" x14ac:dyDescent="0.25">
      <c r="A2683" s="15"/>
      <c r="B2683" s="14"/>
    </row>
    <row r="2684" spans="1:2" hidden="1" x14ac:dyDescent="0.25">
      <c r="A2684" s="15"/>
      <c r="B2684" s="14"/>
    </row>
    <row r="2685" spans="1:2" hidden="1" x14ac:dyDescent="0.25">
      <c r="A2685" s="15"/>
      <c r="B2685" s="14"/>
    </row>
    <row r="2686" spans="1:2" hidden="1" x14ac:dyDescent="0.25">
      <c r="A2686" s="15"/>
      <c r="B2686" s="14"/>
    </row>
    <row r="2687" spans="1:2" hidden="1" x14ac:dyDescent="0.25">
      <c r="A2687" s="15"/>
      <c r="B2687" s="14"/>
    </row>
    <row r="2688" spans="1:2" hidden="1" x14ac:dyDescent="0.25">
      <c r="A2688" s="15"/>
      <c r="B2688" s="14"/>
    </row>
    <row r="2689" spans="1:2" hidden="1" x14ac:dyDescent="0.25">
      <c r="A2689" s="15"/>
      <c r="B2689" s="14"/>
    </row>
    <row r="2690" spans="1:2" hidden="1" x14ac:dyDescent="0.25">
      <c r="A2690" s="15"/>
      <c r="B2690" s="14"/>
    </row>
    <row r="2691" spans="1:2" hidden="1" x14ac:dyDescent="0.25">
      <c r="A2691" s="15"/>
      <c r="B2691" s="14"/>
    </row>
    <row r="2692" spans="1:2" hidden="1" x14ac:dyDescent="0.25">
      <c r="A2692" s="15"/>
      <c r="B2692" s="14"/>
    </row>
    <row r="2693" spans="1:2" hidden="1" x14ac:dyDescent="0.25">
      <c r="A2693" s="15"/>
      <c r="B2693" s="14"/>
    </row>
    <row r="2694" spans="1:2" hidden="1" x14ac:dyDescent="0.25">
      <c r="A2694" s="15"/>
      <c r="B2694" s="14"/>
    </row>
    <row r="2695" spans="1:2" hidden="1" x14ac:dyDescent="0.25">
      <c r="A2695" s="15"/>
      <c r="B2695" s="14"/>
    </row>
    <row r="2696" spans="1:2" hidden="1" x14ac:dyDescent="0.25">
      <c r="A2696" s="15"/>
      <c r="B2696" s="14"/>
    </row>
    <row r="2697" spans="1:2" hidden="1" x14ac:dyDescent="0.25">
      <c r="A2697" s="15"/>
      <c r="B2697" s="14"/>
    </row>
    <row r="2698" spans="1:2" hidden="1" x14ac:dyDescent="0.25">
      <c r="A2698" s="15"/>
      <c r="B2698" s="14"/>
    </row>
    <row r="2699" spans="1:2" hidden="1" x14ac:dyDescent="0.25">
      <c r="A2699" s="15"/>
      <c r="B2699" s="14"/>
    </row>
    <row r="2700" spans="1:2" hidden="1" x14ac:dyDescent="0.25">
      <c r="A2700" s="15"/>
      <c r="B2700" s="14"/>
    </row>
    <row r="2701" spans="1:2" hidden="1" x14ac:dyDescent="0.25">
      <c r="A2701" s="15"/>
      <c r="B2701" s="14"/>
    </row>
    <row r="2702" spans="1:2" hidden="1" x14ac:dyDescent="0.25">
      <c r="A2702" s="15"/>
      <c r="B2702" s="14"/>
    </row>
    <row r="2703" spans="1:2" hidden="1" x14ac:dyDescent="0.25">
      <c r="A2703" s="15"/>
      <c r="B2703" s="14"/>
    </row>
    <row r="2704" spans="1:2" hidden="1" x14ac:dyDescent="0.25">
      <c r="A2704" s="15"/>
      <c r="B2704" s="14"/>
    </row>
    <row r="2705" spans="1:2" hidden="1" x14ac:dyDescent="0.25">
      <c r="A2705" s="15"/>
      <c r="B2705" s="14"/>
    </row>
    <row r="2706" spans="1:2" hidden="1" x14ac:dyDescent="0.25">
      <c r="A2706" s="15"/>
      <c r="B2706" s="14"/>
    </row>
    <row r="2707" spans="1:2" hidden="1" x14ac:dyDescent="0.25">
      <c r="A2707" s="15"/>
      <c r="B2707" s="14"/>
    </row>
    <row r="2708" spans="1:2" hidden="1" x14ac:dyDescent="0.25">
      <c r="A2708" s="15"/>
      <c r="B2708" s="14"/>
    </row>
    <row r="2709" spans="1:2" hidden="1" x14ac:dyDescent="0.25">
      <c r="A2709" s="15"/>
      <c r="B2709" s="14"/>
    </row>
    <row r="2710" spans="1:2" hidden="1" x14ac:dyDescent="0.25">
      <c r="A2710" s="15"/>
      <c r="B2710" s="14"/>
    </row>
    <row r="2711" spans="1:2" hidden="1" x14ac:dyDescent="0.25">
      <c r="A2711" s="15"/>
      <c r="B2711" s="14"/>
    </row>
    <row r="2712" spans="1:2" hidden="1" x14ac:dyDescent="0.25">
      <c r="A2712" s="15"/>
      <c r="B2712" s="14"/>
    </row>
    <row r="2713" spans="1:2" hidden="1" x14ac:dyDescent="0.25">
      <c r="A2713" s="15"/>
      <c r="B2713" s="14"/>
    </row>
    <row r="2714" spans="1:2" hidden="1" x14ac:dyDescent="0.25">
      <c r="A2714" s="15"/>
      <c r="B2714" s="14"/>
    </row>
    <row r="2715" spans="1:2" hidden="1" x14ac:dyDescent="0.25">
      <c r="A2715" s="15"/>
      <c r="B2715" s="14"/>
    </row>
    <row r="2716" spans="1:2" hidden="1" x14ac:dyDescent="0.25">
      <c r="A2716" s="15"/>
      <c r="B2716" s="14"/>
    </row>
    <row r="2717" spans="1:2" hidden="1" x14ac:dyDescent="0.25">
      <c r="A2717" s="15"/>
      <c r="B2717" s="14"/>
    </row>
    <row r="2718" spans="1:2" hidden="1" x14ac:dyDescent="0.25">
      <c r="A2718" s="15"/>
      <c r="B2718" s="14"/>
    </row>
    <row r="2719" spans="1:2" hidden="1" x14ac:dyDescent="0.25">
      <c r="A2719" s="15"/>
      <c r="B2719" s="14"/>
    </row>
    <row r="2720" spans="1:2" hidden="1" x14ac:dyDescent="0.25">
      <c r="A2720" s="15"/>
      <c r="B2720" s="14"/>
    </row>
    <row r="2721" spans="1:2" hidden="1" x14ac:dyDescent="0.25">
      <c r="A2721" s="15"/>
      <c r="B2721" s="14"/>
    </row>
    <row r="2722" spans="1:2" hidden="1" x14ac:dyDescent="0.25">
      <c r="A2722" s="15"/>
      <c r="B2722" s="14"/>
    </row>
    <row r="2723" spans="1:2" hidden="1" x14ac:dyDescent="0.25">
      <c r="A2723" s="15"/>
      <c r="B2723" s="14"/>
    </row>
    <row r="2724" spans="1:2" hidden="1" x14ac:dyDescent="0.25">
      <c r="A2724" s="15"/>
      <c r="B2724" s="14"/>
    </row>
    <row r="2725" spans="1:2" hidden="1" x14ac:dyDescent="0.25">
      <c r="A2725" s="15"/>
      <c r="B2725" s="14"/>
    </row>
    <row r="2726" spans="1:2" hidden="1" x14ac:dyDescent="0.25">
      <c r="A2726" s="15"/>
      <c r="B2726" s="14"/>
    </row>
    <row r="2727" spans="1:2" hidden="1" x14ac:dyDescent="0.25">
      <c r="A2727" s="15"/>
      <c r="B2727" s="14"/>
    </row>
    <row r="2728" spans="1:2" hidden="1" x14ac:dyDescent="0.25">
      <c r="A2728" s="15"/>
      <c r="B2728" s="14"/>
    </row>
    <row r="2729" spans="1:2" hidden="1" x14ac:dyDescent="0.25">
      <c r="A2729" s="15"/>
      <c r="B2729" s="14"/>
    </row>
    <row r="2730" spans="1:2" hidden="1" x14ac:dyDescent="0.25">
      <c r="A2730" s="15"/>
      <c r="B2730" s="14"/>
    </row>
    <row r="2731" spans="1:2" hidden="1" x14ac:dyDescent="0.25">
      <c r="A2731" s="15"/>
      <c r="B2731" s="14"/>
    </row>
    <row r="2732" spans="1:2" hidden="1" x14ac:dyDescent="0.25">
      <c r="A2732" s="15"/>
      <c r="B2732" s="14"/>
    </row>
    <row r="2733" spans="1:2" hidden="1" x14ac:dyDescent="0.25">
      <c r="A2733" s="15"/>
      <c r="B2733" s="14"/>
    </row>
    <row r="2734" spans="1:2" hidden="1" x14ac:dyDescent="0.25">
      <c r="A2734" s="15"/>
      <c r="B2734" s="14"/>
    </row>
    <row r="2735" spans="1:2" hidden="1" x14ac:dyDescent="0.25">
      <c r="A2735" s="15"/>
      <c r="B2735" s="14"/>
    </row>
    <row r="2736" spans="1:2" hidden="1" x14ac:dyDescent="0.25">
      <c r="A2736" s="15"/>
      <c r="B2736" s="14"/>
    </row>
    <row r="2737" spans="1:2" hidden="1" x14ac:dyDescent="0.25">
      <c r="A2737" s="15"/>
      <c r="B2737" s="14"/>
    </row>
    <row r="2738" spans="1:2" hidden="1" x14ac:dyDescent="0.25">
      <c r="A2738" s="15"/>
      <c r="B2738" s="14"/>
    </row>
    <row r="2739" spans="1:2" hidden="1" x14ac:dyDescent="0.25">
      <c r="A2739" s="15"/>
      <c r="B2739" s="14"/>
    </row>
    <row r="2740" spans="1:2" hidden="1" x14ac:dyDescent="0.25">
      <c r="A2740" s="15"/>
      <c r="B2740" s="14"/>
    </row>
    <row r="2741" spans="1:2" hidden="1" x14ac:dyDescent="0.25">
      <c r="A2741" s="15"/>
      <c r="B2741" s="14"/>
    </row>
    <row r="2742" spans="1:2" hidden="1" x14ac:dyDescent="0.25">
      <c r="A2742" s="15"/>
      <c r="B2742" s="14"/>
    </row>
    <row r="2743" spans="1:2" hidden="1" x14ac:dyDescent="0.25">
      <c r="A2743" s="15"/>
      <c r="B2743" s="14"/>
    </row>
    <row r="2744" spans="1:2" hidden="1" x14ac:dyDescent="0.25">
      <c r="A2744" s="15"/>
      <c r="B2744" s="14"/>
    </row>
    <row r="2745" spans="1:2" hidden="1" x14ac:dyDescent="0.25">
      <c r="A2745" s="15"/>
      <c r="B2745" s="14"/>
    </row>
    <row r="2746" spans="1:2" hidden="1" x14ac:dyDescent="0.25">
      <c r="A2746" s="15"/>
      <c r="B2746" s="14"/>
    </row>
    <row r="2747" spans="1:2" hidden="1" x14ac:dyDescent="0.25">
      <c r="A2747" s="15"/>
      <c r="B2747" s="14"/>
    </row>
    <row r="2748" spans="1:2" hidden="1" x14ac:dyDescent="0.25">
      <c r="A2748" s="15"/>
      <c r="B2748" s="14"/>
    </row>
    <row r="2749" spans="1:2" hidden="1" x14ac:dyDescent="0.25">
      <c r="A2749" s="15"/>
      <c r="B2749" s="14"/>
    </row>
    <row r="2750" spans="1:2" hidden="1" x14ac:dyDescent="0.25">
      <c r="A2750" s="15"/>
      <c r="B2750" s="14"/>
    </row>
    <row r="2751" spans="1:2" hidden="1" x14ac:dyDescent="0.25">
      <c r="A2751" s="15"/>
      <c r="B2751" s="14"/>
    </row>
    <row r="2752" spans="1:2" hidden="1" x14ac:dyDescent="0.25">
      <c r="A2752" s="15"/>
      <c r="B2752" s="14"/>
    </row>
    <row r="2753" spans="1:2" hidden="1" x14ac:dyDescent="0.25">
      <c r="A2753" s="15"/>
      <c r="B2753" s="14"/>
    </row>
    <row r="2754" spans="1:2" hidden="1" x14ac:dyDescent="0.25">
      <c r="A2754" s="15"/>
      <c r="B2754" s="14"/>
    </row>
    <row r="2755" spans="1:2" hidden="1" x14ac:dyDescent="0.25">
      <c r="A2755" s="15"/>
      <c r="B2755" s="14"/>
    </row>
    <row r="2756" spans="1:2" hidden="1" x14ac:dyDescent="0.25">
      <c r="A2756" s="15"/>
      <c r="B2756" s="14"/>
    </row>
    <row r="2757" spans="1:2" hidden="1" x14ac:dyDescent="0.25">
      <c r="A2757" s="15"/>
      <c r="B2757" s="14"/>
    </row>
    <row r="2758" spans="1:2" hidden="1" x14ac:dyDescent="0.25">
      <c r="A2758" s="15"/>
      <c r="B2758" s="14"/>
    </row>
    <row r="2759" spans="1:2" hidden="1" x14ac:dyDescent="0.25">
      <c r="A2759" s="15"/>
      <c r="B2759" s="14"/>
    </row>
    <row r="2760" spans="1:2" hidden="1" x14ac:dyDescent="0.25">
      <c r="A2760" s="15"/>
      <c r="B2760" s="14"/>
    </row>
    <row r="2761" spans="1:2" hidden="1" x14ac:dyDescent="0.25">
      <c r="A2761" s="15"/>
      <c r="B2761" s="14"/>
    </row>
    <row r="2762" spans="1:2" hidden="1" x14ac:dyDescent="0.25">
      <c r="A2762" s="15"/>
      <c r="B2762" s="14"/>
    </row>
    <row r="2763" spans="1:2" hidden="1" x14ac:dyDescent="0.25">
      <c r="A2763" s="15"/>
      <c r="B2763" s="14"/>
    </row>
    <row r="2764" spans="1:2" hidden="1" x14ac:dyDescent="0.25">
      <c r="A2764" s="15"/>
      <c r="B2764" s="14"/>
    </row>
    <row r="2765" spans="1:2" hidden="1" x14ac:dyDescent="0.25">
      <c r="A2765" s="15"/>
      <c r="B2765" s="14"/>
    </row>
    <row r="2766" spans="1:2" hidden="1" x14ac:dyDescent="0.25">
      <c r="A2766" s="15"/>
      <c r="B2766" s="14"/>
    </row>
    <row r="2767" spans="1:2" hidden="1" x14ac:dyDescent="0.25">
      <c r="A2767" s="15"/>
      <c r="B2767" s="14"/>
    </row>
    <row r="2768" spans="1:2" hidden="1" x14ac:dyDescent="0.25">
      <c r="A2768" s="15"/>
      <c r="B2768" s="14"/>
    </row>
    <row r="2769" spans="1:2" hidden="1" x14ac:dyDescent="0.25">
      <c r="A2769" s="15"/>
      <c r="B2769" s="14"/>
    </row>
    <row r="2770" spans="1:2" hidden="1" x14ac:dyDescent="0.25">
      <c r="A2770" s="15"/>
      <c r="B2770" s="14"/>
    </row>
    <row r="2771" spans="1:2" hidden="1" x14ac:dyDescent="0.25">
      <c r="A2771" s="15"/>
      <c r="B2771" s="14"/>
    </row>
    <row r="2772" spans="1:2" hidden="1" x14ac:dyDescent="0.25">
      <c r="A2772" s="15"/>
      <c r="B2772" s="14"/>
    </row>
    <row r="2773" spans="1:2" hidden="1" x14ac:dyDescent="0.25">
      <c r="A2773" s="15"/>
      <c r="B2773" s="14"/>
    </row>
    <row r="2774" spans="1:2" hidden="1" x14ac:dyDescent="0.25">
      <c r="A2774" s="15"/>
      <c r="B2774" s="14"/>
    </row>
    <row r="2775" spans="1:2" hidden="1" x14ac:dyDescent="0.25">
      <c r="A2775" s="15"/>
      <c r="B2775" s="14"/>
    </row>
    <row r="2776" spans="1:2" hidden="1" x14ac:dyDescent="0.25">
      <c r="A2776" s="15"/>
      <c r="B2776" s="14"/>
    </row>
    <row r="2777" spans="1:2" hidden="1" x14ac:dyDescent="0.25">
      <c r="A2777" s="15"/>
      <c r="B2777" s="14"/>
    </row>
    <row r="2778" spans="1:2" hidden="1" x14ac:dyDescent="0.25">
      <c r="A2778" s="15"/>
      <c r="B2778" s="14"/>
    </row>
    <row r="2779" spans="1:2" hidden="1" x14ac:dyDescent="0.25">
      <c r="A2779" s="15"/>
      <c r="B2779" s="14"/>
    </row>
    <row r="2780" spans="1:2" hidden="1" x14ac:dyDescent="0.25">
      <c r="A2780" s="15"/>
      <c r="B2780" s="14"/>
    </row>
    <row r="2781" spans="1:2" hidden="1" x14ac:dyDescent="0.25">
      <c r="A2781" s="15"/>
      <c r="B2781" s="14"/>
    </row>
    <row r="2782" spans="1:2" hidden="1" x14ac:dyDescent="0.25">
      <c r="A2782" s="15"/>
      <c r="B2782" s="14"/>
    </row>
    <row r="2783" spans="1:2" hidden="1" x14ac:dyDescent="0.25">
      <c r="A2783" s="15"/>
      <c r="B2783" s="14"/>
    </row>
    <row r="2784" spans="1:2" hidden="1" x14ac:dyDescent="0.25">
      <c r="A2784" s="15"/>
      <c r="B2784" s="14"/>
    </row>
    <row r="2785" spans="1:2" hidden="1" x14ac:dyDescent="0.25">
      <c r="A2785" s="15"/>
      <c r="B2785" s="14"/>
    </row>
    <row r="2786" spans="1:2" hidden="1" x14ac:dyDescent="0.25">
      <c r="A2786" s="15"/>
      <c r="B2786" s="14"/>
    </row>
    <row r="2787" spans="1:2" hidden="1" x14ac:dyDescent="0.25">
      <c r="A2787" s="15"/>
      <c r="B2787" s="14"/>
    </row>
    <row r="2788" spans="1:2" hidden="1" x14ac:dyDescent="0.25">
      <c r="A2788" s="15"/>
      <c r="B2788" s="14"/>
    </row>
    <row r="2789" spans="1:2" hidden="1" x14ac:dyDescent="0.25">
      <c r="A2789" s="15"/>
      <c r="B2789" s="14"/>
    </row>
    <row r="2790" spans="1:2" hidden="1" x14ac:dyDescent="0.25">
      <c r="A2790" s="15"/>
      <c r="B2790" s="14"/>
    </row>
    <row r="2791" spans="1:2" hidden="1" x14ac:dyDescent="0.25">
      <c r="A2791" s="15"/>
      <c r="B2791" s="14"/>
    </row>
    <row r="2792" spans="1:2" hidden="1" x14ac:dyDescent="0.25">
      <c r="A2792" s="15"/>
      <c r="B2792" s="14"/>
    </row>
    <row r="2793" spans="1:2" hidden="1" x14ac:dyDescent="0.25">
      <c r="A2793" s="15"/>
      <c r="B2793" s="14"/>
    </row>
    <row r="2794" spans="1:2" hidden="1" x14ac:dyDescent="0.25">
      <c r="A2794" s="15"/>
      <c r="B2794" s="14"/>
    </row>
    <row r="2795" spans="1:2" hidden="1" x14ac:dyDescent="0.25">
      <c r="A2795" s="15"/>
      <c r="B2795" s="14"/>
    </row>
    <row r="2796" spans="1:2" hidden="1" x14ac:dyDescent="0.25">
      <c r="A2796" s="15"/>
      <c r="B2796" s="14"/>
    </row>
    <row r="2797" spans="1:2" hidden="1" x14ac:dyDescent="0.25">
      <c r="A2797" s="15"/>
      <c r="B2797" s="14"/>
    </row>
    <row r="2798" spans="1:2" hidden="1" x14ac:dyDescent="0.25">
      <c r="A2798" s="15"/>
      <c r="B2798" s="14"/>
    </row>
    <row r="2799" spans="1:2" hidden="1" x14ac:dyDescent="0.25">
      <c r="A2799" s="15"/>
      <c r="B2799" s="14"/>
    </row>
    <row r="2800" spans="1:2" hidden="1" x14ac:dyDescent="0.25">
      <c r="A2800" s="15"/>
      <c r="B2800" s="14"/>
    </row>
    <row r="2801" spans="1:2" hidden="1" x14ac:dyDescent="0.25">
      <c r="A2801" s="15"/>
      <c r="B2801" s="14"/>
    </row>
    <row r="2802" spans="1:2" hidden="1" x14ac:dyDescent="0.25">
      <c r="A2802" s="15"/>
      <c r="B2802" s="14"/>
    </row>
    <row r="2803" spans="1:2" hidden="1" x14ac:dyDescent="0.25">
      <c r="A2803" s="15"/>
      <c r="B2803" s="14"/>
    </row>
    <row r="2804" spans="1:2" hidden="1" x14ac:dyDescent="0.25">
      <c r="A2804" s="15"/>
      <c r="B2804" s="14"/>
    </row>
    <row r="2805" spans="1:2" hidden="1" x14ac:dyDescent="0.25">
      <c r="A2805" s="15"/>
      <c r="B2805" s="14"/>
    </row>
    <row r="2806" spans="1:2" hidden="1" x14ac:dyDescent="0.25">
      <c r="A2806" s="15"/>
      <c r="B2806" s="14"/>
    </row>
    <row r="2807" spans="1:2" hidden="1" x14ac:dyDescent="0.25">
      <c r="A2807" s="15"/>
      <c r="B2807" s="14"/>
    </row>
    <row r="2808" spans="1:2" hidden="1" x14ac:dyDescent="0.25">
      <c r="A2808" s="15"/>
      <c r="B2808"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6FC2F-6208-4347-BF12-135EBBEF4EF4}">
  <dimension ref="A1:B2808"/>
  <sheetViews>
    <sheetView workbookViewId="0">
      <selection activeCell="A2" sqref="A2:B1435"/>
    </sheetView>
  </sheetViews>
  <sheetFormatPr defaultColWidth="0" defaultRowHeight="15" zeroHeight="1" x14ac:dyDescent="0.25"/>
  <cols>
    <col min="1" max="1" width="20.85546875" customWidth="1"/>
    <col min="2" max="2" width="18.5703125" customWidth="1"/>
    <col min="3" max="16384" width="8.7109375" hidden="1"/>
  </cols>
  <sheetData>
    <row r="1" spans="1:2" ht="35.1" customHeight="1" x14ac:dyDescent="0.25">
      <c r="A1" s="1" t="s">
        <v>8</v>
      </c>
      <c r="B1" s="1" t="s">
        <v>10</v>
      </c>
    </row>
    <row r="2" spans="1:2" x14ac:dyDescent="0.25">
      <c r="A2" s="15">
        <v>45701.281273148146</v>
      </c>
      <c r="B2" s="14">
        <v>428749898</v>
      </c>
    </row>
    <row r="3" spans="1:2" x14ac:dyDescent="0.25">
      <c r="A3" s="15">
        <v>45701.281273148146</v>
      </c>
      <c r="B3" s="14">
        <v>428749899</v>
      </c>
    </row>
    <row r="4" spans="1:2" x14ac:dyDescent="0.25">
      <c r="A4" s="15">
        <v>45701.2812962963</v>
      </c>
      <c r="B4" s="14">
        <v>428749901</v>
      </c>
    </row>
    <row r="5" spans="1:2" x14ac:dyDescent="0.25">
      <c r="A5" s="15">
        <v>45701.281307870369</v>
      </c>
      <c r="B5" s="14">
        <v>428749904</v>
      </c>
    </row>
    <row r="6" spans="1:2" x14ac:dyDescent="0.25">
      <c r="A6" s="15">
        <v>45701.281319444446</v>
      </c>
      <c r="B6" s="14">
        <v>428749907</v>
      </c>
    </row>
    <row r="7" spans="1:2" x14ac:dyDescent="0.25">
      <c r="A7" s="15">
        <v>45701.281319444446</v>
      </c>
      <c r="B7" s="14">
        <v>428749910</v>
      </c>
    </row>
    <row r="8" spans="1:2" x14ac:dyDescent="0.25">
      <c r="A8" s="15">
        <v>45701.281342592592</v>
      </c>
      <c r="B8" s="14">
        <v>428749914</v>
      </c>
    </row>
    <row r="9" spans="1:2" x14ac:dyDescent="0.25">
      <c r="A9" s="15">
        <v>45701.281354166669</v>
      </c>
      <c r="B9" s="14">
        <v>428749917</v>
      </c>
    </row>
    <row r="10" spans="1:2" x14ac:dyDescent="0.25">
      <c r="A10" s="15">
        <v>45701.281354166669</v>
      </c>
      <c r="B10" s="14">
        <v>428749920</v>
      </c>
    </row>
    <row r="11" spans="1:2" x14ac:dyDescent="0.25">
      <c r="A11" s="15">
        <v>45701.281365740739</v>
      </c>
      <c r="B11" s="14">
        <v>428749921</v>
      </c>
    </row>
    <row r="12" spans="1:2" x14ac:dyDescent="0.25">
      <c r="A12" s="15">
        <v>45701.281377314815</v>
      </c>
      <c r="B12" s="14">
        <v>428749924</v>
      </c>
    </row>
    <row r="13" spans="1:2" x14ac:dyDescent="0.25">
      <c r="A13" s="15">
        <v>45701.281388888892</v>
      </c>
      <c r="B13" s="14">
        <v>428749927</v>
      </c>
    </row>
    <row r="14" spans="1:2" x14ac:dyDescent="0.25">
      <c r="A14" s="15">
        <v>45701.281400462962</v>
      </c>
      <c r="B14" s="14">
        <v>428749931</v>
      </c>
    </row>
    <row r="15" spans="1:2" x14ac:dyDescent="0.25">
      <c r="A15" s="15">
        <v>45701.281412037039</v>
      </c>
      <c r="B15" s="14">
        <v>428749935</v>
      </c>
    </row>
    <row r="16" spans="1:2" x14ac:dyDescent="0.25">
      <c r="A16" s="15">
        <v>45701.281423611108</v>
      </c>
      <c r="B16" s="14">
        <v>428749940</v>
      </c>
    </row>
    <row r="17" spans="1:2" x14ac:dyDescent="0.25">
      <c r="A17" s="15">
        <v>45701.281435185185</v>
      </c>
      <c r="B17" s="14">
        <v>428749944</v>
      </c>
    </row>
    <row r="18" spans="1:2" x14ac:dyDescent="0.25">
      <c r="A18" s="15">
        <v>45701.281435185185</v>
      </c>
      <c r="B18" s="14">
        <v>428749948</v>
      </c>
    </row>
    <row r="19" spans="1:2" x14ac:dyDescent="0.25">
      <c r="A19" s="15">
        <v>45701.281458333331</v>
      </c>
      <c r="B19" s="14">
        <v>428749953</v>
      </c>
    </row>
    <row r="20" spans="1:2" x14ac:dyDescent="0.25">
      <c r="A20" s="15">
        <v>45701.281469907408</v>
      </c>
      <c r="B20" s="14">
        <v>428749958</v>
      </c>
    </row>
    <row r="21" spans="1:2" x14ac:dyDescent="0.25">
      <c r="A21" s="15">
        <v>45701.281481481485</v>
      </c>
      <c r="B21" s="14">
        <v>428749963</v>
      </c>
    </row>
    <row r="22" spans="1:2" x14ac:dyDescent="0.25">
      <c r="A22" s="15">
        <v>45701.281493055554</v>
      </c>
      <c r="B22" s="14">
        <v>428749969</v>
      </c>
    </row>
    <row r="23" spans="1:2" x14ac:dyDescent="0.25">
      <c r="A23" s="15">
        <v>45701.281504629631</v>
      </c>
      <c r="B23" s="14">
        <v>428749974</v>
      </c>
    </row>
    <row r="24" spans="1:2" x14ac:dyDescent="0.25">
      <c r="A24" s="15">
        <v>45701.281504629631</v>
      </c>
      <c r="B24" s="14">
        <v>428749975</v>
      </c>
    </row>
    <row r="25" spans="1:2" x14ac:dyDescent="0.25">
      <c r="A25" s="15">
        <v>45701.281504629631</v>
      </c>
      <c r="B25" s="14">
        <v>428749981</v>
      </c>
    </row>
    <row r="26" spans="1:2" x14ac:dyDescent="0.25">
      <c r="A26" s="15">
        <v>45701.2815162037</v>
      </c>
      <c r="B26" s="14">
        <v>428749982</v>
      </c>
    </row>
    <row r="27" spans="1:2" x14ac:dyDescent="0.25">
      <c r="A27" s="15">
        <v>45701.281527777777</v>
      </c>
      <c r="B27" s="14">
        <v>428749989</v>
      </c>
    </row>
    <row r="28" spans="1:2" x14ac:dyDescent="0.25">
      <c r="A28" s="15">
        <v>45701.281539351854</v>
      </c>
      <c r="B28" s="14">
        <v>428749998</v>
      </c>
    </row>
    <row r="29" spans="1:2" x14ac:dyDescent="0.25">
      <c r="A29" s="15">
        <v>45701.281550925924</v>
      </c>
      <c r="B29" s="14">
        <v>428750007</v>
      </c>
    </row>
    <row r="30" spans="1:2" x14ac:dyDescent="0.25">
      <c r="A30" s="15">
        <v>45701.2815625</v>
      </c>
      <c r="B30" s="14">
        <v>428750015</v>
      </c>
    </row>
    <row r="31" spans="1:2" x14ac:dyDescent="0.25">
      <c r="A31" s="15">
        <v>45701.281574074077</v>
      </c>
      <c r="B31" s="14">
        <v>428750025</v>
      </c>
    </row>
    <row r="32" spans="1:2" x14ac:dyDescent="0.25">
      <c r="A32" s="15">
        <v>45701.281585648147</v>
      </c>
      <c r="B32" s="14">
        <v>428750034</v>
      </c>
    </row>
    <row r="33" spans="1:2" x14ac:dyDescent="0.25">
      <c r="A33" s="15">
        <v>45701.281597222223</v>
      </c>
      <c r="B33" s="14">
        <v>428750044</v>
      </c>
    </row>
    <row r="34" spans="1:2" x14ac:dyDescent="0.25">
      <c r="A34" s="15">
        <v>45701.281597222223</v>
      </c>
      <c r="B34" s="14">
        <v>428750050</v>
      </c>
    </row>
    <row r="35" spans="1:2" x14ac:dyDescent="0.25">
      <c r="A35" s="15">
        <v>45701.281608796293</v>
      </c>
      <c r="B35" s="14">
        <v>428750053</v>
      </c>
    </row>
    <row r="36" spans="1:2" x14ac:dyDescent="0.25">
      <c r="A36" s="15">
        <v>45701.28162037037</v>
      </c>
      <c r="B36" s="14">
        <v>428750062</v>
      </c>
    </row>
    <row r="37" spans="1:2" x14ac:dyDescent="0.25">
      <c r="A37" s="15">
        <v>45701.281631944446</v>
      </c>
      <c r="B37" s="14">
        <v>428750071</v>
      </c>
    </row>
    <row r="38" spans="1:2" x14ac:dyDescent="0.25">
      <c r="A38" s="15">
        <v>45701.281643518516</v>
      </c>
      <c r="B38" s="14">
        <v>428750078</v>
      </c>
    </row>
    <row r="39" spans="1:2" x14ac:dyDescent="0.25">
      <c r="A39" s="15">
        <v>45701.281643518516</v>
      </c>
      <c r="B39" s="14">
        <v>428750083</v>
      </c>
    </row>
    <row r="40" spans="1:2" x14ac:dyDescent="0.25">
      <c r="A40" s="15">
        <v>45701.281643518516</v>
      </c>
      <c r="B40" s="14">
        <v>428750085</v>
      </c>
    </row>
    <row r="41" spans="1:2" x14ac:dyDescent="0.25">
      <c r="A41" s="15">
        <v>45701.281666666669</v>
      </c>
      <c r="B41" s="14">
        <v>428750093</v>
      </c>
    </row>
    <row r="42" spans="1:2" x14ac:dyDescent="0.25">
      <c r="A42" s="15">
        <v>45701.281678240739</v>
      </c>
      <c r="B42" s="14">
        <v>428750102</v>
      </c>
    </row>
    <row r="43" spans="1:2" x14ac:dyDescent="0.25">
      <c r="A43" s="15">
        <v>45701.281689814816</v>
      </c>
      <c r="B43" s="14">
        <v>428750109</v>
      </c>
    </row>
    <row r="44" spans="1:2" x14ac:dyDescent="0.25">
      <c r="A44" s="15">
        <v>45701.281701388885</v>
      </c>
      <c r="B44" s="14">
        <v>428750117</v>
      </c>
    </row>
    <row r="45" spans="1:2" x14ac:dyDescent="0.25">
      <c r="A45" s="15">
        <v>45701.281701388885</v>
      </c>
      <c r="B45" s="14">
        <v>428750118</v>
      </c>
    </row>
    <row r="46" spans="1:2" x14ac:dyDescent="0.25">
      <c r="A46" s="15">
        <v>45701.281712962962</v>
      </c>
      <c r="B46" s="14">
        <v>428750127</v>
      </c>
    </row>
    <row r="47" spans="1:2" x14ac:dyDescent="0.25">
      <c r="A47" s="15">
        <v>45701.281724537039</v>
      </c>
      <c r="B47" s="14">
        <v>428750135</v>
      </c>
    </row>
    <row r="48" spans="1:2" x14ac:dyDescent="0.25">
      <c r="A48" s="15">
        <v>45701.281736111108</v>
      </c>
      <c r="B48" s="14">
        <v>428750144</v>
      </c>
    </row>
    <row r="49" spans="1:2" x14ac:dyDescent="0.25">
      <c r="A49" s="15">
        <v>45701.281736111108</v>
      </c>
      <c r="B49" s="14">
        <v>428750152</v>
      </c>
    </row>
    <row r="50" spans="1:2" x14ac:dyDescent="0.25">
      <c r="A50" s="15">
        <v>45701.281747685185</v>
      </c>
      <c r="B50" s="14">
        <v>428750153</v>
      </c>
    </row>
    <row r="51" spans="1:2" x14ac:dyDescent="0.25">
      <c r="A51" s="15">
        <v>45701.281759259262</v>
      </c>
      <c r="B51" s="14">
        <v>428750163</v>
      </c>
    </row>
    <row r="52" spans="1:2" x14ac:dyDescent="0.25">
      <c r="A52" s="15">
        <v>45701.281770833331</v>
      </c>
      <c r="B52" s="14">
        <v>428750174</v>
      </c>
    </row>
    <row r="53" spans="1:2" x14ac:dyDescent="0.25">
      <c r="A53" s="15">
        <v>45701.281770833331</v>
      </c>
      <c r="B53" s="14">
        <v>428750176</v>
      </c>
    </row>
    <row r="54" spans="1:2" x14ac:dyDescent="0.25">
      <c r="A54" s="15">
        <v>45701.281782407408</v>
      </c>
      <c r="B54" s="14">
        <v>428750187</v>
      </c>
    </row>
    <row r="55" spans="1:2" x14ac:dyDescent="0.25">
      <c r="A55" s="15">
        <v>45701.281793981485</v>
      </c>
      <c r="B55" s="14">
        <v>428750202</v>
      </c>
    </row>
    <row r="56" spans="1:2" x14ac:dyDescent="0.25">
      <c r="A56" s="15">
        <v>45701.281805555554</v>
      </c>
      <c r="B56" s="14">
        <v>428750216</v>
      </c>
    </row>
    <row r="57" spans="1:2" x14ac:dyDescent="0.25">
      <c r="A57" s="15">
        <v>45701.281817129631</v>
      </c>
      <c r="B57" s="14">
        <v>428750229</v>
      </c>
    </row>
    <row r="58" spans="1:2" x14ac:dyDescent="0.25">
      <c r="A58" s="15">
        <v>45701.281817129631</v>
      </c>
      <c r="B58" s="14">
        <v>428750230</v>
      </c>
    </row>
    <row r="59" spans="1:2" x14ac:dyDescent="0.25">
      <c r="A59" s="15">
        <v>45701.281828703701</v>
      </c>
      <c r="B59" s="14">
        <v>428750246</v>
      </c>
    </row>
    <row r="60" spans="1:2" x14ac:dyDescent="0.25">
      <c r="A60" s="15">
        <v>45701.281840277778</v>
      </c>
      <c r="B60" s="14">
        <v>428750258</v>
      </c>
    </row>
    <row r="61" spans="1:2" x14ac:dyDescent="0.25">
      <c r="A61" s="15">
        <v>45701.281840277778</v>
      </c>
      <c r="B61" s="14">
        <v>428750263</v>
      </c>
    </row>
    <row r="62" spans="1:2" x14ac:dyDescent="0.25">
      <c r="A62" s="15">
        <v>45701.281840277778</v>
      </c>
      <c r="B62" s="14">
        <v>428750264</v>
      </c>
    </row>
    <row r="63" spans="1:2" x14ac:dyDescent="0.25">
      <c r="A63" s="15">
        <v>45701.281851851854</v>
      </c>
      <c r="B63" s="14">
        <v>428750273</v>
      </c>
    </row>
    <row r="64" spans="1:2" x14ac:dyDescent="0.25">
      <c r="A64" s="15">
        <v>45701.281851851854</v>
      </c>
      <c r="B64" s="14">
        <v>428750275</v>
      </c>
    </row>
    <row r="65" spans="1:2" x14ac:dyDescent="0.25">
      <c r="A65" s="15">
        <v>45701.281851851854</v>
      </c>
      <c r="B65" s="14">
        <v>428750281</v>
      </c>
    </row>
    <row r="66" spans="1:2" x14ac:dyDescent="0.25">
      <c r="A66" s="15">
        <v>45701.281863425924</v>
      </c>
      <c r="B66" s="14">
        <v>428750288</v>
      </c>
    </row>
    <row r="67" spans="1:2" x14ac:dyDescent="0.25">
      <c r="A67" s="15">
        <v>45701.281875000001</v>
      </c>
      <c r="B67" s="14">
        <v>428750295</v>
      </c>
    </row>
    <row r="68" spans="1:2" x14ac:dyDescent="0.25">
      <c r="A68" s="15">
        <v>45701.281898148147</v>
      </c>
      <c r="B68" s="14">
        <v>428750328</v>
      </c>
    </row>
    <row r="69" spans="1:2" x14ac:dyDescent="0.25">
      <c r="A69" s="15">
        <v>45701.281898148147</v>
      </c>
      <c r="B69" s="14">
        <v>428750330</v>
      </c>
    </row>
    <row r="70" spans="1:2" x14ac:dyDescent="0.25">
      <c r="A70" s="15">
        <v>45701.281898148147</v>
      </c>
      <c r="B70" s="14">
        <v>428750342</v>
      </c>
    </row>
    <row r="71" spans="1:2" x14ac:dyDescent="0.25">
      <c r="A71" s="15">
        <v>45701.281921296293</v>
      </c>
      <c r="B71" s="14">
        <v>428750355</v>
      </c>
    </row>
    <row r="72" spans="1:2" x14ac:dyDescent="0.25">
      <c r="A72" s="15">
        <v>45701.28193287037</v>
      </c>
      <c r="B72" s="14">
        <v>428750367</v>
      </c>
    </row>
    <row r="73" spans="1:2" x14ac:dyDescent="0.25">
      <c r="A73" s="15">
        <v>45701.281944444447</v>
      </c>
      <c r="B73" s="14">
        <v>428750379</v>
      </c>
    </row>
    <row r="74" spans="1:2" x14ac:dyDescent="0.25">
      <c r="A74" s="15">
        <v>45701.281956018516</v>
      </c>
      <c r="B74" s="14">
        <v>428750390</v>
      </c>
    </row>
    <row r="75" spans="1:2" x14ac:dyDescent="0.25">
      <c r="A75" s="15">
        <v>45701.281956018516</v>
      </c>
      <c r="B75" s="14">
        <v>428750391</v>
      </c>
    </row>
    <row r="76" spans="1:2" x14ac:dyDescent="0.25">
      <c r="A76" s="15">
        <v>45701.281967592593</v>
      </c>
      <c r="B76" s="14">
        <v>428750401</v>
      </c>
    </row>
    <row r="77" spans="1:2" x14ac:dyDescent="0.25">
      <c r="A77" s="15">
        <v>45701.28197916667</v>
      </c>
      <c r="B77" s="14">
        <v>428750412</v>
      </c>
    </row>
    <row r="78" spans="1:2" x14ac:dyDescent="0.25">
      <c r="A78" s="15">
        <v>45701.281990740739</v>
      </c>
      <c r="B78" s="14">
        <v>428750422</v>
      </c>
    </row>
    <row r="79" spans="1:2" x14ac:dyDescent="0.25">
      <c r="A79" s="15">
        <v>45701.282002314816</v>
      </c>
      <c r="B79" s="14">
        <v>428750431</v>
      </c>
    </row>
    <row r="80" spans="1:2" x14ac:dyDescent="0.25">
      <c r="A80" s="15">
        <v>45701.282013888886</v>
      </c>
      <c r="B80" s="14">
        <v>428750440</v>
      </c>
    </row>
    <row r="81" spans="1:2" x14ac:dyDescent="0.25">
      <c r="A81" s="15">
        <v>45701.282025462962</v>
      </c>
      <c r="B81" s="14">
        <v>428750449</v>
      </c>
    </row>
    <row r="82" spans="1:2" x14ac:dyDescent="0.25">
      <c r="A82" s="15">
        <v>45701.282037037039</v>
      </c>
      <c r="B82" s="14">
        <v>428750456</v>
      </c>
    </row>
    <row r="83" spans="1:2" x14ac:dyDescent="0.25">
      <c r="A83" s="15">
        <v>45701.282048611109</v>
      </c>
      <c r="B83" s="14">
        <v>428750463</v>
      </c>
    </row>
    <row r="84" spans="1:2" x14ac:dyDescent="0.25">
      <c r="A84" s="15">
        <v>45701.282060185185</v>
      </c>
      <c r="B84" s="14">
        <v>428750470</v>
      </c>
    </row>
    <row r="85" spans="1:2" x14ac:dyDescent="0.25">
      <c r="A85" s="15">
        <v>45701.282071759262</v>
      </c>
      <c r="B85" s="14">
        <v>428750475</v>
      </c>
    </row>
    <row r="86" spans="1:2" x14ac:dyDescent="0.25">
      <c r="A86" s="15">
        <v>45701.282083333332</v>
      </c>
      <c r="B86" s="14">
        <v>428750480</v>
      </c>
    </row>
    <row r="87" spans="1:2" x14ac:dyDescent="0.25">
      <c r="A87" s="15">
        <v>45701.282094907408</v>
      </c>
      <c r="B87" s="14">
        <v>428750484</v>
      </c>
    </row>
    <row r="88" spans="1:2" x14ac:dyDescent="0.25">
      <c r="A88" s="15">
        <v>45701.282106481478</v>
      </c>
      <c r="B88" s="14">
        <v>428750487</v>
      </c>
    </row>
    <row r="89" spans="1:2" x14ac:dyDescent="0.25">
      <c r="A89" s="15">
        <v>45701.282118055555</v>
      </c>
      <c r="B89" s="14">
        <v>428750488</v>
      </c>
    </row>
    <row r="90" spans="1:2" x14ac:dyDescent="0.25">
      <c r="A90" s="15">
        <v>45701.282118055555</v>
      </c>
      <c r="B90" s="14">
        <v>428750489</v>
      </c>
    </row>
    <row r="91" spans="1:2" x14ac:dyDescent="0.25">
      <c r="A91" s="15">
        <v>45701.282141203701</v>
      </c>
      <c r="B91" s="14">
        <v>428750490</v>
      </c>
    </row>
    <row r="92" spans="1:2" x14ac:dyDescent="0.25">
      <c r="A92" s="15">
        <v>45701.282418981478</v>
      </c>
      <c r="B92" s="14">
        <v>428750492</v>
      </c>
    </row>
    <row r="93" spans="1:2" x14ac:dyDescent="0.25">
      <c r="A93" s="15">
        <v>45701.282430555555</v>
      </c>
      <c r="B93" s="14">
        <v>428750495</v>
      </c>
    </row>
    <row r="94" spans="1:2" x14ac:dyDescent="0.25">
      <c r="A94" s="15">
        <v>45701.282442129632</v>
      </c>
      <c r="B94" s="14">
        <v>428750500</v>
      </c>
    </row>
    <row r="95" spans="1:2" x14ac:dyDescent="0.25">
      <c r="A95" s="15">
        <v>45701.282442129632</v>
      </c>
      <c r="B95" s="14">
        <v>428750504</v>
      </c>
    </row>
    <row r="96" spans="1:2" x14ac:dyDescent="0.25">
      <c r="A96" s="15">
        <v>45701.282453703701</v>
      </c>
      <c r="B96" s="14">
        <v>428750505</v>
      </c>
    </row>
    <row r="97" spans="1:2" x14ac:dyDescent="0.25">
      <c r="A97" s="15">
        <v>45701.282465277778</v>
      </c>
      <c r="B97" s="14">
        <v>428750513</v>
      </c>
    </row>
    <row r="98" spans="1:2" x14ac:dyDescent="0.25">
      <c r="A98" s="15">
        <v>45701.282476851855</v>
      </c>
      <c r="B98" s="14">
        <v>428750521</v>
      </c>
    </row>
    <row r="99" spans="1:2" x14ac:dyDescent="0.25">
      <c r="A99" s="15">
        <v>45701.282488425924</v>
      </c>
      <c r="B99" s="14">
        <v>428750530</v>
      </c>
    </row>
    <row r="100" spans="1:2" x14ac:dyDescent="0.25">
      <c r="A100" s="15">
        <v>45701.282500000001</v>
      </c>
      <c r="B100" s="14">
        <v>428750540</v>
      </c>
    </row>
    <row r="101" spans="1:2" x14ac:dyDescent="0.25">
      <c r="A101" s="15">
        <v>45701.282511574071</v>
      </c>
      <c r="B101" s="14">
        <v>428750551</v>
      </c>
    </row>
    <row r="102" spans="1:2" x14ac:dyDescent="0.25">
      <c r="A102" s="15">
        <v>45701.282511574071</v>
      </c>
      <c r="B102" s="14">
        <v>428750560</v>
      </c>
    </row>
    <row r="103" spans="1:2" x14ac:dyDescent="0.25">
      <c r="A103" s="15">
        <v>45701.282523148147</v>
      </c>
      <c r="B103" s="14">
        <v>428750563</v>
      </c>
    </row>
    <row r="104" spans="1:2" x14ac:dyDescent="0.25">
      <c r="A104" s="15">
        <v>45701.282523148147</v>
      </c>
      <c r="B104" s="14">
        <v>428750564</v>
      </c>
    </row>
    <row r="105" spans="1:2" x14ac:dyDescent="0.25">
      <c r="A105" s="15">
        <v>45701.282523148147</v>
      </c>
      <c r="B105" s="14">
        <v>428750576</v>
      </c>
    </row>
    <row r="106" spans="1:2" x14ac:dyDescent="0.25">
      <c r="A106" s="15">
        <v>45701.282546296294</v>
      </c>
      <c r="B106" s="14">
        <v>428750587</v>
      </c>
    </row>
    <row r="107" spans="1:2" x14ac:dyDescent="0.25">
      <c r="A107" s="15">
        <v>45701.282557870371</v>
      </c>
      <c r="B107" s="14">
        <v>428750600</v>
      </c>
    </row>
    <row r="108" spans="1:2" x14ac:dyDescent="0.25">
      <c r="A108" s="15">
        <v>45701.282557870371</v>
      </c>
      <c r="B108" s="14">
        <v>428750608</v>
      </c>
    </row>
    <row r="109" spans="1:2" x14ac:dyDescent="0.25">
      <c r="A109" s="15">
        <v>45701.282569444447</v>
      </c>
      <c r="B109" s="14">
        <v>428750612</v>
      </c>
    </row>
    <row r="110" spans="1:2" x14ac:dyDescent="0.25">
      <c r="A110" s="15">
        <v>45701.282569444447</v>
      </c>
      <c r="B110" s="14">
        <v>428750616</v>
      </c>
    </row>
    <row r="111" spans="1:2" x14ac:dyDescent="0.25">
      <c r="A111" s="15">
        <v>45701.282581018517</v>
      </c>
      <c r="B111" s="14">
        <v>428750620</v>
      </c>
    </row>
    <row r="112" spans="1:2" x14ac:dyDescent="0.25">
      <c r="A112" s="15">
        <v>45701.282581018517</v>
      </c>
      <c r="B112" s="14">
        <v>428750625</v>
      </c>
    </row>
    <row r="113" spans="1:2" x14ac:dyDescent="0.25">
      <c r="A113" s="15">
        <v>45701.282592592594</v>
      </c>
      <c r="B113" s="14">
        <v>428750637</v>
      </c>
    </row>
    <row r="114" spans="1:2" x14ac:dyDescent="0.25">
      <c r="A114" s="15">
        <v>45701.282604166663</v>
      </c>
      <c r="B114" s="14">
        <v>428750649</v>
      </c>
    </row>
    <row r="115" spans="1:2" x14ac:dyDescent="0.25">
      <c r="A115" s="15">
        <v>45701.28261574074</v>
      </c>
      <c r="B115" s="14">
        <v>428750659</v>
      </c>
    </row>
    <row r="116" spans="1:2" x14ac:dyDescent="0.25">
      <c r="A116" s="15">
        <v>45701.282627314817</v>
      </c>
      <c r="B116" s="14">
        <v>428750670</v>
      </c>
    </row>
    <row r="117" spans="1:2" x14ac:dyDescent="0.25">
      <c r="A117" s="15">
        <v>45701.282638888886</v>
      </c>
      <c r="B117" s="14">
        <v>428750683</v>
      </c>
    </row>
    <row r="118" spans="1:2" x14ac:dyDescent="0.25">
      <c r="A118" s="15">
        <v>45701.282650462963</v>
      </c>
      <c r="B118" s="14">
        <v>428750692</v>
      </c>
    </row>
    <row r="119" spans="1:2" x14ac:dyDescent="0.25">
      <c r="A119" s="15">
        <v>45701.28266203704</v>
      </c>
      <c r="B119" s="14">
        <v>428750700</v>
      </c>
    </row>
    <row r="120" spans="1:2" x14ac:dyDescent="0.25">
      <c r="A120" s="15">
        <v>45701.28266203704</v>
      </c>
      <c r="B120" s="14">
        <v>428750702</v>
      </c>
    </row>
    <row r="121" spans="1:2" x14ac:dyDescent="0.25">
      <c r="A121" s="15">
        <v>45701.28266203704</v>
      </c>
      <c r="B121" s="14">
        <v>428750705</v>
      </c>
    </row>
    <row r="122" spans="1:2" x14ac:dyDescent="0.25">
      <c r="A122" s="15">
        <v>45701.28266203704</v>
      </c>
      <c r="B122" s="14">
        <v>428750711</v>
      </c>
    </row>
    <row r="123" spans="1:2" x14ac:dyDescent="0.25">
      <c r="A123" s="15">
        <v>45701.282685185186</v>
      </c>
      <c r="B123" s="14">
        <v>428750722</v>
      </c>
    </row>
    <row r="124" spans="1:2" x14ac:dyDescent="0.25">
      <c r="A124" s="15">
        <v>45701.282696759263</v>
      </c>
      <c r="B124" s="14">
        <v>428750732</v>
      </c>
    </row>
    <row r="125" spans="1:2" x14ac:dyDescent="0.25">
      <c r="A125" s="15">
        <v>45701.282719907409</v>
      </c>
      <c r="B125" s="14">
        <v>428750753</v>
      </c>
    </row>
    <row r="126" spans="1:2" x14ac:dyDescent="0.25">
      <c r="A126" s="15">
        <v>45701.282731481479</v>
      </c>
      <c r="B126" s="14">
        <v>428750763</v>
      </c>
    </row>
    <row r="127" spans="1:2" x14ac:dyDescent="0.25">
      <c r="A127" s="15">
        <v>45701.282743055555</v>
      </c>
      <c r="B127" s="14">
        <v>428750772</v>
      </c>
    </row>
    <row r="128" spans="1:2" x14ac:dyDescent="0.25">
      <c r="A128" s="15">
        <v>45701.282754629632</v>
      </c>
      <c r="B128" s="14">
        <v>428750783</v>
      </c>
    </row>
    <row r="129" spans="1:2" x14ac:dyDescent="0.25">
      <c r="A129" s="15">
        <v>45701.282766203702</v>
      </c>
      <c r="B129" s="14">
        <v>428750793</v>
      </c>
    </row>
    <row r="130" spans="1:2" x14ac:dyDescent="0.25">
      <c r="A130" s="15">
        <v>45701.282777777778</v>
      </c>
      <c r="B130" s="14">
        <v>428750803</v>
      </c>
    </row>
    <row r="131" spans="1:2" x14ac:dyDescent="0.25">
      <c r="A131" s="15">
        <v>45701.282789351855</v>
      </c>
      <c r="B131" s="14">
        <v>428750813</v>
      </c>
    </row>
    <row r="132" spans="1:2" x14ac:dyDescent="0.25">
      <c r="A132" s="15">
        <v>45701.282789351855</v>
      </c>
      <c r="B132" s="14">
        <v>428750824</v>
      </c>
    </row>
    <row r="133" spans="1:2" x14ac:dyDescent="0.25">
      <c r="A133" s="15">
        <v>45701.282812500001</v>
      </c>
      <c r="B133" s="14">
        <v>428750838</v>
      </c>
    </row>
    <row r="134" spans="1:2" x14ac:dyDescent="0.25">
      <c r="A134" s="15">
        <v>45701.282824074071</v>
      </c>
      <c r="B134" s="14">
        <v>428750852</v>
      </c>
    </row>
    <row r="135" spans="1:2" x14ac:dyDescent="0.25">
      <c r="A135" s="15">
        <v>45701.282824074071</v>
      </c>
      <c r="B135" s="14">
        <v>428750853</v>
      </c>
    </row>
    <row r="136" spans="1:2" x14ac:dyDescent="0.25">
      <c r="A136" s="15">
        <v>45701.282835648148</v>
      </c>
      <c r="B136" s="14">
        <v>428750866</v>
      </c>
    </row>
    <row r="137" spans="1:2" x14ac:dyDescent="0.25">
      <c r="A137" s="15">
        <v>45701.282847222225</v>
      </c>
      <c r="B137" s="14">
        <v>428750881</v>
      </c>
    </row>
    <row r="138" spans="1:2" x14ac:dyDescent="0.25">
      <c r="A138" s="15">
        <v>45701.282858796294</v>
      </c>
      <c r="B138" s="14">
        <v>428750894</v>
      </c>
    </row>
    <row r="139" spans="1:2" x14ac:dyDescent="0.25">
      <c r="A139" s="15">
        <v>45701.282858796294</v>
      </c>
      <c r="B139" s="14">
        <v>428750909</v>
      </c>
    </row>
    <row r="140" spans="1:2" x14ac:dyDescent="0.25">
      <c r="A140" s="15">
        <v>45701.282870370371</v>
      </c>
      <c r="B140" s="14">
        <v>428750910</v>
      </c>
    </row>
    <row r="141" spans="1:2" x14ac:dyDescent="0.25">
      <c r="A141" s="15">
        <v>45701.282881944448</v>
      </c>
      <c r="B141" s="14">
        <v>428750925</v>
      </c>
    </row>
    <row r="142" spans="1:2" x14ac:dyDescent="0.25">
      <c r="A142" s="15">
        <v>45701.282881944448</v>
      </c>
      <c r="B142" s="14">
        <v>428750926</v>
      </c>
    </row>
    <row r="143" spans="1:2" x14ac:dyDescent="0.25">
      <c r="A143" s="15">
        <v>45701.282893518517</v>
      </c>
      <c r="B143" s="14">
        <v>428750939</v>
      </c>
    </row>
    <row r="144" spans="1:2" x14ac:dyDescent="0.25">
      <c r="A144" s="15">
        <v>45701.282905092594</v>
      </c>
      <c r="B144" s="14">
        <v>428750955</v>
      </c>
    </row>
    <row r="145" spans="1:2" x14ac:dyDescent="0.25">
      <c r="A145" s="15">
        <v>45701.282916666663</v>
      </c>
      <c r="B145" s="14">
        <v>428750971</v>
      </c>
    </row>
    <row r="146" spans="1:2" x14ac:dyDescent="0.25">
      <c r="A146" s="15">
        <v>45701.28292824074</v>
      </c>
      <c r="B146" s="14">
        <v>428750986</v>
      </c>
    </row>
    <row r="147" spans="1:2" x14ac:dyDescent="0.25">
      <c r="A147" s="15">
        <v>45701.282939814817</v>
      </c>
      <c r="B147" s="14">
        <v>428751000</v>
      </c>
    </row>
    <row r="148" spans="1:2" x14ac:dyDescent="0.25">
      <c r="A148" s="15">
        <v>45701.282939814817</v>
      </c>
      <c r="B148" s="14">
        <v>428751001</v>
      </c>
    </row>
    <row r="149" spans="1:2" x14ac:dyDescent="0.25">
      <c r="A149" s="15">
        <v>45701.282951388886</v>
      </c>
      <c r="B149" s="14">
        <v>428751015</v>
      </c>
    </row>
    <row r="150" spans="1:2" x14ac:dyDescent="0.25">
      <c r="A150" s="15">
        <v>45701.282962962963</v>
      </c>
      <c r="B150" s="14">
        <v>428751030</v>
      </c>
    </row>
    <row r="151" spans="1:2" x14ac:dyDescent="0.25">
      <c r="A151" s="15">
        <v>45701.282962962963</v>
      </c>
      <c r="B151" s="14">
        <v>428751040</v>
      </c>
    </row>
    <row r="152" spans="1:2" x14ac:dyDescent="0.25">
      <c r="A152" s="15">
        <v>45701.28297453704</v>
      </c>
      <c r="B152" s="14">
        <v>428751045</v>
      </c>
    </row>
    <row r="153" spans="1:2" x14ac:dyDescent="0.25">
      <c r="A153" s="15">
        <v>45701.28297453704</v>
      </c>
      <c r="B153" s="14">
        <v>428751049</v>
      </c>
    </row>
    <row r="154" spans="1:2" x14ac:dyDescent="0.25">
      <c r="A154" s="15">
        <v>45701.282986111109</v>
      </c>
      <c r="B154" s="14">
        <v>428751059</v>
      </c>
    </row>
    <row r="155" spans="1:2" x14ac:dyDescent="0.25">
      <c r="A155" s="15">
        <v>45701.282997685186</v>
      </c>
      <c r="B155" s="14">
        <v>428751074</v>
      </c>
    </row>
    <row r="156" spans="1:2" x14ac:dyDescent="0.25">
      <c r="A156" s="15">
        <v>45701.283009259256</v>
      </c>
      <c r="B156" s="14">
        <v>428751089</v>
      </c>
    </row>
    <row r="157" spans="1:2" x14ac:dyDescent="0.25">
      <c r="A157" s="15">
        <v>45701.283020833333</v>
      </c>
      <c r="B157" s="14">
        <v>428751102</v>
      </c>
    </row>
    <row r="158" spans="1:2" x14ac:dyDescent="0.25">
      <c r="A158" s="15">
        <v>45701.283020833333</v>
      </c>
      <c r="B158" s="14">
        <v>428751114</v>
      </c>
    </row>
    <row r="159" spans="1:2" x14ac:dyDescent="0.25">
      <c r="A159" s="15">
        <v>45701.283043981479</v>
      </c>
      <c r="B159" s="14">
        <v>428751127</v>
      </c>
    </row>
    <row r="160" spans="1:2" x14ac:dyDescent="0.25">
      <c r="A160" s="15">
        <v>45701.283043981479</v>
      </c>
      <c r="B160" s="14">
        <v>428751137</v>
      </c>
    </row>
    <row r="161" spans="1:2" x14ac:dyDescent="0.25">
      <c r="A161" s="15">
        <v>45701.283055555556</v>
      </c>
      <c r="B161" s="14">
        <v>428751138</v>
      </c>
    </row>
    <row r="162" spans="1:2" x14ac:dyDescent="0.25">
      <c r="A162" s="15">
        <v>45701.283067129632</v>
      </c>
      <c r="B162" s="14">
        <v>428751148</v>
      </c>
    </row>
    <row r="163" spans="1:2" x14ac:dyDescent="0.25">
      <c r="A163" s="15">
        <v>45701.283067129632</v>
      </c>
      <c r="B163" s="14">
        <v>428751150</v>
      </c>
    </row>
    <row r="164" spans="1:2" x14ac:dyDescent="0.25">
      <c r="A164" s="15">
        <v>45701.283067129632</v>
      </c>
      <c r="B164" s="14">
        <v>428751158</v>
      </c>
    </row>
    <row r="165" spans="1:2" x14ac:dyDescent="0.25">
      <c r="A165" s="15">
        <v>45701.283078703702</v>
      </c>
      <c r="B165" s="14">
        <v>428751159</v>
      </c>
    </row>
    <row r="166" spans="1:2" x14ac:dyDescent="0.25">
      <c r="A166" s="15">
        <v>45701.283090277779</v>
      </c>
      <c r="B166" s="14">
        <v>428751169</v>
      </c>
    </row>
    <row r="167" spans="1:2" x14ac:dyDescent="0.25">
      <c r="A167" s="15">
        <v>45701.283090277779</v>
      </c>
      <c r="B167" s="14">
        <v>428751170</v>
      </c>
    </row>
    <row r="168" spans="1:2" x14ac:dyDescent="0.25">
      <c r="A168" s="15">
        <v>45701.283101851855</v>
      </c>
      <c r="B168" s="14">
        <v>428751180</v>
      </c>
    </row>
    <row r="169" spans="1:2" x14ac:dyDescent="0.25">
      <c r="A169" s="15">
        <v>45701.283113425925</v>
      </c>
      <c r="B169" s="14">
        <v>428751189</v>
      </c>
    </row>
    <row r="170" spans="1:2" x14ac:dyDescent="0.25">
      <c r="A170" s="15">
        <v>45701.283113425925</v>
      </c>
      <c r="B170" s="14">
        <v>428751190</v>
      </c>
    </row>
    <row r="171" spans="1:2" x14ac:dyDescent="0.25">
      <c r="A171" s="15">
        <v>45701.283125000002</v>
      </c>
      <c r="B171" s="14">
        <v>428751199</v>
      </c>
    </row>
    <row r="172" spans="1:2" x14ac:dyDescent="0.25">
      <c r="A172" s="15">
        <v>45701.283136574071</v>
      </c>
      <c r="B172" s="14">
        <v>428751208</v>
      </c>
    </row>
    <row r="173" spans="1:2" x14ac:dyDescent="0.25">
      <c r="A173" s="15">
        <v>45701.283148148148</v>
      </c>
      <c r="B173" s="14">
        <v>428751215</v>
      </c>
    </row>
    <row r="174" spans="1:2" x14ac:dyDescent="0.25">
      <c r="A174" s="15">
        <v>45701.283159722225</v>
      </c>
      <c r="B174" s="14">
        <v>428751223</v>
      </c>
    </row>
    <row r="175" spans="1:2" x14ac:dyDescent="0.25">
      <c r="A175" s="15">
        <v>45701.283171296294</v>
      </c>
      <c r="B175" s="14">
        <v>428751230</v>
      </c>
    </row>
    <row r="176" spans="1:2" x14ac:dyDescent="0.25">
      <c r="A176" s="15">
        <v>45701.283182870371</v>
      </c>
      <c r="B176" s="14">
        <v>428751237</v>
      </c>
    </row>
    <row r="177" spans="1:2" x14ac:dyDescent="0.25">
      <c r="A177" s="15">
        <v>45701.283194444448</v>
      </c>
      <c r="B177" s="14">
        <v>428751242</v>
      </c>
    </row>
    <row r="178" spans="1:2" x14ac:dyDescent="0.25">
      <c r="A178" s="15">
        <v>45701.283206018517</v>
      </c>
      <c r="B178" s="14">
        <v>428751247</v>
      </c>
    </row>
    <row r="179" spans="1:2" x14ac:dyDescent="0.25">
      <c r="A179" s="15">
        <v>45701.283206018517</v>
      </c>
      <c r="B179" s="14">
        <v>428751251</v>
      </c>
    </row>
    <row r="180" spans="1:2" x14ac:dyDescent="0.25">
      <c r="A180" s="15">
        <v>45701.283229166664</v>
      </c>
      <c r="B180" s="14">
        <v>428751254</v>
      </c>
    </row>
    <row r="181" spans="1:2" x14ac:dyDescent="0.25">
      <c r="A181" s="15">
        <v>45701.28324074074</v>
      </c>
      <c r="B181" s="14">
        <v>428751256</v>
      </c>
    </row>
    <row r="182" spans="1:2" x14ac:dyDescent="0.25">
      <c r="A182" s="15">
        <v>45701.283252314817</v>
      </c>
      <c r="B182" s="14">
        <v>428751257</v>
      </c>
    </row>
    <row r="183" spans="1:2" x14ac:dyDescent="0.25">
      <c r="A183" s="15">
        <v>45701.283425925925</v>
      </c>
      <c r="B183" s="14">
        <v>428751258</v>
      </c>
    </row>
    <row r="184" spans="1:2" x14ac:dyDescent="0.25">
      <c r="A184" s="15">
        <v>45701.283437500002</v>
      </c>
      <c r="B184" s="14">
        <v>428751260</v>
      </c>
    </row>
    <row r="185" spans="1:2" x14ac:dyDescent="0.25">
      <c r="A185" s="15">
        <v>45701.283437500002</v>
      </c>
      <c r="B185" s="14">
        <v>428751262</v>
      </c>
    </row>
    <row r="186" spans="1:2" x14ac:dyDescent="0.25">
      <c r="A186" s="15">
        <v>45701.283449074072</v>
      </c>
      <c r="B186" s="14">
        <v>428751264</v>
      </c>
    </row>
    <row r="187" spans="1:2" x14ac:dyDescent="0.25">
      <c r="A187" s="15">
        <v>45701.283449074072</v>
      </c>
      <c r="B187" s="14">
        <v>428751265</v>
      </c>
    </row>
    <row r="188" spans="1:2" x14ac:dyDescent="0.25">
      <c r="A188" s="15">
        <v>45701.283460648148</v>
      </c>
      <c r="B188" s="14">
        <v>428751268</v>
      </c>
    </row>
    <row r="189" spans="1:2" x14ac:dyDescent="0.25">
      <c r="A189" s="15">
        <v>45701.283472222225</v>
      </c>
      <c r="B189" s="14">
        <v>428751273</v>
      </c>
    </row>
    <row r="190" spans="1:2" x14ac:dyDescent="0.25">
      <c r="A190" s="15">
        <v>45701.283483796295</v>
      </c>
      <c r="B190" s="14">
        <v>428751280</v>
      </c>
    </row>
    <row r="191" spans="1:2" x14ac:dyDescent="0.25">
      <c r="A191" s="15">
        <v>45701.283495370371</v>
      </c>
      <c r="B191" s="14">
        <v>428751288</v>
      </c>
    </row>
    <row r="192" spans="1:2" x14ac:dyDescent="0.25">
      <c r="A192" s="15">
        <v>45701.283506944441</v>
      </c>
      <c r="B192" s="14">
        <v>428751297</v>
      </c>
    </row>
    <row r="193" spans="1:2" x14ac:dyDescent="0.25">
      <c r="A193" s="15">
        <v>45701.283518518518</v>
      </c>
      <c r="B193" s="14">
        <v>428751308</v>
      </c>
    </row>
    <row r="194" spans="1:2" x14ac:dyDescent="0.25">
      <c r="A194" s="15">
        <v>45701.283530092594</v>
      </c>
      <c r="B194" s="14">
        <v>428751319</v>
      </c>
    </row>
    <row r="195" spans="1:2" x14ac:dyDescent="0.25">
      <c r="A195" s="15">
        <v>45701.283541666664</v>
      </c>
      <c r="B195" s="14">
        <v>428751331</v>
      </c>
    </row>
    <row r="196" spans="1:2" x14ac:dyDescent="0.25">
      <c r="A196" s="15">
        <v>45701.283553240741</v>
      </c>
      <c r="B196" s="14">
        <v>428751345</v>
      </c>
    </row>
    <row r="197" spans="1:2" x14ac:dyDescent="0.25">
      <c r="A197" s="15">
        <v>45701.283564814818</v>
      </c>
      <c r="B197" s="14">
        <v>428751357</v>
      </c>
    </row>
    <row r="198" spans="1:2" x14ac:dyDescent="0.25">
      <c r="A198" s="15">
        <v>45701.283576388887</v>
      </c>
      <c r="B198" s="14">
        <v>428751370</v>
      </c>
    </row>
    <row r="199" spans="1:2" x14ac:dyDescent="0.25">
      <c r="A199" s="15">
        <v>45701.283587962964</v>
      </c>
      <c r="B199" s="14">
        <v>428751384</v>
      </c>
    </row>
    <row r="200" spans="1:2" x14ac:dyDescent="0.25">
      <c r="A200" s="15">
        <v>45701.283599537041</v>
      </c>
      <c r="B200" s="14">
        <v>428751398</v>
      </c>
    </row>
    <row r="201" spans="1:2" x14ac:dyDescent="0.25">
      <c r="A201" s="15">
        <v>45701.28361111111</v>
      </c>
      <c r="B201" s="14">
        <v>428751413</v>
      </c>
    </row>
    <row r="202" spans="1:2" x14ac:dyDescent="0.25">
      <c r="A202" s="15">
        <v>45701.28361111111</v>
      </c>
      <c r="B202" s="14">
        <v>428751414</v>
      </c>
    </row>
    <row r="203" spans="1:2" x14ac:dyDescent="0.25">
      <c r="A203" s="15">
        <v>45701.283622685187</v>
      </c>
      <c r="B203" s="14">
        <v>428751428</v>
      </c>
    </row>
    <row r="204" spans="1:2" x14ac:dyDescent="0.25">
      <c r="A204" s="15">
        <v>45701.283622685187</v>
      </c>
      <c r="B204" s="14">
        <v>428751442</v>
      </c>
    </row>
    <row r="205" spans="1:2" x14ac:dyDescent="0.25">
      <c r="A205" s="15">
        <v>45701.283645833333</v>
      </c>
      <c r="B205" s="14">
        <v>428751458</v>
      </c>
    </row>
    <row r="206" spans="1:2" x14ac:dyDescent="0.25">
      <c r="A206" s="15">
        <v>45701.28365740741</v>
      </c>
      <c r="B206" s="14">
        <v>428751473</v>
      </c>
    </row>
    <row r="207" spans="1:2" x14ac:dyDescent="0.25">
      <c r="A207" s="15">
        <v>45701.28365740741</v>
      </c>
      <c r="B207" s="14">
        <v>428751475</v>
      </c>
    </row>
    <row r="208" spans="1:2" x14ac:dyDescent="0.25">
      <c r="A208" s="15">
        <v>45701.283668981479</v>
      </c>
      <c r="B208" s="14">
        <v>428751490</v>
      </c>
    </row>
    <row r="209" spans="1:2" x14ac:dyDescent="0.25">
      <c r="A209" s="15">
        <v>45701.283668981479</v>
      </c>
      <c r="B209" s="14">
        <v>428751505</v>
      </c>
    </row>
    <row r="210" spans="1:2" x14ac:dyDescent="0.25">
      <c r="A210" s="15">
        <v>45701.283680555556</v>
      </c>
      <c r="B210" s="14">
        <v>428751507</v>
      </c>
    </row>
    <row r="211" spans="1:2" x14ac:dyDescent="0.25">
      <c r="A211" s="15">
        <v>45701.283692129633</v>
      </c>
      <c r="B211" s="14">
        <v>428751521</v>
      </c>
    </row>
    <row r="212" spans="1:2" x14ac:dyDescent="0.25">
      <c r="A212" s="15">
        <v>45701.283703703702</v>
      </c>
      <c r="B212" s="14">
        <v>428751537</v>
      </c>
    </row>
    <row r="213" spans="1:2" x14ac:dyDescent="0.25">
      <c r="A213" s="15">
        <v>45701.283715277779</v>
      </c>
      <c r="B213" s="14">
        <v>428751553</v>
      </c>
    </row>
    <row r="214" spans="1:2" x14ac:dyDescent="0.25">
      <c r="A214" s="15">
        <v>45701.283726851849</v>
      </c>
      <c r="B214" s="14">
        <v>428751567</v>
      </c>
    </row>
    <row r="215" spans="1:2" x14ac:dyDescent="0.25">
      <c r="A215" s="15">
        <v>45701.283738425926</v>
      </c>
      <c r="B215" s="14">
        <v>428751583</v>
      </c>
    </row>
    <row r="216" spans="1:2" x14ac:dyDescent="0.25">
      <c r="A216" s="15">
        <v>45701.283750000002</v>
      </c>
      <c r="B216" s="14">
        <v>428751599</v>
      </c>
    </row>
    <row r="217" spans="1:2" x14ac:dyDescent="0.25">
      <c r="A217" s="15">
        <v>45701.283761574072</v>
      </c>
      <c r="B217" s="14">
        <v>428751609</v>
      </c>
    </row>
    <row r="218" spans="1:2" x14ac:dyDescent="0.25">
      <c r="A218" s="15">
        <v>45701.283761574072</v>
      </c>
      <c r="B218" s="14">
        <v>428751614</v>
      </c>
    </row>
    <row r="219" spans="1:2" x14ac:dyDescent="0.25">
      <c r="A219" s="15">
        <v>45701.283761574072</v>
      </c>
      <c r="B219" s="14">
        <v>428751626</v>
      </c>
    </row>
    <row r="220" spans="1:2" x14ac:dyDescent="0.25">
      <c r="A220" s="15">
        <v>45701.283773148149</v>
      </c>
      <c r="B220" s="14">
        <v>428751633</v>
      </c>
    </row>
    <row r="221" spans="1:2" x14ac:dyDescent="0.25">
      <c r="A221" s="15">
        <v>45701.283773148149</v>
      </c>
      <c r="B221" s="14">
        <v>428751644</v>
      </c>
    </row>
    <row r="222" spans="1:2" x14ac:dyDescent="0.25">
      <c r="A222" s="15">
        <v>45701.283784722225</v>
      </c>
      <c r="B222" s="14">
        <v>428751645</v>
      </c>
    </row>
    <row r="223" spans="1:2" x14ac:dyDescent="0.25">
      <c r="A223" s="15">
        <v>45701.283796296295</v>
      </c>
      <c r="B223" s="14">
        <v>428751660</v>
      </c>
    </row>
    <row r="224" spans="1:2" x14ac:dyDescent="0.25">
      <c r="A224" s="15">
        <v>45701.283796296295</v>
      </c>
      <c r="B224" s="14">
        <v>428751661</v>
      </c>
    </row>
    <row r="225" spans="1:2" x14ac:dyDescent="0.25">
      <c r="A225" s="15">
        <v>45701.283807870372</v>
      </c>
      <c r="B225" s="14">
        <v>428751677</v>
      </c>
    </row>
    <row r="226" spans="1:2" x14ac:dyDescent="0.25">
      <c r="A226" s="15">
        <v>45701.283807870372</v>
      </c>
      <c r="B226" s="14">
        <v>428751690</v>
      </c>
    </row>
    <row r="227" spans="1:2" x14ac:dyDescent="0.25">
      <c r="A227" s="15">
        <v>45701.283831018518</v>
      </c>
      <c r="B227" s="14">
        <v>428751705</v>
      </c>
    </row>
    <row r="228" spans="1:2" x14ac:dyDescent="0.25">
      <c r="A228" s="15">
        <v>45701.283842592595</v>
      </c>
      <c r="B228" s="14">
        <v>428751719</v>
      </c>
    </row>
    <row r="229" spans="1:2" x14ac:dyDescent="0.25">
      <c r="A229" s="15">
        <v>45701.283854166664</v>
      </c>
      <c r="B229" s="14">
        <v>428751731</v>
      </c>
    </row>
    <row r="230" spans="1:2" x14ac:dyDescent="0.25">
      <c r="A230" s="15">
        <v>45701.283865740741</v>
      </c>
      <c r="B230" s="14">
        <v>428751744</v>
      </c>
    </row>
    <row r="231" spans="1:2" x14ac:dyDescent="0.25">
      <c r="A231" s="15">
        <v>45701.283877314818</v>
      </c>
      <c r="B231" s="14">
        <v>428751757</v>
      </c>
    </row>
    <row r="232" spans="1:2" x14ac:dyDescent="0.25">
      <c r="A232" s="15">
        <v>45701.283888888887</v>
      </c>
      <c r="B232" s="14">
        <v>428751770</v>
      </c>
    </row>
    <row r="233" spans="1:2" x14ac:dyDescent="0.25">
      <c r="A233" s="15">
        <v>45701.283900462964</v>
      </c>
      <c r="B233" s="14">
        <v>428751781</v>
      </c>
    </row>
    <row r="234" spans="1:2" x14ac:dyDescent="0.25">
      <c r="A234" s="15">
        <v>45701.283912037034</v>
      </c>
      <c r="B234" s="14">
        <v>428751793</v>
      </c>
    </row>
    <row r="235" spans="1:2" x14ac:dyDescent="0.25">
      <c r="A235" s="15">
        <v>45701.28392361111</v>
      </c>
      <c r="B235" s="14">
        <v>428751805</v>
      </c>
    </row>
    <row r="236" spans="1:2" x14ac:dyDescent="0.25">
      <c r="A236" s="15">
        <v>45701.283935185187</v>
      </c>
      <c r="B236" s="14">
        <v>428751815</v>
      </c>
    </row>
    <row r="237" spans="1:2" x14ac:dyDescent="0.25">
      <c r="A237" s="15">
        <v>45701.283946759257</v>
      </c>
      <c r="B237" s="14">
        <v>428751825</v>
      </c>
    </row>
    <row r="238" spans="1:2" x14ac:dyDescent="0.25">
      <c r="A238" s="15">
        <v>45701.283958333333</v>
      </c>
      <c r="B238" s="14">
        <v>428751836</v>
      </c>
    </row>
    <row r="239" spans="1:2" x14ac:dyDescent="0.25">
      <c r="A239" s="15">
        <v>45701.28396990741</v>
      </c>
      <c r="B239" s="14">
        <v>428751844</v>
      </c>
    </row>
    <row r="240" spans="1:2" x14ac:dyDescent="0.25">
      <c r="A240" s="15">
        <v>45701.28398148148</v>
      </c>
      <c r="B240" s="14">
        <v>428751852</v>
      </c>
    </row>
    <row r="241" spans="1:2" x14ac:dyDescent="0.25">
      <c r="A241" s="15">
        <v>45701.283993055556</v>
      </c>
      <c r="B241" s="14">
        <v>428751860</v>
      </c>
    </row>
    <row r="242" spans="1:2" x14ac:dyDescent="0.25">
      <c r="A242" s="15">
        <v>45701.284004629626</v>
      </c>
      <c r="B242" s="14">
        <v>428751866</v>
      </c>
    </row>
    <row r="243" spans="1:2" x14ac:dyDescent="0.25">
      <c r="A243" s="15">
        <v>45701.284016203703</v>
      </c>
      <c r="B243" s="14">
        <v>428751871</v>
      </c>
    </row>
    <row r="244" spans="1:2" x14ac:dyDescent="0.25">
      <c r="A244" s="15">
        <v>45701.28402777778</v>
      </c>
      <c r="B244" s="14">
        <v>428751876</v>
      </c>
    </row>
    <row r="245" spans="1:2" x14ac:dyDescent="0.25">
      <c r="A245" s="15">
        <v>45701.284039351849</v>
      </c>
      <c r="B245" s="14">
        <v>428751880</v>
      </c>
    </row>
    <row r="246" spans="1:2" x14ac:dyDescent="0.25">
      <c r="A246" s="15">
        <v>45701.284050925926</v>
      </c>
      <c r="B246" s="14">
        <v>428751883</v>
      </c>
    </row>
    <row r="247" spans="1:2" x14ac:dyDescent="0.25">
      <c r="A247" s="15">
        <v>45701.284062500003</v>
      </c>
      <c r="B247" s="14">
        <v>428751885</v>
      </c>
    </row>
    <row r="248" spans="1:2" x14ac:dyDescent="0.25">
      <c r="A248" s="15">
        <v>45701.284074074072</v>
      </c>
      <c r="B248" s="14">
        <v>428751888</v>
      </c>
    </row>
    <row r="249" spans="1:2" x14ac:dyDescent="0.25">
      <c r="A249" s="15">
        <v>45701.284074074072</v>
      </c>
      <c r="B249" s="14">
        <v>428751890</v>
      </c>
    </row>
    <row r="250" spans="1:2" x14ac:dyDescent="0.25">
      <c r="A250" s="15">
        <v>45701.284097222226</v>
      </c>
      <c r="B250" s="14">
        <v>428751892</v>
      </c>
    </row>
    <row r="251" spans="1:2" x14ac:dyDescent="0.25">
      <c r="A251" s="15">
        <v>45701.284097222226</v>
      </c>
      <c r="B251" s="14">
        <v>428751893</v>
      </c>
    </row>
    <row r="252" spans="1:2" x14ac:dyDescent="0.25">
      <c r="A252" s="15">
        <v>45701.284120370372</v>
      </c>
      <c r="B252" s="14">
        <v>428751895</v>
      </c>
    </row>
    <row r="253" spans="1:2" x14ac:dyDescent="0.25">
      <c r="A253" s="15">
        <v>45701.284131944441</v>
      </c>
      <c r="B253" s="14">
        <v>428751896</v>
      </c>
    </row>
    <row r="254" spans="1:2" x14ac:dyDescent="0.25">
      <c r="A254" s="15">
        <v>45701.284143518518</v>
      </c>
      <c r="B254" s="14">
        <v>428751898</v>
      </c>
    </row>
    <row r="255" spans="1:2" x14ac:dyDescent="0.25">
      <c r="A255" s="15">
        <v>45701.284155092595</v>
      </c>
      <c r="B255" s="14">
        <v>428751899</v>
      </c>
    </row>
    <row r="256" spans="1:2" x14ac:dyDescent="0.25">
      <c r="A256" s="15">
        <v>45701.284166666665</v>
      </c>
      <c r="B256" s="14">
        <v>428751901</v>
      </c>
    </row>
    <row r="257" spans="1:2" x14ac:dyDescent="0.25">
      <c r="A257" s="15">
        <v>45701.284178240741</v>
      </c>
      <c r="B257" s="14">
        <v>428751902</v>
      </c>
    </row>
    <row r="258" spans="1:2" x14ac:dyDescent="0.25">
      <c r="A258" s="15">
        <v>45701.284178240741</v>
      </c>
      <c r="B258" s="14">
        <v>428751903</v>
      </c>
    </row>
    <row r="259" spans="1:2" x14ac:dyDescent="0.25">
      <c r="A259" s="15">
        <v>45701.284201388888</v>
      </c>
      <c r="B259" s="14">
        <v>428751904</v>
      </c>
    </row>
    <row r="260" spans="1:2" x14ac:dyDescent="0.25">
      <c r="A260" s="15">
        <v>45701.284456018519</v>
      </c>
      <c r="B260" s="14">
        <v>428751905</v>
      </c>
    </row>
    <row r="261" spans="1:2" x14ac:dyDescent="0.25">
      <c r="A261" s="15">
        <v>45701.284467592595</v>
      </c>
      <c r="B261" s="14">
        <v>428751908</v>
      </c>
    </row>
    <row r="262" spans="1:2" x14ac:dyDescent="0.25">
      <c r="A262" s="15">
        <v>45701.284479166665</v>
      </c>
      <c r="B262" s="14">
        <v>428751911</v>
      </c>
    </row>
    <row r="263" spans="1:2" x14ac:dyDescent="0.25">
      <c r="A263" s="15">
        <v>45701.284490740742</v>
      </c>
      <c r="B263" s="14">
        <v>428751916</v>
      </c>
    </row>
    <row r="264" spans="1:2" x14ac:dyDescent="0.25">
      <c r="A264" s="15">
        <v>45701.284490740742</v>
      </c>
      <c r="B264" s="14">
        <v>428751922</v>
      </c>
    </row>
    <row r="265" spans="1:2" x14ac:dyDescent="0.25">
      <c r="A265" s="15">
        <v>45701.284502314818</v>
      </c>
      <c r="B265" s="14">
        <v>428751925</v>
      </c>
    </row>
    <row r="266" spans="1:2" x14ac:dyDescent="0.25">
      <c r="A266" s="15">
        <v>45701.284513888888</v>
      </c>
      <c r="B266" s="14">
        <v>428751928</v>
      </c>
    </row>
    <row r="267" spans="1:2" x14ac:dyDescent="0.25">
      <c r="A267" s="15">
        <v>45701.284525462965</v>
      </c>
      <c r="B267" s="14">
        <v>428751937</v>
      </c>
    </row>
    <row r="268" spans="1:2" x14ac:dyDescent="0.25">
      <c r="A268" s="15">
        <v>45701.284537037034</v>
      </c>
      <c r="B268" s="14">
        <v>428751945</v>
      </c>
    </row>
    <row r="269" spans="1:2" x14ac:dyDescent="0.25">
      <c r="A269" s="15">
        <v>45701.284548611111</v>
      </c>
      <c r="B269" s="14">
        <v>428751957</v>
      </c>
    </row>
    <row r="270" spans="1:2" x14ac:dyDescent="0.25">
      <c r="A270" s="15">
        <v>45701.284560185188</v>
      </c>
      <c r="B270" s="14">
        <v>428751968</v>
      </c>
    </row>
    <row r="271" spans="1:2" x14ac:dyDescent="0.25">
      <c r="A271" s="15">
        <v>45701.284571759257</v>
      </c>
      <c r="B271" s="14">
        <v>428751978</v>
      </c>
    </row>
    <row r="272" spans="1:2" x14ac:dyDescent="0.25">
      <c r="A272" s="15">
        <v>45701.284583333334</v>
      </c>
      <c r="B272" s="14">
        <v>428751991</v>
      </c>
    </row>
    <row r="273" spans="1:2" x14ac:dyDescent="0.25">
      <c r="A273" s="15">
        <v>45701.284583333334</v>
      </c>
      <c r="B273" s="14">
        <v>428752003</v>
      </c>
    </row>
    <row r="274" spans="1:2" x14ac:dyDescent="0.25">
      <c r="A274" s="15">
        <v>45701.28460648148</v>
      </c>
      <c r="B274" s="14">
        <v>428752016</v>
      </c>
    </row>
    <row r="275" spans="1:2" x14ac:dyDescent="0.25">
      <c r="A275" s="15">
        <v>45701.284618055557</v>
      </c>
      <c r="B275" s="14">
        <v>428752030</v>
      </c>
    </row>
    <row r="276" spans="1:2" x14ac:dyDescent="0.25">
      <c r="A276" s="15">
        <v>45701.284629629627</v>
      </c>
      <c r="B276" s="14">
        <v>428752043</v>
      </c>
    </row>
    <row r="277" spans="1:2" x14ac:dyDescent="0.25">
      <c r="A277" s="15">
        <v>45701.284629629627</v>
      </c>
      <c r="B277" s="14">
        <v>428752058</v>
      </c>
    </row>
    <row r="278" spans="1:2" x14ac:dyDescent="0.25">
      <c r="A278" s="15">
        <v>45701.284641203703</v>
      </c>
      <c r="B278" s="14">
        <v>428752059</v>
      </c>
    </row>
    <row r="279" spans="1:2" x14ac:dyDescent="0.25">
      <c r="A279" s="15">
        <v>45701.28465277778</v>
      </c>
      <c r="B279" s="14">
        <v>428752074</v>
      </c>
    </row>
    <row r="280" spans="1:2" x14ac:dyDescent="0.25">
      <c r="A280" s="15">
        <v>45701.28466435185</v>
      </c>
      <c r="B280" s="14">
        <v>428752088</v>
      </c>
    </row>
    <row r="281" spans="1:2" x14ac:dyDescent="0.25">
      <c r="A281" s="15">
        <v>45701.284675925926</v>
      </c>
      <c r="B281" s="14">
        <v>428752102</v>
      </c>
    </row>
    <row r="282" spans="1:2" x14ac:dyDescent="0.25">
      <c r="A282" s="15">
        <v>45701.284687500003</v>
      </c>
      <c r="B282" s="14">
        <v>428752117</v>
      </c>
    </row>
    <row r="283" spans="1:2" x14ac:dyDescent="0.25">
      <c r="A283" s="15">
        <v>45701.284699074073</v>
      </c>
      <c r="B283" s="14">
        <v>428752132</v>
      </c>
    </row>
    <row r="284" spans="1:2" x14ac:dyDescent="0.25">
      <c r="A284" s="15">
        <v>45701.284710648149</v>
      </c>
      <c r="B284" s="14">
        <v>428752148</v>
      </c>
    </row>
    <row r="285" spans="1:2" x14ac:dyDescent="0.25">
      <c r="A285" s="15">
        <v>45701.284722222219</v>
      </c>
      <c r="B285" s="14">
        <v>428752161</v>
      </c>
    </row>
    <row r="286" spans="1:2" x14ac:dyDescent="0.25">
      <c r="A286" s="15">
        <v>45701.284733796296</v>
      </c>
      <c r="B286" s="14">
        <v>428752176</v>
      </c>
    </row>
    <row r="287" spans="1:2" x14ac:dyDescent="0.25">
      <c r="A287" s="15">
        <v>45701.284733796296</v>
      </c>
      <c r="B287" s="14">
        <v>428752178</v>
      </c>
    </row>
    <row r="288" spans="1:2" x14ac:dyDescent="0.25">
      <c r="A288" s="15">
        <v>45701.284745370373</v>
      </c>
      <c r="B288" s="14">
        <v>428752192</v>
      </c>
    </row>
    <row r="289" spans="1:2" x14ac:dyDescent="0.25">
      <c r="A289" s="15">
        <v>45701.284745370373</v>
      </c>
      <c r="B289" s="14">
        <v>428752193</v>
      </c>
    </row>
    <row r="290" spans="1:2" x14ac:dyDescent="0.25">
      <c r="A290" s="15">
        <v>45701.284756944442</v>
      </c>
      <c r="B290" s="14">
        <v>428752207</v>
      </c>
    </row>
    <row r="291" spans="1:2" x14ac:dyDescent="0.25">
      <c r="A291" s="15">
        <v>45701.284756944442</v>
      </c>
      <c r="B291" s="14">
        <v>428752216</v>
      </c>
    </row>
    <row r="292" spans="1:2" x14ac:dyDescent="0.25">
      <c r="A292" s="15">
        <v>45701.284768518519</v>
      </c>
      <c r="B292" s="14">
        <v>428752220</v>
      </c>
    </row>
    <row r="293" spans="1:2" x14ac:dyDescent="0.25">
      <c r="A293" s="15">
        <v>45701.284768518519</v>
      </c>
      <c r="B293" s="14">
        <v>428752223</v>
      </c>
    </row>
    <row r="294" spans="1:2" x14ac:dyDescent="0.25">
      <c r="A294" s="15">
        <v>45701.284780092596</v>
      </c>
      <c r="B294" s="14">
        <v>428752238</v>
      </c>
    </row>
    <row r="295" spans="1:2" x14ac:dyDescent="0.25">
      <c r="A295" s="15">
        <v>45701.284791666665</v>
      </c>
      <c r="B295" s="14">
        <v>428752252</v>
      </c>
    </row>
    <row r="296" spans="1:2" x14ac:dyDescent="0.25">
      <c r="A296" s="15">
        <v>45701.284803240742</v>
      </c>
      <c r="B296" s="14">
        <v>428752268</v>
      </c>
    </row>
    <row r="297" spans="1:2" x14ac:dyDescent="0.25">
      <c r="A297" s="15">
        <v>45701.284814814811</v>
      </c>
      <c r="B297" s="14">
        <v>428752282</v>
      </c>
    </row>
    <row r="298" spans="1:2" x14ac:dyDescent="0.25">
      <c r="A298" s="15">
        <v>45701.284826388888</v>
      </c>
      <c r="B298" s="14">
        <v>428752298</v>
      </c>
    </row>
    <row r="299" spans="1:2" x14ac:dyDescent="0.25">
      <c r="A299" s="15">
        <v>45701.284837962965</v>
      </c>
      <c r="B299" s="14">
        <v>428752311</v>
      </c>
    </row>
    <row r="300" spans="1:2" x14ac:dyDescent="0.25">
      <c r="A300" s="15">
        <v>45701.284849537034</v>
      </c>
      <c r="B300" s="14">
        <v>428752325</v>
      </c>
    </row>
    <row r="301" spans="1:2" x14ac:dyDescent="0.25">
      <c r="A301" s="15">
        <v>45701.284849537034</v>
      </c>
      <c r="B301" s="14">
        <v>428752332</v>
      </c>
    </row>
    <row r="302" spans="1:2" x14ac:dyDescent="0.25">
      <c r="A302" s="15">
        <v>45701.284849537034</v>
      </c>
      <c r="B302" s="14">
        <v>428752336</v>
      </c>
    </row>
    <row r="303" spans="1:2" x14ac:dyDescent="0.25">
      <c r="A303" s="15">
        <v>45701.284861111111</v>
      </c>
      <c r="B303" s="14">
        <v>428752343</v>
      </c>
    </row>
    <row r="304" spans="1:2" x14ac:dyDescent="0.25">
      <c r="A304" s="15">
        <v>45701.284861111111</v>
      </c>
      <c r="B304" s="14">
        <v>428752346</v>
      </c>
    </row>
    <row r="305" spans="1:2" x14ac:dyDescent="0.25">
      <c r="A305" s="15">
        <v>45701.284872685188</v>
      </c>
      <c r="B305" s="14">
        <v>428752355</v>
      </c>
    </row>
    <row r="306" spans="1:2" x14ac:dyDescent="0.25">
      <c r="A306" s="15">
        <v>45701.284872685188</v>
      </c>
      <c r="B306" s="14">
        <v>428752356</v>
      </c>
    </row>
    <row r="307" spans="1:2" x14ac:dyDescent="0.25">
      <c r="A307" s="15">
        <v>45701.284872685188</v>
      </c>
      <c r="B307" s="14">
        <v>428752369</v>
      </c>
    </row>
    <row r="308" spans="1:2" x14ac:dyDescent="0.25">
      <c r="A308" s="15">
        <v>45701.284895833334</v>
      </c>
      <c r="B308" s="14">
        <v>428752383</v>
      </c>
    </row>
    <row r="309" spans="1:2" x14ac:dyDescent="0.25">
      <c r="A309" s="15">
        <v>45701.284895833334</v>
      </c>
      <c r="B309" s="14">
        <v>428752392</v>
      </c>
    </row>
    <row r="310" spans="1:2" x14ac:dyDescent="0.25">
      <c r="A310" s="15">
        <v>45701.284907407404</v>
      </c>
      <c r="B310" s="14">
        <v>428752397</v>
      </c>
    </row>
    <row r="311" spans="1:2" x14ac:dyDescent="0.25">
      <c r="A311" s="15">
        <v>45701.284907407404</v>
      </c>
      <c r="B311" s="14">
        <v>428752404</v>
      </c>
    </row>
    <row r="312" spans="1:2" x14ac:dyDescent="0.25">
      <c r="A312" s="15">
        <v>45701.284918981481</v>
      </c>
      <c r="B312" s="14">
        <v>428752411</v>
      </c>
    </row>
    <row r="313" spans="1:2" x14ac:dyDescent="0.25">
      <c r="A313" s="15">
        <v>45701.284918981481</v>
      </c>
      <c r="B313" s="14">
        <v>428752413</v>
      </c>
    </row>
    <row r="314" spans="1:2" x14ac:dyDescent="0.25">
      <c r="A314" s="15">
        <v>45701.284930555557</v>
      </c>
      <c r="B314" s="14">
        <v>428752425</v>
      </c>
    </row>
    <row r="315" spans="1:2" x14ac:dyDescent="0.25">
      <c r="A315" s="15">
        <v>45701.284942129627</v>
      </c>
      <c r="B315" s="14">
        <v>428752440</v>
      </c>
    </row>
    <row r="316" spans="1:2" x14ac:dyDescent="0.25">
      <c r="A316" s="15">
        <v>45701.284942129627</v>
      </c>
      <c r="B316" s="14">
        <v>428752443</v>
      </c>
    </row>
    <row r="317" spans="1:2" x14ac:dyDescent="0.25">
      <c r="A317" s="15">
        <v>45701.284953703704</v>
      </c>
      <c r="B317" s="14">
        <v>428752452</v>
      </c>
    </row>
    <row r="318" spans="1:2" x14ac:dyDescent="0.25">
      <c r="A318" s="15">
        <v>45701.28496527778</v>
      </c>
      <c r="B318" s="14">
        <v>428752464</v>
      </c>
    </row>
    <row r="319" spans="1:2" x14ac:dyDescent="0.25">
      <c r="A319" s="15">
        <v>45701.28496527778</v>
      </c>
      <c r="B319" s="14">
        <v>428752466</v>
      </c>
    </row>
    <row r="320" spans="1:2" x14ac:dyDescent="0.25">
      <c r="A320" s="15">
        <v>45701.28497685185</v>
      </c>
      <c r="B320" s="14">
        <v>428752478</v>
      </c>
    </row>
    <row r="321" spans="1:2" x14ac:dyDescent="0.25">
      <c r="A321" s="15">
        <v>45701.284988425927</v>
      </c>
      <c r="B321" s="14">
        <v>428752491</v>
      </c>
    </row>
    <row r="322" spans="1:2" x14ac:dyDescent="0.25">
      <c r="A322" s="15">
        <v>45701.284988425927</v>
      </c>
      <c r="B322" s="14">
        <v>428752497</v>
      </c>
    </row>
    <row r="323" spans="1:2" x14ac:dyDescent="0.25">
      <c r="A323" s="15">
        <v>45701.285000000003</v>
      </c>
      <c r="B323" s="14">
        <v>428752504</v>
      </c>
    </row>
    <row r="324" spans="1:2" x14ac:dyDescent="0.25">
      <c r="A324" s="15">
        <v>45701.285011574073</v>
      </c>
      <c r="B324" s="14">
        <v>428752515</v>
      </c>
    </row>
    <row r="325" spans="1:2" x14ac:dyDescent="0.25">
      <c r="A325" s="15">
        <v>45701.285011574073</v>
      </c>
      <c r="B325" s="14">
        <v>428752517</v>
      </c>
    </row>
    <row r="326" spans="1:2" x14ac:dyDescent="0.25">
      <c r="A326" s="15">
        <v>45701.285011574073</v>
      </c>
      <c r="B326" s="14">
        <v>428752522</v>
      </c>
    </row>
    <row r="327" spans="1:2" x14ac:dyDescent="0.25">
      <c r="A327" s="15">
        <v>45701.28502314815</v>
      </c>
      <c r="B327" s="14">
        <v>428752526</v>
      </c>
    </row>
    <row r="328" spans="1:2" x14ac:dyDescent="0.25">
      <c r="A328" s="15">
        <v>45701.28502314815</v>
      </c>
      <c r="B328" s="14">
        <v>428752530</v>
      </c>
    </row>
    <row r="329" spans="1:2" x14ac:dyDescent="0.25">
      <c r="A329" s="15">
        <v>45701.285034722219</v>
      </c>
      <c r="B329" s="14">
        <v>428752542</v>
      </c>
    </row>
    <row r="330" spans="1:2" x14ac:dyDescent="0.25">
      <c r="A330" s="15">
        <v>45701.285034722219</v>
      </c>
      <c r="B330" s="14">
        <v>428752543</v>
      </c>
    </row>
    <row r="331" spans="1:2" x14ac:dyDescent="0.25">
      <c r="A331" s="15">
        <v>45701.285046296296</v>
      </c>
      <c r="B331" s="14">
        <v>428752555</v>
      </c>
    </row>
    <row r="332" spans="1:2" x14ac:dyDescent="0.25">
      <c r="A332" s="15">
        <v>45701.285046296296</v>
      </c>
      <c r="B332" s="14">
        <v>428752565</v>
      </c>
    </row>
    <row r="333" spans="1:2" x14ac:dyDescent="0.25">
      <c r="A333" s="15">
        <v>45701.285069444442</v>
      </c>
      <c r="B333" s="14">
        <v>428752577</v>
      </c>
    </row>
    <row r="334" spans="1:2" x14ac:dyDescent="0.25">
      <c r="A334" s="15">
        <v>45701.285069444442</v>
      </c>
      <c r="B334" s="14">
        <v>428752587</v>
      </c>
    </row>
    <row r="335" spans="1:2" x14ac:dyDescent="0.25">
      <c r="A335" s="15">
        <v>45701.285081018519</v>
      </c>
      <c r="B335" s="14">
        <v>428752589</v>
      </c>
    </row>
    <row r="336" spans="1:2" x14ac:dyDescent="0.25">
      <c r="A336" s="15">
        <v>45701.285081018519</v>
      </c>
      <c r="B336" s="14">
        <v>428752591</v>
      </c>
    </row>
    <row r="337" spans="1:2" x14ac:dyDescent="0.25">
      <c r="A337" s="15">
        <v>45701.285081018519</v>
      </c>
      <c r="B337" s="14">
        <v>428752598</v>
      </c>
    </row>
    <row r="338" spans="1:2" x14ac:dyDescent="0.25">
      <c r="A338" s="15">
        <v>45701.285104166665</v>
      </c>
      <c r="B338" s="14">
        <v>428752608</v>
      </c>
    </row>
    <row r="339" spans="1:2" x14ac:dyDescent="0.25">
      <c r="A339" s="15">
        <v>45701.285115740742</v>
      </c>
      <c r="B339" s="14">
        <v>428752617</v>
      </c>
    </row>
    <row r="340" spans="1:2" x14ac:dyDescent="0.25">
      <c r="A340" s="15">
        <v>45701.285127314812</v>
      </c>
      <c r="B340" s="14">
        <v>428752627</v>
      </c>
    </row>
    <row r="341" spans="1:2" x14ac:dyDescent="0.25">
      <c r="A341" s="15">
        <v>45701.285138888888</v>
      </c>
      <c r="B341" s="14">
        <v>428752638</v>
      </c>
    </row>
    <row r="342" spans="1:2" x14ac:dyDescent="0.25">
      <c r="A342" s="15">
        <v>45701.285150462965</v>
      </c>
      <c r="B342" s="14">
        <v>428752648</v>
      </c>
    </row>
    <row r="343" spans="1:2" x14ac:dyDescent="0.25">
      <c r="A343" s="15">
        <v>45701.285162037035</v>
      </c>
      <c r="B343" s="14">
        <v>428752659</v>
      </c>
    </row>
    <row r="344" spans="1:2" x14ac:dyDescent="0.25">
      <c r="A344" s="15">
        <v>45701.285173611112</v>
      </c>
      <c r="B344" s="14">
        <v>428752668</v>
      </c>
    </row>
    <row r="345" spans="1:2" x14ac:dyDescent="0.25">
      <c r="A345" s="15">
        <v>45701.285185185188</v>
      </c>
      <c r="B345" s="14">
        <v>428752679</v>
      </c>
    </row>
    <row r="346" spans="1:2" x14ac:dyDescent="0.25">
      <c r="A346" s="15">
        <v>45701.285185185188</v>
      </c>
      <c r="B346" s="14">
        <v>428752690</v>
      </c>
    </row>
    <row r="347" spans="1:2" x14ac:dyDescent="0.25">
      <c r="A347" s="15">
        <v>45701.285196759258</v>
      </c>
      <c r="B347" s="14">
        <v>428752701</v>
      </c>
    </row>
    <row r="348" spans="1:2" x14ac:dyDescent="0.25">
      <c r="A348" s="15">
        <v>45701.285219907404</v>
      </c>
      <c r="B348" s="14">
        <v>428752711</v>
      </c>
    </row>
    <row r="349" spans="1:2" x14ac:dyDescent="0.25">
      <c r="A349" s="15">
        <v>45701.285231481481</v>
      </c>
      <c r="B349" s="14">
        <v>428752722</v>
      </c>
    </row>
    <row r="350" spans="1:2" x14ac:dyDescent="0.25">
      <c r="A350" s="15">
        <v>45701.285231481481</v>
      </c>
      <c r="B350" s="14">
        <v>428752724</v>
      </c>
    </row>
    <row r="351" spans="1:2" x14ac:dyDescent="0.25">
      <c r="A351" s="15">
        <v>45701.285243055558</v>
      </c>
      <c r="B351" s="14">
        <v>428752733</v>
      </c>
    </row>
    <row r="352" spans="1:2" x14ac:dyDescent="0.25">
      <c r="A352" s="15">
        <v>45701.285254629627</v>
      </c>
      <c r="B352" s="14">
        <v>428752744</v>
      </c>
    </row>
    <row r="353" spans="1:2" x14ac:dyDescent="0.25">
      <c r="A353" s="15">
        <v>45701.285254629627</v>
      </c>
      <c r="B353" s="14">
        <v>428752745</v>
      </c>
    </row>
    <row r="354" spans="1:2" x14ac:dyDescent="0.25">
      <c r="A354" s="15">
        <v>45701.285266203704</v>
      </c>
      <c r="B354" s="14">
        <v>428752755</v>
      </c>
    </row>
    <row r="355" spans="1:2" x14ac:dyDescent="0.25">
      <c r="A355" s="15">
        <v>45701.285266203704</v>
      </c>
      <c r="B355" s="14">
        <v>428752756</v>
      </c>
    </row>
    <row r="356" spans="1:2" x14ac:dyDescent="0.25">
      <c r="A356" s="15">
        <v>45701.285277777781</v>
      </c>
      <c r="B356" s="14">
        <v>428752765</v>
      </c>
    </row>
    <row r="357" spans="1:2" x14ac:dyDescent="0.25">
      <c r="A357" s="15">
        <v>45701.285277777781</v>
      </c>
      <c r="B357" s="14">
        <v>428752766</v>
      </c>
    </row>
    <row r="358" spans="1:2" x14ac:dyDescent="0.25">
      <c r="A358" s="15">
        <v>45701.28528935185</v>
      </c>
      <c r="B358" s="14">
        <v>428752777</v>
      </c>
    </row>
    <row r="359" spans="1:2" x14ac:dyDescent="0.25">
      <c r="A359" s="15">
        <v>45701.285300925927</v>
      </c>
      <c r="B359" s="14">
        <v>428752787</v>
      </c>
    </row>
    <row r="360" spans="1:2" x14ac:dyDescent="0.25">
      <c r="A360" s="15">
        <v>45701.285312499997</v>
      </c>
      <c r="B360" s="14">
        <v>428752798</v>
      </c>
    </row>
    <row r="361" spans="1:2" x14ac:dyDescent="0.25">
      <c r="A361" s="15">
        <v>45701.285312499997</v>
      </c>
      <c r="B361" s="14">
        <v>428752802</v>
      </c>
    </row>
    <row r="362" spans="1:2" x14ac:dyDescent="0.25">
      <c r="A362" s="15">
        <v>45701.285324074073</v>
      </c>
      <c r="B362" s="14">
        <v>428752808</v>
      </c>
    </row>
    <row r="363" spans="1:2" x14ac:dyDescent="0.25">
      <c r="A363" s="15">
        <v>45701.285324074073</v>
      </c>
      <c r="B363" s="14">
        <v>428752811</v>
      </c>
    </row>
    <row r="364" spans="1:2" x14ac:dyDescent="0.25">
      <c r="A364" s="15">
        <v>45701.285324074073</v>
      </c>
      <c r="B364" s="14">
        <v>428752814</v>
      </c>
    </row>
    <row r="365" spans="1:2" x14ac:dyDescent="0.25">
      <c r="A365" s="15">
        <v>45701.28533564815</v>
      </c>
      <c r="B365" s="14">
        <v>428752819</v>
      </c>
    </row>
    <row r="366" spans="1:2" x14ac:dyDescent="0.25">
      <c r="A366" s="15">
        <v>45701.28534722222</v>
      </c>
      <c r="B366" s="14">
        <v>428752828</v>
      </c>
    </row>
    <row r="367" spans="1:2" x14ac:dyDescent="0.25">
      <c r="A367" s="15">
        <v>45701.285358796296</v>
      </c>
      <c r="B367" s="14">
        <v>428752838</v>
      </c>
    </row>
    <row r="368" spans="1:2" x14ac:dyDescent="0.25">
      <c r="A368" s="15">
        <v>45701.285370370373</v>
      </c>
      <c r="B368" s="14">
        <v>428752847</v>
      </c>
    </row>
    <row r="369" spans="1:2" x14ac:dyDescent="0.25">
      <c r="A369" s="15">
        <v>45701.285381944443</v>
      </c>
      <c r="B369" s="14">
        <v>428752855</v>
      </c>
    </row>
    <row r="370" spans="1:2" x14ac:dyDescent="0.25">
      <c r="A370" s="15">
        <v>45701.285393518519</v>
      </c>
      <c r="B370" s="14">
        <v>428752863</v>
      </c>
    </row>
    <row r="371" spans="1:2" x14ac:dyDescent="0.25">
      <c r="A371" s="15">
        <v>45701.285393518519</v>
      </c>
      <c r="B371" s="14">
        <v>428752871</v>
      </c>
    </row>
    <row r="372" spans="1:2" x14ac:dyDescent="0.25">
      <c r="A372" s="15">
        <v>45701.285416666666</v>
      </c>
      <c r="B372" s="14">
        <v>428752878</v>
      </c>
    </row>
    <row r="373" spans="1:2" x14ac:dyDescent="0.25">
      <c r="A373" s="15">
        <v>45701.285428240742</v>
      </c>
      <c r="B373" s="14">
        <v>428752884</v>
      </c>
    </row>
    <row r="374" spans="1:2" x14ac:dyDescent="0.25">
      <c r="A374" s="15">
        <v>45701.285439814812</v>
      </c>
      <c r="B374" s="14">
        <v>428752890</v>
      </c>
    </row>
    <row r="375" spans="1:2" x14ac:dyDescent="0.25">
      <c r="A375" s="15">
        <v>45701.285439814812</v>
      </c>
      <c r="B375" s="14">
        <v>428752895</v>
      </c>
    </row>
    <row r="376" spans="1:2" x14ac:dyDescent="0.25">
      <c r="A376" s="15">
        <v>45701.285451388889</v>
      </c>
      <c r="B376" s="14">
        <v>428752896</v>
      </c>
    </row>
    <row r="377" spans="1:2" x14ac:dyDescent="0.25">
      <c r="A377" s="15">
        <v>45701.285451388889</v>
      </c>
      <c r="B377" s="14">
        <v>428752897</v>
      </c>
    </row>
    <row r="378" spans="1:2" x14ac:dyDescent="0.25">
      <c r="A378" s="15">
        <v>45701.285462962966</v>
      </c>
      <c r="B378" s="14">
        <v>428752901</v>
      </c>
    </row>
    <row r="379" spans="1:2" x14ac:dyDescent="0.25">
      <c r="A379" s="15">
        <v>45701.285474537035</v>
      </c>
      <c r="B379" s="14">
        <v>428752906</v>
      </c>
    </row>
    <row r="380" spans="1:2" x14ac:dyDescent="0.25">
      <c r="A380" s="15">
        <v>45701.285486111112</v>
      </c>
      <c r="B380" s="14">
        <v>428752911</v>
      </c>
    </row>
    <row r="381" spans="1:2" x14ac:dyDescent="0.25">
      <c r="A381" s="15">
        <v>45701.285497685189</v>
      </c>
      <c r="B381" s="14">
        <v>428752916</v>
      </c>
    </row>
    <row r="382" spans="1:2" x14ac:dyDescent="0.25">
      <c r="A382" s="15">
        <v>45701.285497685189</v>
      </c>
      <c r="B382" s="14">
        <v>428752917</v>
      </c>
    </row>
    <row r="383" spans="1:2" x14ac:dyDescent="0.25">
      <c r="A383" s="15">
        <v>45701.285509259258</v>
      </c>
      <c r="B383" s="14">
        <v>428752922</v>
      </c>
    </row>
    <row r="384" spans="1:2" x14ac:dyDescent="0.25">
      <c r="A384" s="15">
        <v>45701.285520833335</v>
      </c>
      <c r="B384" s="14">
        <v>428752928</v>
      </c>
    </row>
    <row r="385" spans="1:2" x14ac:dyDescent="0.25">
      <c r="A385" s="15">
        <v>45701.285532407404</v>
      </c>
      <c r="B385" s="14">
        <v>428752934</v>
      </c>
    </row>
    <row r="386" spans="1:2" x14ac:dyDescent="0.25">
      <c r="A386" s="15">
        <v>45701.285543981481</v>
      </c>
      <c r="B386" s="14">
        <v>428752940</v>
      </c>
    </row>
    <row r="387" spans="1:2" x14ac:dyDescent="0.25">
      <c r="A387" s="15">
        <v>45701.285543981481</v>
      </c>
      <c r="B387" s="14">
        <v>428752942</v>
      </c>
    </row>
    <row r="388" spans="1:2" x14ac:dyDescent="0.25">
      <c r="A388" s="15">
        <v>45701.285555555558</v>
      </c>
      <c r="B388" s="14">
        <v>428752947</v>
      </c>
    </row>
    <row r="389" spans="1:2" x14ac:dyDescent="0.25">
      <c r="A389" s="15">
        <v>45701.285555555558</v>
      </c>
      <c r="B389" s="14">
        <v>428752949</v>
      </c>
    </row>
    <row r="390" spans="1:2" x14ac:dyDescent="0.25">
      <c r="A390" s="15">
        <v>45701.285555555558</v>
      </c>
      <c r="B390" s="14">
        <v>428752952</v>
      </c>
    </row>
    <row r="391" spans="1:2" x14ac:dyDescent="0.25">
      <c r="A391" s="15">
        <v>45701.285578703704</v>
      </c>
      <c r="B391" s="14">
        <v>428752958</v>
      </c>
    </row>
    <row r="392" spans="1:2" x14ac:dyDescent="0.25">
      <c r="A392" s="15">
        <v>45701.285590277781</v>
      </c>
      <c r="B392" s="14">
        <v>428752963</v>
      </c>
    </row>
    <row r="393" spans="1:2" x14ac:dyDescent="0.25">
      <c r="A393" s="15">
        <v>45701.285601851851</v>
      </c>
      <c r="B393" s="14">
        <v>428752967</v>
      </c>
    </row>
    <row r="394" spans="1:2" x14ac:dyDescent="0.25">
      <c r="A394" s="15">
        <v>45701.285601851851</v>
      </c>
      <c r="B394" s="14">
        <v>428752970</v>
      </c>
    </row>
    <row r="395" spans="1:2" x14ac:dyDescent="0.25">
      <c r="A395" s="15">
        <v>45701.285624999997</v>
      </c>
      <c r="B395" s="14">
        <v>428752973</v>
      </c>
    </row>
    <row r="396" spans="1:2" x14ac:dyDescent="0.25">
      <c r="A396" s="15">
        <v>45701.285624999997</v>
      </c>
      <c r="B396" s="14">
        <v>428752975</v>
      </c>
    </row>
    <row r="397" spans="1:2" x14ac:dyDescent="0.25">
      <c r="A397" s="15">
        <v>45701.285636574074</v>
      </c>
      <c r="B397" s="14">
        <v>428752977</v>
      </c>
    </row>
    <row r="398" spans="1:2" x14ac:dyDescent="0.25">
      <c r="A398" s="15">
        <v>45701.285914351851</v>
      </c>
      <c r="B398" s="14">
        <v>428752978</v>
      </c>
    </row>
    <row r="399" spans="1:2" x14ac:dyDescent="0.25">
      <c r="A399" s="15">
        <v>45701.285937499997</v>
      </c>
      <c r="B399" s="14">
        <v>428752979</v>
      </c>
    </row>
    <row r="400" spans="1:2" x14ac:dyDescent="0.25">
      <c r="A400" s="15">
        <v>45701.285937499997</v>
      </c>
      <c r="B400" s="14">
        <v>428752982</v>
      </c>
    </row>
    <row r="401" spans="1:2" x14ac:dyDescent="0.25">
      <c r="A401" s="15">
        <v>45701.285949074074</v>
      </c>
      <c r="B401" s="14">
        <v>428752986</v>
      </c>
    </row>
    <row r="402" spans="1:2" x14ac:dyDescent="0.25">
      <c r="A402" s="15">
        <v>45701.285960648151</v>
      </c>
      <c r="B402" s="14">
        <v>428752988</v>
      </c>
    </row>
    <row r="403" spans="1:2" x14ac:dyDescent="0.25">
      <c r="A403" s="15">
        <v>45701.28597222222</v>
      </c>
      <c r="B403" s="14">
        <v>428752991</v>
      </c>
    </row>
    <row r="404" spans="1:2" x14ac:dyDescent="0.25">
      <c r="A404" s="15">
        <v>45701.285983796297</v>
      </c>
      <c r="B404" s="14">
        <v>428752997</v>
      </c>
    </row>
    <row r="405" spans="1:2" x14ac:dyDescent="0.25">
      <c r="A405" s="15">
        <v>45701.285995370374</v>
      </c>
      <c r="B405" s="14">
        <v>428753004</v>
      </c>
    </row>
    <row r="406" spans="1:2" x14ac:dyDescent="0.25">
      <c r="A406" s="15">
        <v>45701.286006944443</v>
      </c>
      <c r="B406" s="14">
        <v>428753011</v>
      </c>
    </row>
    <row r="407" spans="1:2" x14ac:dyDescent="0.25">
      <c r="A407" s="15">
        <v>45701.286006944443</v>
      </c>
      <c r="B407" s="14">
        <v>428753019</v>
      </c>
    </row>
    <row r="408" spans="1:2" x14ac:dyDescent="0.25">
      <c r="A408" s="15">
        <v>45701.28601851852</v>
      </c>
      <c r="B408" s="14">
        <v>428753020</v>
      </c>
    </row>
    <row r="409" spans="1:2" x14ac:dyDescent="0.25">
      <c r="A409" s="15">
        <v>45701.286030092589</v>
      </c>
      <c r="B409" s="14">
        <v>428753030</v>
      </c>
    </row>
    <row r="410" spans="1:2" x14ac:dyDescent="0.25">
      <c r="A410" s="15">
        <v>45701.286041666666</v>
      </c>
      <c r="B410" s="14">
        <v>428753040</v>
      </c>
    </row>
    <row r="411" spans="1:2" x14ac:dyDescent="0.25">
      <c r="A411" s="15">
        <v>45701.286041666666</v>
      </c>
      <c r="B411" s="14">
        <v>428753047</v>
      </c>
    </row>
    <row r="412" spans="1:2" x14ac:dyDescent="0.25">
      <c r="A412" s="15">
        <v>45701.286053240743</v>
      </c>
      <c r="B412" s="14">
        <v>428753049</v>
      </c>
    </row>
    <row r="413" spans="1:2" x14ac:dyDescent="0.25">
      <c r="A413" s="15">
        <v>45701.286053240743</v>
      </c>
      <c r="B413" s="14">
        <v>428753057</v>
      </c>
    </row>
    <row r="414" spans="1:2" x14ac:dyDescent="0.25">
      <c r="A414" s="15">
        <v>45701.286076388889</v>
      </c>
      <c r="B414" s="14">
        <v>428753066</v>
      </c>
    </row>
    <row r="415" spans="1:2" x14ac:dyDescent="0.25">
      <c r="A415" s="15">
        <v>45701.286076388889</v>
      </c>
      <c r="B415" s="14">
        <v>428753067</v>
      </c>
    </row>
    <row r="416" spans="1:2" x14ac:dyDescent="0.25">
      <c r="A416" s="15">
        <v>45701.286087962966</v>
      </c>
      <c r="B416" s="14">
        <v>428753076</v>
      </c>
    </row>
    <row r="417" spans="1:2" x14ac:dyDescent="0.25">
      <c r="A417" s="15">
        <v>45701.286099537036</v>
      </c>
      <c r="B417" s="14">
        <v>428753084</v>
      </c>
    </row>
    <row r="418" spans="1:2" x14ac:dyDescent="0.25">
      <c r="A418" s="15">
        <v>45701.286099537036</v>
      </c>
      <c r="B418" s="14">
        <v>428753085</v>
      </c>
    </row>
    <row r="419" spans="1:2" x14ac:dyDescent="0.25">
      <c r="A419" s="15">
        <v>45701.286111111112</v>
      </c>
      <c r="B419" s="14">
        <v>428753093</v>
      </c>
    </row>
    <row r="420" spans="1:2" x14ac:dyDescent="0.25">
      <c r="A420" s="15">
        <v>45701.286111111112</v>
      </c>
      <c r="B420" s="14">
        <v>428753103</v>
      </c>
    </row>
    <row r="421" spans="1:2" x14ac:dyDescent="0.25">
      <c r="A421" s="15">
        <v>45701.286134259259</v>
      </c>
      <c r="B421" s="14">
        <v>428753112</v>
      </c>
    </row>
    <row r="422" spans="1:2" x14ac:dyDescent="0.25">
      <c r="A422" s="15">
        <v>45701.286134259259</v>
      </c>
      <c r="B422" s="14">
        <v>428753122</v>
      </c>
    </row>
    <row r="423" spans="1:2" x14ac:dyDescent="0.25">
      <c r="A423" s="15">
        <v>45701.286157407405</v>
      </c>
      <c r="B423" s="14">
        <v>428753132</v>
      </c>
    </row>
    <row r="424" spans="1:2" x14ac:dyDescent="0.25">
      <c r="A424" s="15">
        <v>45701.286168981482</v>
      </c>
      <c r="B424" s="14">
        <v>428753140</v>
      </c>
    </row>
    <row r="425" spans="1:2" x14ac:dyDescent="0.25">
      <c r="A425" s="15">
        <v>45701.286180555559</v>
      </c>
      <c r="B425" s="14">
        <v>428753150</v>
      </c>
    </row>
    <row r="426" spans="1:2" x14ac:dyDescent="0.25">
      <c r="A426" s="15">
        <v>45701.286192129628</v>
      </c>
      <c r="B426" s="14">
        <v>428753159</v>
      </c>
    </row>
    <row r="427" spans="1:2" x14ac:dyDescent="0.25">
      <c r="A427" s="15">
        <v>45701.286203703705</v>
      </c>
      <c r="B427" s="14">
        <v>428753169</v>
      </c>
    </row>
    <row r="428" spans="1:2" x14ac:dyDescent="0.25">
      <c r="A428" s="15">
        <v>45701.286215277774</v>
      </c>
      <c r="B428" s="14">
        <v>428753177</v>
      </c>
    </row>
    <row r="429" spans="1:2" x14ac:dyDescent="0.25">
      <c r="A429" s="15">
        <v>45701.286226851851</v>
      </c>
      <c r="B429" s="14">
        <v>428753186</v>
      </c>
    </row>
    <row r="430" spans="1:2" x14ac:dyDescent="0.25">
      <c r="A430" s="15">
        <v>45701.286238425928</v>
      </c>
      <c r="B430" s="14">
        <v>428753195</v>
      </c>
    </row>
    <row r="431" spans="1:2" x14ac:dyDescent="0.25">
      <c r="A431" s="15">
        <v>45701.286249999997</v>
      </c>
      <c r="B431" s="14">
        <v>428753204</v>
      </c>
    </row>
    <row r="432" spans="1:2" x14ac:dyDescent="0.25">
      <c r="A432" s="15">
        <v>45701.286261574074</v>
      </c>
      <c r="B432" s="14">
        <v>428753213</v>
      </c>
    </row>
    <row r="433" spans="1:2" x14ac:dyDescent="0.25">
      <c r="A433" s="15">
        <v>45701.286273148151</v>
      </c>
      <c r="B433" s="14">
        <v>428753222</v>
      </c>
    </row>
    <row r="434" spans="1:2" x14ac:dyDescent="0.25">
      <c r="A434" s="15">
        <v>45701.28628472222</v>
      </c>
      <c r="B434" s="14">
        <v>428753231</v>
      </c>
    </row>
    <row r="435" spans="1:2" x14ac:dyDescent="0.25">
      <c r="A435" s="15">
        <v>45701.286296296297</v>
      </c>
      <c r="B435" s="14">
        <v>428753240</v>
      </c>
    </row>
    <row r="436" spans="1:2" x14ac:dyDescent="0.25">
      <c r="A436" s="15">
        <v>45701.286307870374</v>
      </c>
      <c r="B436" s="14">
        <v>428753249</v>
      </c>
    </row>
    <row r="437" spans="1:2" x14ac:dyDescent="0.25">
      <c r="A437" s="15">
        <v>45701.286319444444</v>
      </c>
      <c r="B437" s="14">
        <v>428753258</v>
      </c>
    </row>
    <row r="438" spans="1:2" x14ac:dyDescent="0.25">
      <c r="A438" s="15">
        <v>45701.28633101852</v>
      </c>
      <c r="B438" s="14">
        <v>428753268</v>
      </c>
    </row>
    <row r="439" spans="1:2" x14ac:dyDescent="0.25">
      <c r="A439" s="15">
        <v>45701.28634259259</v>
      </c>
      <c r="B439" s="14">
        <v>428753277</v>
      </c>
    </row>
    <row r="440" spans="1:2" x14ac:dyDescent="0.25">
      <c r="A440" s="15">
        <v>45701.28634259259</v>
      </c>
      <c r="B440" s="14">
        <v>428753286</v>
      </c>
    </row>
    <row r="441" spans="1:2" x14ac:dyDescent="0.25">
      <c r="A441" s="15">
        <v>45701.286365740743</v>
      </c>
      <c r="B441" s="14">
        <v>428753297</v>
      </c>
    </row>
    <row r="442" spans="1:2" x14ac:dyDescent="0.25">
      <c r="A442" s="15">
        <v>45701.286377314813</v>
      </c>
      <c r="B442" s="14">
        <v>428753309</v>
      </c>
    </row>
    <row r="443" spans="1:2" x14ac:dyDescent="0.25">
      <c r="A443" s="15">
        <v>45701.28638888889</v>
      </c>
      <c r="B443" s="14">
        <v>428753318</v>
      </c>
    </row>
    <row r="444" spans="1:2" x14ac:dyDescent="0.25">
      <c r="A444" s="15">
        <v>45701.28638888889</v>
      </c>
      <c r="B444" s="14">
        <v>428753323</v>
      </c>
    </row>
    <row r="445" spans="1:2" x14ac:dyDescent="0.25">
      <c r="A445" s="15">
        <v>45701.286400462966</v>
      </c>
      <c r="B445" s="14">
        <v>428753337</v>
      </c>
    </row>
    <row r="446" spans="1:2" x14ac:dyDescent="0.25">
      <c r="A446" s="15">
        <v>45701.286412037036</v>
      </c>
      <c r="B446" s="14">
        <v>428753351</v>
      </c>
    </row>
    <row r="447" spans="1:2" x14ac:dyDescent="0.25">
      <c r="A447" s="15">
        <v>45701.286423611113</v>
      </c>
      <c r="B447" s="14">
        <v>428753366</v>
      </c>
    </row>
    <row r="448" spans="1:2" x14ac:dyDescent="0.25">
      <c r="A448" s="15">
        <v>45701.286435185182</v>
      </c>
      <c r="B448" s="14">
        <v>428753380</v>
      </c>
    </row>
    <row r="449" spans="1:2" x14ac:dyDescent="0.25">
      <c r="A449" s="15">
        <v>45701.286446759259</v>
      </c>
      <c r="B449" s="14">
        <v>428753395</v>
      </c>
    </row>
    <row r="450" spans="1:2" x14ac:dyDescent="0.25">
      <c r="A450" s="15">
        <v>45701.286446759259</v>
      </c>
      <c r="B450" s="14">
        <v>428753402</v>
      </c>
    </row>
    <row r="451" spans="1:2" x14ac:dyDescent="0.25">
      <c r="A451" s="15">
        <v>45701.286458333336</v>
      </c>
      <c r="B451" s="14">
        <v>428753410</v>
      </c>
    </row>
    <row r="452" spans="1:2" x14ac:dyDescent="0.25">
      <c r="A452" s="15">
        <v>45701.286469907405</v>
      </c>
      <c r="B452" s="14">
        <v>428753425</v>
      </c>
    </row>
    <row r="453" spans="1:2" x14ac:dyDescent="0.25">
      <c r="A453" s="15">
        <v>45701.286481481482</v>
      </c>
      <c r="B453" s="14">
        <v>428753439</v>
      </c>
    </row>
    <row r="454" spans="1:2" x14ac:dyDescent="0.25">
      <c r="A454" s="15">
        <v>45701.286481481482</v>
      </c>
      <c r="B454" s="14">
        <v>428753443</v>
      </c>
    </row>
    <row r="455" spans="1:2" x14ac:dyDescent="0.25">
      <c r="A455" s="15">
        <v>45701.286481481482</v>
      </c>
      <c r="B455" s="14">
        <v>428753449</v>
      </c>
    </row>
    <row r="456" spans="1:2" x14ac:dyDescent="0.25">
      <c r="A456" s="15">
        <v>45701.286493055559</v>
      </c>
      <c r="B456" s="14">
        <v>428753453</v>
      </c>
    </row>
    <row r="457" spans="1:2" x14ac:dyDescent="0.25">
      <c r="A457" s="15">
        <v>45701.286493055559</v>
      </c>
      <c r="B457" s="14">
        <v>428753454</v>
      </c>
    </row>
    <row r="458" spans="1:2" x14ac:dyDescent="0.25">
      <c r="A458" s="15">
        <v>45701.286504629628</v>
      </c>
      <c r="B458" s="14">
        <v>428753468</v>
      </c>
    </row>
    <row r="459" spans="1:2" x14ac:dyDescent="0.25">
      <c r="A459" s="15">
        <v>45701.286516203705</v>
      </c>
      <c r="B459" s="14">
        <v>428753482</v>
      </c>
    </row>
    <row r="460" spans="1:2" x14ac:dyDescent="0.25">
      <c r="A460" s="15">
        <v>45701.286527777775</v>
      </c>
      <c r="B460" s="14">
        <v>428753496</v>
      </c>
    </row>
    <row r="461" spans="1:2" x14ac:dyDescent="0.25">
      <c r="A461" s="15">
        <v>45701.286527777775</v>
      </c>
      <c r="B461" s="14">
        <v>428753508</v>
      </c>
    </row>
    <row r="462" spans="1:2" x14ac:dyDescent="0.25">
      <c r="A462" s="15">
        <v>45701.286550925928</v>
      </c>
      <c r="B462" s="14">
        <v>428753520</v>
      </c>
    </row>
    <row r="463" spans="1:2" x14ac:dyDescent="0.25">
      <c r="A463" s="15">
        <v>45701.286562499998</v>
      </c>
      <c r="B463" s="14">
        <v>428753533</v>
      </c>
    </row>
    <row r="464" spans="1:2" x14ac:dyDescent="0.25">
      <c r="A464" s="15">
        <v>45701.286562499998</v>
      </c>
      <c r="B464" s="14">
        <v>428753544</v>
      </c>
    </row>
    <row r="465" spans="1:2" x14ac:dyDescent="0.25">
      <c r="A465" s="15">
        <v>45701.286585648151</v>
      </c>
      <c r="B465" s="14">
        <v>428753555</v>
      </c>
    </row>
    <row r="466" spans="1:2" x14ac:dyDescent="0.25">
      <c r="A466" s="15">
        <v>45701.286585648151</v>
      </c>
      <c r="B466" s="14">
        <v>428753563</v>
      </c>
    </row>
    <row r="467" spans="1:2" x14ac:dyDescent="0.25">
      <c r="A467" s="15">
        <v>45701.286608796298</v>
      </c>
      <c r="B467" s="14">
        <v>428753573</v>
      </c>
    </row>
    <row r="468" spans="1:2" x14ac:dyDescent="0.25">
      <c r="A468" s="15">
        <v>45701.286620370367</v>
      </c>
      <c r="B468" s="14">
        <v>428753580</v>
      </c>
    </row>
    <row r="469" spans="1:2" x14ac:dyDescent="0.25">
      <c r="A469" s="15">
        <v>45701.286631944444</v>
      </c>
      <c r="B469" s="14">
        <v>428753587</v>
      </c>
    </row>
    <row r="470" spans="1:2" x14ac:dyDescent="0.25">
      <c r="A470" s="15">
        <v>45701.286643518521</v>
      </c>
      <c r="B470" s="14">
        <v>428753594</v>
      </c>
    </row>
    <row r="471" spans="1:2" x14ac:dyDescent="0.25">
      <c r="A471" s="15">
        <v>45701.28665509259</v>
      </c>
      <c r="B471" s="14">
        <v>428753600</v>
      </c>
    </row>
    <row r="472" spans="1:2" x14ac:dyDescent="0.25">
      <c r="A472" s="15">
        <v>45701.286666666667</v>
      </c>
      <c r="B472" s="14">
        <v>428753606</v>
      </c>
    </row>
    <row r="473" spans="1:2" x14ac:dyDescent="0.25">
      <c r="A473" s="15">
        <v>45701.286666666667</v>
      </c>
      <c r="B473" s="14">
        <v>428753611</v>
      </c>
    </row>
    <row r="474" spans="1:2" x14ac:dyDescent="0.25">
      <c r="A474" s="15">
        <v>45701.286689814813</v>
      </c>
      <c r="B474" s="14">
        <v>428753616</v>
      </c>
    </row>
    <row r="475" spans="1:2" x14ac:dyDescent="0.25">
      <c r="A475" s="15">
        <v>45701.28670138889</v>
      </c>
      <c r="B475" s="14">
        <v>428753620</v>
      </c>
    </row>
    <row r="476" spans="1:2" x14ac:dyDescent="0.25">
      <c r="A476" s="15">
        <v>45701.286712962959</v>
      </c>
      <c r="B476" s="14">
        <v>428753623</v>
      </c>
    </row>
    <row r="477" spans="1:2" x14ac:dyDescent="0.25">
      <c r="A477" s="15">
        <v>45701.286724537036</v>
      </c>
      <c r="B477" s="14">
        <v>428753625</v>
      </c>
    </row>
    <row r="478" spans="1:2" x14ac:dyDescent="0.25">
      <c r="A478" s="15">
        <v>45701.286736111113</v>
      </c>
      <c r="B478" s="14">
        <v>428753627</v>
      </c>
    </row>
    <row r="479" spans="1:2" x14ac:dyDescent="0.25">
      <c r="A479" s="15">
        <v>45701.286759259259</v>
      </c>
      <c r="B479" s="14">
        <v>428753628</v>
      </c>
    </row>
    <row r="480" spans="1:2" x14ac:dyDescent="0.25">
      <c r="A480" s="15">
        <v>45701.28701388889</v>
      </c>
      <c r="B480" s="14">
        <v>428753629</v>
      </c>
    </row>
    <row r="481" spans="1:2" x14ac:dyDescent="0.25">
      <c r="A481" s="15">
        <v>45701.28701388889</v>
      </c>
      <c r="B481" s="14">
        <v>428753631</v>
      </c>
    </row>
    <row r="482" spans="1:2" x14ac:dyDescent="0.25">
      <c r="A482" s="15">
        <v>45701.287037037036</v>
      </c>
      <c r="B482" s="14">
        <v>428753634</v>
      </c>
    </row>
    <row r="483" spans="1:2" x14ac:dyDescent="0.25">
      <c r="A483" s="15">
        <v>45701.287048611113</v>
      </c>
      <c r="B483" s="14">
        <v>428753639</v>
      </c>
    </row>
    <row r="484" spans="1:2" x14ac:dyDescent="0.25">
      <c r="A484" s="15">
        <v>45701.287060185183</v>
      </c>
      <c r="B484" s="14">
        <v>428753644</v>
      </c>
    </row>
    <row r="485" spans="1:2" x14ac:dyDescent="0.25">
      <c r="A485" s="15">
        <v>45701.287060185183</v>
      </c>
      <c r="B485" s="14">
        <v>428753645</v>
      </c>
    </row>
    <row r="486" spans="1:2" x14ac:dyDescent="0.25">
      <c r="A486" s="15">
        <v>45701.287060185183</v>
      </c>
      <c r="B486" s="14">
        <v>428753651</v>
      </c>
    </row>
    <row r="487" spans="1:2" x14ac:dyDescent="0.25">
      <c r="A487" s="15">
        <v>45701.287083333336</v>
      </c>
      <c r="B487" s="14">
        <v>428753660</v>
      </c>
    </row>
    <row r="488" spans="1:2" x14ac:dyDescent="0.25">
      <c r="A488" s="15">
        <v>45701.287094907406</v>
      </c>
      <c r="B488" s="14">
        <v>428753669</v>
      </c>
    </row>
    <row r="489" spans="1:2" x14ac:dyDescent="0.25">
      <c r="A489" s="15">
        <v>45701.287106481483</v>
      </c>
      <c r="B489" s="14">
        <v>428753679</v>
      </c>
    </row>
    <row r="490" spans="1:2" x14ac:dyDescent="0.25">
      <c r="A490" s="15">
        <v>45701.287106481483</v>
      </c>
      <c r="B490" s="14">
        <v>428753681</v>
      </c>
    </row>
    <row r="491" spans="1:2" x14ac:dyDescent="0.25">
      <c r="A491" s="15">
        <v>45701.287106481483</v>
      </c>
      <c r="B491" s="14">
        <v>428753691</v>
      </c>
    </row>
    <row r="492" spans="1:2" x14ac:dyDescent="0.25">
      <c r="A492" s="15">
        <v>45701.287118055552</v>
      </c>
      <c r="B492" s="14">
        <v>428753692</v>
      </c>
    </row>
    <row r="493" spans="1:2" x14ac:dyDescent="0.25">
      <c r="A493" s="15">
        <v>45701.287129629629</v>
      </c>
      <c r="B493" s="14">
        <v>428753704</v>
      </c>
    </row>
    <row r="494" spans="1:2" x14ac:dyDescent="0.25">
      <c r="A494" s="15">
        <v>45701.287141203706</v>
      </c>
      <c r="B494" s="14">
        <v>428753716</v>
      </c>
    </row>
    <row r="495" spans="1:2" x14ac:dyDescent="0.25">
      <c r="A495" s="15">
        <v>45701.287152777775</v>
      </c>
      <c r="B495" s="14">
        <v>428753730</v>
      </c>
    </row>
    <row r="496" spans="1:2" x14ac:dyDescent="0.25">
      <c r="A496" s="15">
        <v>45701.287152777775</v>
      </c>
      <c r="B496" s="14">
        <v>428753744</v>
      </c>
    </row>
    <row r="497" spans="1:2" x14ac:dyDescent="0.25">
      <c r="A497" s="15">
        <v>45701.287164351852</v>
      </c>
      <c r="B497" s="14">
        <v>428753745</v>
      </c>
    </row>
    <row r="498" spans="1:2" x14ac:dyDescent="0.25">
      <c r="A498" s="15">
        <v>45701.287175925929</v>
      </c>
      <c r="B498" s="14">
        <v>428753761</v>
      </c>
    </row>
    <row r="499" spans="1:2" x14ac:dyDescent="0.25">
      <c r="A499" s="15">
        <v>45701.287187499998</v>
      </c>
      <c r="B499" s="14">
        <v>428753776</v>
      </c>
    </row>
    <row r="500" spans="1:2" x14ac:dyDescent="0.25">
      <c r="A500" s="15">
        <v>45701.287199074075</v>
      </c>
      <c r="B500" s="14">
        <v>428753792</v>
      </c>
    </row>
    <row r="501" spans="1:2" x14ac:dyDescent="0.25">
      <c r="A501" s="15">
        <v>45701.287210648145</v>
      </c>
      <c r="B501" s="14">
        <v>428753807</v>
      </c>
    </row>
    <row r="502" spans="1:2" x14ac:dyDescent="0.25">
      <c r="A502" s="15">
        <v>45701.287210648145</v>
      </c>
      <c r="B502" s="14">
        <v>428753823</v>
      </c>
    </row>
    <row r="503" spans="1:2" x14ac:dyDescent="0.25">
      <c r="A503" s="15">
        <v>45701.287233796298</v>
      </c>
      <c r="B503" s="14">
        <v>428753840</v>
      </c>
    </row>
    <row r="504" spans="1:2" x14ac:dyDescent="0.25">
      <c r="A504" s="15">
        <v>45701.287245370368</v>
      </c>
      <c r="B504" s="14">
        <v>428753857</v>
      </c>
    </row>
    <row r="505" spans="1:2" x14ac:dyDescent="0.25">
      <c r="A505" s="15">
        <v>45701.287256944444</v>
      </c>
      <c r="B505" s="14">
        <v>428753873</v>
      </c>
    </row>
    <row r="506" spans="1:2" x14ac:dyDescent="0.25">
      <c r="A506" s="15">
        <v>45701.287268518521</v>
      </c>
      <c r="B506" s="14">
        <v>428753889</v>
      </c>
    </row>
    <row r="507" spans="1:2" x14ac:dyDescent="0.25">
      <c r="A507" s="15">
        <v>45701.287268518521</v>
      </c>
      <c r="B507" s="14">
        <v>428753894</v>
      </c>
    </row>
    <row r="508" spans="1:2" x14ac:dyDescent="0.25">
      <c r="A508" s="15">
        <v>45701.287268518521</v>
      </c>
      <c r="B508" s="14">
        <v>428753907</v>
      </c>
    </row>
    <row r="509" spans="1:2" x14ac:dyDescent="0.25">
      <c r="A509" s="15">
        <v>45701.287291666667</v>
      </c>
      <c r="B509" s="14">
        <v>428753923</v>
      </c>
    </row>
    <row r="510" spans="1:2" x14ac:dyDescent="0.25">
      <c r="A510" s="15">
        <v>45701.287303240744</v>
      </c>
      <c r="B510" s="14">
        <v>428753941</v>
      </c>
    </row>
    <row r="511" spans="1:2" x14ac:dyDescent="0.25">
      <c r="A511" s="15">
        <v>45701.287303240744</v>
      </c>
      <c r="B511" s="14">
        <v>428753945</v>
      </c>
    </row>
    <row r="512" spans="1:2" x14ac:dyDescent="0.25">
      <c r="A512" s="15">
        <v>45701.287303240744</v>
      </c>
      <c r="B512" s="14">
        <v>428753950</v>
      </c>
    </row>
    <row r="513" spans="1:2" x14ac:dyDescent="0.25">
      <c r="A513" s="15">
        <v>45701.287314814814</v>
      </c>
      <c r="B513" s="14">
        <v>428753956</v>
      </c>
    </row>
    <row r="514" spans="1:2" x14ac:dyDescent="0.25">
      <c r="A514" s="15">
        <v>45701.287326388891</v>
      </c>
      <c r="B514" s="14">
        <v>428753971</v>
      </c>
    </row>
    <row r="515" spans="1:2" x14ac:dyDescent="0.25">
      <c r="A515" s="15">
        <v>45701.287326388891</v>
      </c>
      <c r="B515" s="14">
        <v>428753988</v>
      </c>
    </row>
    <row r="516" spans="1:2" x14ac:dyDescent="0.25">
      <c r="A516" s="15">
        <v>45701.287349537037</v>
      </c>
      <c r="B516" s="14">
        <v>428754002</v>
      </c>
    </row>
    <row r="517" spans="1:2" x14ac:dyDescent="0.25">
      <c r="A517" s="15">
        <v>45701.287361111114</v>
      </c>
      <c r="B517" s="14">
        <v>428754017</v>
      </c>
    </row>
    <row r="518" spans="1:2" x14ac:dyDescent="0.25">
      <c r="A518" s="15">
        <v>45701.287372685183</v>
      </c>
      <c r="B518" s="14">
        <v>428754032</v>
      </c>
    </row>
    <row r="519" spans="1:2" x14ac:dyDescent="0.25">
      <c r="A519" s="15">
        <v>45701.28738425926</v>
      </c>
      <c r="B519" s="14">
        <v>428754045</v>
      </c>
    </row>
    <row r="520" spans="1:2" x14ac:dyDescent="0.25">
      <c r="A520" s="15">
        <v>45701.287395833337</v>
      </c>
      <c r="B520" s="14">
        <v>428754060</v>
      </c>
    </row>
    <row r="521" spans="1:2" x14ac:dyDescent="0.25">
      <c r="A521" s="15">
        <v>45701.287395833337</v>
      </c>
      <c r="B521" s="14">
        <v>428754063</v>
      </c>
    </row>
    <row r="522" spans="1:2" x14ac:dyDescent="0.25">
      <c r="A522" s="15">
        <v>45701.287395833337</v>
      </c>
      <c r="B522" s="14">
        <v>428754068</v>
      </c>
    </row>
    <row r="523" spans="1:2" x14ac:dyDescent="0.25">
      <c r="A523" s="15">
        <v>45701.287407407406</v>
      </c>
      <c r="B523" s="14">
        <v>428754072</v>
      </c>
    </row>
    <row r="524" spans="1:2" x14ac:dyDescent="0.25">
      <c r="A524" s="15">
        <v>45701.287418981483</v>
      </c>
      <c r="B524" s="14">
        <v>428754085</v>
      </c>
    </row>
    <row r="525" spans="1:2" x14ac:dyDescent="0.25">
      <c r="A525" s="15">
        <v>45701.287418981483</v>
      </c>
      <c r="B525" s="14">
        <v>428754092</v>
      </c>
    </row>
    <row r="526" spans="1:2" x14ac:dyDescent="0.25">
      <c r="A526" s="15">
        <v>45701.287430555552</v>
      </c>
      <c r="B526" s="14">
        <v>428754098</v>
      </c>
    </row>
    <row r="527" spans="1:2" x14ac:dyDescent="0.25">
      <c r="A527" s="15">
        <v>45701.287442129629</v>
      </c>
      <c r="B527" s="14">
        <v>428754112</v>
      </c>
    </row>
    <row r="528" spans="1:2" x14ac:dyDescent="0.25">
      <c r="A528" s="15">
        <v>45701.287453703706</v>
      </c>
      <c r="B528" s="14">
        <v>428754125</v>
      </c>
    </row>
    <row r="529" spans="1:2" x14ac:dyDescent="0.25">
      <c r="A529" s="15">
        <v>45701.287465277775</v>
      </c>
      <c r="B529" s="14">
        <v>428754140</v>
      </c>
    </row>
    <row r="530" spans="1:2" x14ac:dyDescent="0.25">
      <c r="A530" s="15">
        <v>45701.287476851852</v>
      </c>
      <c r="B530" s="14">
        <v>428754155</v>
      </c>
    </row>
    <row r="531" spans="1:2" x14ac:dyDescent="0.25">
      <c r="A531" s="15">
        <v>45701.287488425929</v>
      </c>
      <c r="B531" s="14">
        <v>428754170</v>
      </c>
    </row>
    <row r="532" spans="1:2" x14ac:dyDescent="0.25">
      <c r="A532" s="15">
        <v>45701.287499999999</v>
      </c>
      <c r="B532" s="14">
        <v>428754185</v>
      </c>
    </row>
    <row r="533" spans="1:2" x14ac:dyDescent="0.25">
      <c r="A533" s="15">
        <v>45701.287499999999</v>
      </c>
      <c r="B533" s="14">
        <v>428754201</v>
      </c>
    </row>
    <row r="534" spans="1:2" x14ac:dyDescent="0.25">
      <c r="A534" s="15">
        <v>45701.287511574075</v>
      </c>
      <c r="B534" s="14">
        <v>428754202</v>
      </c>
    </row>
    <row r="535" spans="1:2" x14ac:dyDescent="0.25">
      <c r="A535" s="15">
        <v>45701.287523148145</v>
      </c>
      <c r="B535" s="14">
        <v>428754219</v>
      </c>
    </row>
    <row r="536" spans="1:2" x14ac:dyDescent="0.25">
      <c r="A536" s="15">
        <v>45701.287523148145</v>
      </c>
      <c r="B536" s="14">
        <v>428754220</v>
      </c>
    </row>
    <row r="537" spans="1:2" x14ac:dyDescent="0.25">
      <c r="A537" s="15">
        <v>45701.287523148145</v>
      </c>
      <c r="B537" s="14">
        <v>428754236</v>
      </c>
    </row>
    <row r="538" spans="1:2" x14ac:dyDescent="0.25">
      <c r="A538" s="15">
        <v>45701.287546296298</v>
      </c>
      <c r="B538" s="14">
        <v>428754254</v>
      </c>
    </row>
    <row r="539" spans="1:2" x14ac:dyDescent="0.25">
      <c r="A539" s="15">
        <v>45701.287546296298</v>
      </c>
      <c r="B539" s="14">
        <v>428754255</v>
      </c>
    </row>
    <row r="540" spans="1:2" x14ac:dyDescent="0.25">
      <c r="A540" s="15">
        <v>45701.287557870368</v>
      </c>
      <c r="B540" s="14">
        <v>428754271</v>
      </c>
    </row>
    <row r="541" spans="1:2" x14ac:dyDescent="0.25">
      <c r="A541" s="15">
        <v>45701.287557870368</v>
      </c>
      <c r="B541" s="14">
        <v>428754272</v>
      </c>
    </row>
    <row r="542" spans="1:2" x14ac:dyDescent="0.25">
      <c r="A542" s="15">
        <v>45701.287569444445</v>
      </c>
      <c r="B542" s="14">
        <v>428754289</v>
      </c>
    </row>
    <row r="543" spans="1:2" x14ac:dyDescent="0.25">
      <c r="A543" s="15">
        <v>45701.287581018521</v>
      </c>
      <c r="B543" s="14">
        <v>428754309</v>
      </c>
    </row>
    <row r="544" spans="1:2" x14ac:dyDescent="0.25">
      <c r="A544" s="15">
        <v>45701.287592592591</v>
      </c>
      <c r="B544" s="14">
        <v>428754326</v>
      </c>
    </row>
    <row r="545" spans="1:2" x14ac:dyDescent="0.25">
      <c r="A545" s="15">
        <v>45701.287604166668</v>
      </c>
      <c r="B545" s="14">
        <v>428754344</v>
      </c>
    </row>
    <row r="546" spans="1:2" x14ac:dyDescent="0.25">
      <c r="A546" s="15">
        <v>45701.287615740737</v>
      </c>
      <c r="B546" s="14">
        <v>428754362</v>
      </c>
    </row>
    <row r="547" spans="1:2" x14ac:dyDescent="0.25">
      <c r="A547" s="15">
        <v>45701.287627314814</v>
      </c>
      <c r="B547" s="14">
        <v>428754380</v>
      </c>
    </row>
    <row r="548" spans="1:2" x14ac:dyDescent="0.25">
      <c r="A548" s="15">
        <v>45701.287638888891</v>
      </c>
      <c r="B548" s="14">
        <v>428754399</v>
      </c>
    </row>
    <row r="549" spans="1:2" x14ac:dyDescent="0.25">
      <c r="A549" s="15">
        <v>45701.28765046296</v>
      </c>
      <c r="B549" s="14">
        <v>428754416</v>
      </c>
    </row>
    <row r="550" spans="1:2" x14ac:dyDescent="0.25">
      <c r="A550" s="15">
        <v>45701.287662037037</v>
      </c>
      <c r="B550" s="14">
        <v>428754433</v>
      </c>
    </row>
    <row r="551" spans="1:2" x14ac:dyDescent="0.25">
      <c r="A551" s="15">
        <v>45701.287673611114</v>
      </c>
      <c r="B551" s="14">
        <v>428754452</v>
      </c>
    </row>
    <row r="552" spans="1:2" x14ac:dyDescent="0.25">
      <c r="A552" s="15">
        <v>45701.287685185183</v>
      </c>
      <c r="B552" s="14">
        <v>428754469</v>
      </c>
    </row>
    <row r="553" spans="1:2" x14ac:dyDescent="0.25">
      <c r="A553" s="15">
        <v>45701.28769675926</v>
      </c>
      <c r="B553" s="14">
        <v>428754489</v>
      </c>
    </row>
    <row r="554" spans="1:2" x14ac:dyDescent="0.25">
      <c r="A554" s="15">
        <v>45701.287708333337</v>
      </c>
      <c r="B554" s="14">
        <v>428754506</v>
      </c>
    </row>
    <row r="555" spans="1:2" x14ac:dyDescent="0.25">
      <c r="A555" s="15">
        <v>45701.287708333337</v>
      </c>
      <c r="B555" s="14">
        <v>428754524</v>
      </c>
    </row>
    <row r="556" spans="1:2" x14ac:dyDescent="0.25">
      <c r="A556" s="15">
        <v>45701.287719907406</v>
      </c>
      <c r="B556" s="14">
        <v>428754543</v>
      </c>
    </row>
    <row r="557" spans="1:2" x14ac:dyDescent="0.25">
      <c r="A557" s="15">
        <v>45701.287731481483</v>
      </c>
      <c r="B557" s="14">
        <v>428754544</v>
      </c>
    </row>
    <row r="558" spans="1:2" x14ac:dyDescent="0.25">
      <c r="A558" s="15">
        <v>45701.287743055553</v>
      </c>
      <c r="B558" s="14">
        <v>428754561</v>
      </c>
    </row>
    <row r="559" spans="1:2" x14ac:dyDescent="0.25">
      <c r="A559" s="15">
        <v>45701.287743055553</v>
      </c>
      <c r="B559" s="14">
        <v>428754580</v>
      </c>
    </row>
    <row r="560" spans="1:2" x14ac:dyDescent="0.25">
      <c r="A560" s="15">
        <v>45701.287766203706</v>
      </c>
      <c r="B560" s="14">
        <v>428754599</v>
      </c>
    </row>
    <row r="561" spans="1:2" x14ac:dyDescent="0.25">
      <c r="A561" s="15">
        <v>45701.287766203706</v>
      </c>
      <c r="B561" s="14">
        <v>428754615</v>
      </c>
    </row>
    <row r="562" spans="1:2" x14ac:dyDescent="0.25">
      <c r="A562" s="15">
        <v>45701.287777777776</v>
      </c>
      <c r="B562" s="14">
        <v>428754617</v>
      </c>
    </row>
    <row r="563" spans="1:2" x14ac:dyDescent="0.25">
      <c r="A563" s="15">
        <v>45701.287777777776</v>
      </c>
      <c r="B563" s="14">
        <v>428754621</v>
      </c>
    </row>
    <row r="564" spans="1:2" x14ac:dyDescent="0.25">
      <c r="A564" s="15">
        <v>45701.287789351853</v>
      </c>
      <c r="B564" s="14">
        <v>428754635</v>
      </c>
    </row>
    <row r="565" spans="1:2" x14ac:dyDescent="0.25">
      <c r="A565" s="15">
        <v>45701.287800925929</v>
      </c>
      <c r="B565" s="14">
        <v>428754652</v>
      </c>
    </row>
    <row r="566" spans="1:2" x14ac:dyDescent="0.25">
      <c r="A566" s="15">
        <v>45701.287812499999</v>
      </c>
      <c r="B566" s="14">
        <v>428754669</v>
      </c>
    </row>
    <row r="567" spans="1:2" x14ac:dyDescent="0.25">
      <c r="A567" s="15">
        <v>45701.287812499999</v>
      </c>
      <c r="B567" s="14">
        <v>428754687</v>
      </c>
    </row>
    <row r="568" spans="1:2" x14ac:dyDescent="0.25">
      <c r="A568" s="15">
        <v>45701.287835648145</v>
      </c>
      <c r="B568" s="14">
        <v>428754702</v>
      </c>
    </row>
    <row r="569" spans="1:2" x14ac:dyDescent="0.25">
      <c r="A569" s="15">
        <v>45701.287835648145</v>
      </c>
      <c r="B569" s="14">
        <v>428754719</v>
      </c>
    </row>
    <row r="570" spans="1:2" x14ac:dyDescent="0.25">
      <c r="A570" s="15">
        <v>45701.287847222222</v>
      </c>
      <c r="B570" s="14">
        <v>428754720</v>
      </c>
    </row>
    <row r="571" spans="1:2" x14ac:dyDescent="0.25">
      <c r="A571" s="15">
        <v>45701.287858796299</v>
      </c>
      <c r="B571" s="14">
        <v>428754737</v>
      </c>
    </row>
    <row r="572" spans="1:2" x14ac:dyDescent="0.25">
      <c r="A572" s="15">
        <v>45701.287870370368</v>
      </c>
      <c r="B572" s="14">
        <v>428754752</v>
      </c>
    </row>
    <row r="573" spans="1:2" x14ac:dyDescent="0.25">
      <c r="A573" s="15">
        <v>45701.287881944445</v>
      </c>
      <c r="B573" s="14">
        <v>428754768</v>
      </c>
    </row>
    <row r="574" spans="1:2" x14ac:dyDescent="0.25">
      <c r="A574" s="15">
        <v>45701.287893518522</v>
      </c>
      <c r="B574" s="14">
        <v>428754783</v>
      </c>
    </row>
    <row r="575" spans="1:2" x14ac:dyDescent="0.25">
      <c r="A575" s="15">
        <v>45701.287905092591</v>
      </c>
      <c r="B575" s="14">
        <v>428754797</v>
      </c>
    </row>
    <row r="576" spans="1:2" x14ac:dyDescent="0.25">
      <c r="A576" s="15">
        <v>45701.287905092591</v>
      </c>
      <c r="B576" s="14">
        <v>428754810</v>
      </c>
    </row>
    <row r="577" spans="1:2" x14ac:dyDescent="0.25">
      <c r="A577" s="15">
        <v>45701.287916666668</v>
      </c>
      <c r="B577" s="14">
        <v>428754811</v>
      </c>
    </row>
    <row r="578" spans="1:2" x14ac:dyDescent="0.25">
      <c r="A578" s="15">
        <v>45701.287928240738</v>
      </c>
      <c r="B578" s="14">
        <v>428754823</v>
      </c>
    </row>
    <row r="579" spans="1:2" x14ac:dyDescent="0.25">
      <c r="A579" s="15">
        <v>45701.287939814814</v>
      </c>
      <c r="B579" s="14">
        <v>428754836</v>
      </c>
    </row>
    <row r="580" spans="1:2" x14ac:dyDescent="0.25">
      <c r="A580" s="15">
        <v>45701.287951388891</v>
      </c>
      <c r="B580" s="14">
        <v>428754849</v>
      </c>
    </row>
    <row r="581" spans="1:2" x14ac:dyDescent="0.25">
      <c r="A581" s="15">
        <v>45701.287962962961</v>
      </c>
      <c r="B581" s="14">
        <v>428754860</v>
      </c>
    </row>
    <row r="582" spans="1:2" x14ac:dyDescent="0.25">
      <c r="A582" s="15">
        <v>45701.287962962961</v>
      </c>
      <c r="B582" s="14">
        <v>428754863</v>
      </c>
    </row>
    <row r="583" spans="1:2" x14ac:dyDescent="0.25">
      <c r="A583" s="15">
        <v>45701.287962962961</v>
      </c>
      <c r="B583" s="14">
        <v>428754871</v>
      </c>
    </row>
    <row r="584" spans="1:2" x14ac:dyDescent="0.25">
      <c r="A584" s="15">
        <v>45701.287974537037</v>
      </c>
      <c r="B584" s="14">
        <v>428754872</v>
      </c>
    </row>
    <row r="585" spans="1:2" x14ac:dyDescent="0.25">
      <c r="A585" s="15">
        <v>45701.287986111114</v>
      </c>
      <c r="B585" s="14">
        <v>428754884</v>
      </c>
    </row>
    <row r="586" spans="1:2" x14ac:dyDescent="0.25">
      <c r="A586" s="15">
        <v>45701.287997685184</v>
      </c>
      <c r="B586" s="14">
        <v>428754894</v>
      </c>
    </row>
    <row r="587" spans="1:2" x14ac:dyDescent="0.25">
      <c r="A587" s="15">
        <v>45701.28800925926</v>
      </c>
      <c r="B587" s="14">
        <v>428754905</v>
      </c>
    </row>
    <row r="588" spans="1:2" x14ac:dyDescent="0.25">
      <c r="A588" s="15">
        <v>45701.28800925926</v>
      </c>
      <c r="B588" s="14">
        <v>428754908</v>
      </c>
    </row>
    <row r="589" spans="1:2" x14ac:dyDescent="0.25">
      <c r="A589" s="15">
        <v>45701.28802083333</v>
      </c>
      <c r="B589" s="14">
        <v>428754915</v>
      </c>
    </row>
    <row r="590" spans="1:2" x14ac:dyDescent="0.25">
      <c r="A590" s="15">
        <v>45701.288032407407</v>
      </c>
      <c r="B590" s="14">
        <v>428754924</v>
      </c>
    </row>
    <row r="591" spans="1:2" x14ac:dyDescent="0.25">
      <c r="A591" s="15">
        <v>45701.288043981483</v>
      </c>
      <c r="B591" s="14">
        <v>428754934</v>
      </c>
    </row>
    <row r="592" spans="1:2" x14ac:dyDescent="0.25">
      <c r="A592" s="15">
        <v>45701.288055555553</v>
      </c>
      <c r="B592" s="14">
        <v>428754942</v>
      </c>
    </row>
    <row r="593" spans="1:2" x14ac:dyDescent="0.25">
      <c r="A593" s="15">
        <v>45701.288055555553</v>
      </c>
      <c r="B593" s="14">
        <v>428754949</v>
      </c>
    </row>
    <row r="594" spans="1:2" x14ac:dyDescent="0.25">
      <c r="A594" s="15">
        <v>45701.288078703707</v>
      </c>
      <c r="B594" s="14">
        <v>428754957</v>
      </c>
    </row>
    <row r="595" spans="1:2" x14ac:dyDescent="0.25">
      <c r="A595" s="15">
        <v>45701.288090277776</v>
      </c>
      <c r="B595" s="14">
        <v>428754962</v>
      </c>
    </row>
    <row r="596" spans="1:2" x14ac:dyDescent="0.25">
      <c r="A596" s="15">
        <v>45701.288101851853</v>
      </c>
      <c r="B596" s="14">
        <v>428754967</v>
      </c>
    </row>
    <row r="597" spans="1:2" x14ac:dyDescent="0.25">
      <c r="A597" s="15">
        <v>45701.288113425922</v>
      </c>
      <c r="B597" s="14">
        <v>428754970</v>
      </c>
    </row>
    <row r="598" spans="1:2" x14ac:dyDescent="0.25">
      <c r="A598" s="15">
        <v>45701.288124999999</v>
      </c>
      <c r="B598" s="14">
        <v>428754973</v>
      </c>
    </row>
    <row r="599" spans="1:2" x14ac:dyDescent="0.25">
      <c r="A599" s="15">
        <v>45701.288136574076</v>
      </c>
      <c r="B599" s="14">
        <v>428754974</v>
      </c>
    </row>
    <row r="600" spans="1:2" x14ac:dyDescent="0.25">
      <c r="A600" s="15">
        <v>45701.288148148145</v>
      </c>
      <c r="B600" s="14">
        <v>428754975</v>
      </c>
    </row>
    <row r="601" spans="1:2" x14ac:dyDescent="0.25">
      <c r="A601" s="15">
        <v>45701.288402777776</v>
      </c>
      <c r="B601" s="14">
        <v>428754976</v>
      </c>
    </row>
    <row r="602" spans="1:2" x14ac:dyDescent="0.25">
      <c r="A602" s="15">
        <v>45701.288414351853</v>
      </c>
      <c r="B602" s="14">
        <v>428754978</v>
      </c>
    </row>
    <row r="603" spans="1:2" x14ac:dyDescent="0.25">
      <c r="A603" s="15">
        <v>45701.288425925923</v>
      </c>
      <c r="B603" s="14">
        <v>428754982</v>
      </c>
    </row>
    <row r="604" spans="1:2" x14ac:dyDescent="0.25">
      <c r="A604" s="15">
        <v>45701.288437499999</v>
      </c>
      <c r="B604" s="14">
        <v>428754986</v>
      </c>
    </row>
    <row r="605" spans="1:2" x14ac:dyDescent="0.25">
      <c r="A605" s="15">
        <v>45701.288449074076</v>
      </c>
      <c r="B605" s="14">
        <v>428754992</v>
      </c>
    </row>
    <row r="606" spans="1:2" x14ac:dyDescent="0.25">
      <c r="A606" s="15">
        <v>45701.288460648146</v>
      </c>
      <c r="B606" s="14">
        <v>428754999</v>
      </c>
    </row>
    <row r="607" spans="1:2" x14ac:dyDescent="0.25">
      <c r="A607" s="15">
        <v>45701.288472222222</v>
      </c>
      <c r="B607" s="14">
        <v>428755008</v>
      </c>
    </row>
    <row r="608" spans="1:2" x14ac:dyDescent="0.25">
      <c r="A608" s="15">
        <v>45701.288483796299</v>
      </c>
      <c r="B608" s="14">
        <v>428755017</v>
      </c>
    </row>
    <row r="609" spans="1:2" x14ac:dyDescent="0.25">
      <c r="A609" s="15">
        <v>45701.288495370369</v>
      </c>
      <c r="B609" s="14">
        <v>428755025</v>
      </c>
    </row>
    <row r="610" spans="1:2" x14ac:dyDescent="0.25">
      <c r="A610" s="15">
        <v>45701.288506944446</v>
      </c>
      <c r="B610" s="14">
        <v>428755036</v>
      </c>
    </row>
    <row r="611" spans="1:2" x14ac:dyDescent="0.25">
      <c r="A611" s="15">
        <v>45701.288506944446</v>
      </c>
      <c r="B611" s="14">
        <v>428755039</v>
      </c>
    </row>
    <row r="612" spans="1:2" x14ac:dyDescent="0.25">
      <c r="A612" s="15">
        <v>45701.288518518515</v>
      </c>
      <c r="B612" s="14">
        <v>428755045</v>
      </c>
    </row>
    <row r="613" spans="1:2" x14ac:dyDescent="0.25">
      <c r="A613" s="15">
        <v>45701.288518518515</v>
      </c>
      <c r="B613" s="14">
        <v>428755052</v>
      </c>
    </row>
    <row r="614" spans="1:2" x14ac:dyDescent="0.25">
      <c r="A614" s="15">
        <v>45701.288530092592</v>
      </c>
      <c r="B614" s="14">
        <v>428755056</v>
      </c>
    </row>
    <row r="615" spans="1:2" x14ac:dyDescent="0.25">
      <c r="A615" s="15">
        <v>45701.288530092592</v>
      </c>
      <c r="B615" s="14">
        <v>428755066</v>
      </c>
    </row>
    <row r="616" spans="1:2" x14ac:dyDescent="0.25">
      <c r="A616" s="15">
        <v>45701.288553240738</v>
      </c>
      <c r="B616" s="14">
        <v>428755076</v>
      </c>
    </row>
    <row r="617" spans="1:2" x14ac:dyDescent="0.25">
      <c r="A617" s="15">
        <v>45701.288553240738</v>
      </c>
      <c r="B617" s="14">
        <v>428755079</v>
      </c>
    </row>
    <row r="618" spans="1:2" x14ac:dyDescent="0.25">
      <c r="A618" s="15">
        <v>45701.288564814815</v>
      </c>
      <c r="B618" s="14">
        <v>428755086</v>
      </c>
    </row>
    <row r="619" spans="1:2" x14ac:dyDescent="0.25">
      <c r="A619" s="15">
        <v>45701.288576388892</v>
      </c>
      <c r="B619" s="14">
        <v>428755096</v>
      </c>
    </row>
    <row r="620" spans="1:2" x14ac:dyDescent="0.25">
      <c r="A620" s="15">
        <v>45701.288587962961</v>
      </c>
      <c r="B620" s="14">
        <v>428755103</v>
      </c>
    </row>
    <row r="621" spans="1:2" x14ac:dyDescent="0.25">
      <c r="A621" s="15">
        <v>45701.288599537038</v>
      </c>
      <c r="B621" s="14">
        <v>428755112</v>
      </c>
    </row>
    <row r="622" spans="1:2" x14ac:dyDescent="0.25">
      <c r="A622" s="15">
        <v>45701.288611111115</v>
      </c>
      <c r="B622" s="14">
        <v>428755120</v>
      </c>
    </row>
    <row r="623" spans="1:2" x14ac:dyDescent="0.25">
      <c r="A623" s="15">
        <v>45701.288622685184</v>
      </c>
      <c r="B623" s="14">
        <v>428755128</v>
      </c>
    </row>
    <row r="624" spans="1:2" x14ac:dyDescent="0.25">
      <c r="A624" s="15">
        <v>45701.288634259261</v>
      </c>
      <c r="B624" s="14">
        <v>428755135</v>
      </c>
    </row>
    <row r="625" spans="1:2" x14ac:dyDescent="0.25">
      <c r="A625" s="15">
        <v>45701.288634259261</v>
      </c>
      <c r="B625" s="14">
        <v>428755141</v>
      </c>
    </row>
    <row r="626" spans="1:2" x14ac:dyDescent="0.25">
      <c r="A626" s="15">
        <v>45701.288645833331</v>
      </c>
      <c r="B626" s="14">
        <v>428755145</v>
      </c>
    </row>
    <row r="627" spans="1:2" x14ac:dyDescent="0.25">
      <c r="A627" s="15">
        <v>45701.288657407407</v>
      </c>
      <c r="B627" s="14">
        <v>428755147</v>
      </c>
    </row>
    <row r="628" spans="1:2" x14ac:dyDescent="0.25">
      <c r="A628" s="15">
        <v>45701.288657407407</v>
      </c>
      <c r="B628" s="14">
        <v>428755148</v>
      </c>
    </row>
    <row r="629" spans="1:2" x14ac:dyDescent="0.25">
      <c r="A629" s="15">
        <v>45701.288657407407</v>
      </c>
      <c r="B629" s="14">
        <v>428755152</v>
      </c>
    </row>
    <row r="630" spans="1:2" x14ac:dyDescent="0.25">
      <c r="A630" s="15">
        <v>45701.288680555554</v>
      </c>
      <c r="B630" s="14">
        <v>428755158</v>
      </c>
    </row>
    <row r="631" spans="1:2" x14ac:dyDescent="0.25">
      <c r="A631" s="15">
        <v>45701.28869212963</v>
      </c>
      <c r="B631" s="14">
        <v>428755163</v>
      </c>
    </row>
    <row r="632" spans="1:2" x14ac:dyDescent="0.25">
      <c r="A632" s="15">
        <v>45701.288703703707</v>
      </c>
      <c r="B632" s="14">
        <v>428755168</v>
      </c>
    </row>
    <row r="633" spans="1:2" x14ac:dyDescent="0.25">
      <c r="A633" s="15">
        <v>45701.288715277777</v>
      </c>
      <c r="B633" s="14">
        <v>428755173</v>
      </c>
    </row>
    <row r="634" spans="1:2" x14ac:dyDescent="0.25">
      <c r="A634" s="15">
        <v>45701.288726851853</v>
      </c>
      <c r="B634" s="14">
        <v>428755179</v>
      </c>
    </row>
    <row r="635" spans="1:2" x14ac:dyDescent="0.25">
      <c r="A635" s="15">
        <v>45701.288738425923</v>
      </c>
      <c r="B635" s="14">
        <v>428755184</v>
      </c>
    </row>
    <row r="636" spans="1:2" x14ac:dyDescent="0.25">
      <c r="A636" s="15">
        <v>45701.28875</v>
      </c>
      <c r="B636" s="14">
        <v>428755189</v>
      </c>
    </row>
    <row r="637" spans="1:2" x14ac:dyDescent="0.25">
      <c r="A637" s="15">
        <v>45701.288761574076</v>
      </c>
      <c r="B637" s="14">
        <v>428755194</v>
      </c>
    </row>
    <row r="638" spans="1:2" x14ac:dyDescent="0.25">
      <c r="A638" s="15">
        <v>45701.288773148146</v>
      </c>
      <c r="B638" s="14">
        <v>428755199</v>
      </c>
    </row>
    <row r="639" spans="1:2" x14ac:dyDescent="0.25">
      <c r="A639" s="15">
        <v>45701.288784722223</v>
      </c>
      <c r="B639" s="14">
        <v>428755204</v>
      </c>
    </row>
    <row r="640" spans="1:2" x14ac:dyDescent="0.25">
      <c r="A640" s="15">
        <v>45701.2887962963</v>
      </c>
      <c r="B640" s="14">
        <v>428755209</v>
      </c>
    </row>
    <row r="641" spans="1:2" x14ac:dyDescent="0.25">
      <c r="A641" s="15">
        <v>45701.288807870369</v>
      </c>
      <c r="B641" s="14">
        <v>428755214</v>
      </c>
    </row>
    <row r="642" spans="1:2" x14ac:dyDescent="0.25">
      <c r="A642" s="15">
        <v>45701.288819444446</v>
      </c>
      <c r="B642" s="14">
        <v>428755219</v>
      </c>
    </row>
    <row r="643" spans="1:2" x14ac:dyDescent="0.25">
      <c r="A643" s="15">
        <v>45701.288831018515</v>
      </c>
      <c r="B643" s="14">
        <v>428755224</v>
      </c>
    </row>
    <row r="644" spans="1:2" x14ac:dyDescent="0.25">
      <c r="A644" s="15">
        <v>45701.288831018515</v>
      </c>
      <c r="B644" s="14">
        <v>428755229</v>
      </c>
    </row>
    <row r="645" spans="1:2" x14ac:dyDescent="0.25">
      <c r="A645" s="15">
        <v>45701.288854166669</v>
      </c>
      <c r="B645" s="14">
        <v>428755234</v>
      </c>
    </row>
    <row r="646" spans="1:2" x14ac:dyDescent="0.25">
      <c r="A646" s="15">
        <v>45701.288854166669</v>
      </c>
      <c r="B646" s="14">
        <v>428755240</v>
      </c>
    </row>
    <row r="647" spans="1:2" x14ac:dyDescent="0.25">
      <c r="A647" s="15">
        <v>45701.288877314815</v>
      </c>
      <c r="B647" s="14">
        <v>428755246</v>
      </c>
    </row>
    <row r="648" spans="1:2" x14ac:dyDescent="0.25">
      <c r="A648" s="15">
        <v>45701.288888888892</v>
      </c>
      <c r="B648" s="14">
        <v>428755251</v>
      </c>
    </row>
    <row r="649" spans="1:2" x14ac:dyDescent="0.25">
      <c r="A649" s="15">
        <v>45701.288888888892</v>
      </c>
      <c r="B649" s="14">
        <v>428755256</v>
      </c>
    </row>
    <row r="650" spans="1:2" x14ac:dyDescent="0.25">
      <c r="A650" s="15">
        <v>45701.288900462961</v>
      </c>
      <c r="B650" s="14">
        <v>428755262</v>
      </c>
    </row>
    <row r="651" spans="1:2" x14ac:dyDescent="0.25">
      <c r="A651" s="15">
        <v>45701.288912037038</v>
      </c>
      <c r="B651" s="14">
        <v>428755269</v>
      </c>
    </row>
    <row r="652" spans="1:2" x14ac:dyDescent="0.25">
      <c r="A652" s="15">
        <v>45701.288935185185</v>
      </c>
      <c r="B652" s="14">
        <v>428755276</v>
      </c>
    </row>
    <row r="653" spans="1:2" x14ac:dyDescent="0.25">
      <c r="A653" s="15">
        <v>45701.288946759261</v>
      </c>
      <c r="B653" s="14">
        <v>428755284</v>
      </c>
    </row>
    <row r="654" spans="1:2" x14ac:dyDescent="0.25">
      <c r="A654" s="15">
        <v>45701.288958333331</v>
      </c>
      <c r="B654" s="14">
        <v>428755292</v>
      </c>
    </row>
    <row r="655" spans="1:2" x14ac:dyDescent="0.25">
      <c r="A655" s="15">
        <v>45701.288969907408</v>
      </c>
      <c r="B655" s="14">
        <v>428755301</v>
      </c>
    </row>
    <row r="656" spans="1:2" x14ac:dyDescent="0.25">
      <c r="A656" s="15">
        <v>45701.288969907408</v>
      </c>
      <c r="B656" s="14">
        <v>428755302</v>
      </c>
    </row>
    <row r="657" spans="1:2" x14ac:dyDescent="0.25">
      <c r="A657" s="15">
        <v>45701.288981481484</v>
      </c>
      <c r="B657" s="14">
        <v>428755310</v>
      </c>
    </row>
    <row r="658" spans="1:2" x14ac:dyDescent="0.25">
      <c r="A658" s="15">
        <v>45701.288981481484</v>
      </c>
      <c r="B658" s="14">
        <v>428755317</v>
      </c>
    </row>
    <row r="659" spans="1:2" x14ac:dyDescent="0.25">
      <c r="A659" s="15">
        <v>45701.288981481484</v>
      </c>
      <c r="B659" s="14">
        <v>428755321</v>
      </c>
    </row>
    <row r="660" spans="1:2" x14ac:dyDescent="0.25">
      <c r="A660" s="15">
        <v>45701.289004629631</v>
      </c>
      <c r="B660" s="14">
        <v>428755332</v>
      </c>
    </row>
    <row r="661" spans="1:2" x14ac:dyDescent="0.25">
      <c r="A661" s="15">
        <v>45701.2890162037</v>
      </c>
      <c r="B661" s="14">
        <v>428755341</v>
      </c>
    </row>
    <row r="662" spans="1:2" x14ac:dyDescent="0.25">
      <c r="A662" s="15">
        <v>45701.2890162037</v>
      </c>
      <c r="B662" s="14">
        <v>428755344</v>
      </c>
    </row>
    <row r="663" spans="1:2" x14ac:dyDescent="0.25">
      <c r="A663" s="15">
        <v>45701.2890162037</v>
      </c>
      <c r="B663" s="14">
        <v>428755347</v>
      </c>
    </row>
    <row r="664" spans="1:2" x14ac:dyDescent="0.25">
      <c r="A664" s="15">
        <v>45701.289027777777</v>
      </c>
      <c r="B664" s="14">
        <v>428755351</v>
      </c>
    </row>
    <row r="665" spans="1:2" x14ac:dyDescent="0.25">
      <c r="A665" s="15">
        <v>45701.289039351854</v>
      </c>
      <c r="B665" s="14">
        <v>428755362</v>
      </c>
    </row>
    <row r="666" spans="1:2" x14ac:dyDescent="0.25">
      <c r="A666" s="15">
        <v>45701.289050925923</v>
      </c>
      <c r="B666" s="14">
        <v>428755372</v>
      </c>
    </row>
    <row r="667" spans="1:2" x14ac:dyDescent="0.25">
      <c r="A667" s="15">
        <v>45701.2890625</v>
      </c>
      <c r="B667" s="14">
        <v>428755382</v>
      </c>
    </row>
    <row r="668" spans="1:2" x14ac:dyDescent="0.25">
      <c r="A668" s="15">
        <v>45701.2890625</v>
      </c>
      <c r="B668" s="14">
        <v>428755387</v>
      </c>
    </row>
    <row r="669" spans="1:2" x14ac:dyDescent="0.25">
      <c r="A669" s="15">
        <v>45701.289074074077</v>
      </c>
      <c r="B669" s="14">
        <v>428755391</v>
      </c>
    </row>
    <row r="670" spans="1:2" x14ac:dyDescent="0.25">
      <c r="A670" s="15">
        <v>45701.289085648146</v>
      </c>
      <c r="B670" s="14">
        <v>428755401</v>
      </c>
    </row>
    <row r="671" spans="1:2" x14ac:dyDescent="0.25">
      <c r="A671" s="15">
        <v>45701.289097222223</v>
      </c>
      <c r="B671" s="14">
        <v>428755411</v>
      </c>
    </row>
    <row r="672" spans="1:2" x14ac:dyDescent="0.25">
      <c r="A672" s="15">
        <v>45701.2891087963</v>
      </c>
      <c r="B672" s="14">
        <v>428755420</v>
      </c>
    </row>
    <row r="673" spans="1:2" x14ac:dyDescent="0.25">
      <c r="A673" s="15">
        <v>45701.2891087963</v>
      </c>
      <c r="B673" s="14">
        <v>428755421</v>
      </c>
    </row>
    <row r="674" spans="1:2" x14ac:dyDescent="0.25">
      <c r="A674" s="15">
        <v>45701.2891087963</v>
      </c>
      <c r="B674" s="14">
        <v>428755432</v>
      </c>
    </row>
    <row r="675" spans="1:2" x14ac:dyDescent="0.25">
      <c r="A675" s="15">
        <v>45701.289131944446</v>
      </c>
      <c r="B675" s="14">
        <v>428755441</v>
      </c>
    </row>
    <row r="676" spans="1:2" x14ac:dyDescent="0.25">
      <c r="A676" s="15">
        <v>45701.289143518516</v>
      </c>
      <c r="B676" s="14">
        <v>428755453</v>
      </c>
    </row>
    <row r="677" spans="1:2" x14ac:dyDescent="0.25">
      <c r="A677" s="15">
        <v>45701.289155092592</v>
      </c>
      <c r="B677" s="14">
        <v>428755465</v>
      </c>
    </row>
    <row r="678" spans="1:2" x14ac:dyDescent="0.25">
      <c r="A678" s="15">
        <v>45701.289166666669</v>
      </c>
      <c r="B678" s="14">
        <v>428755478</v>
      </c>
    </row>
    <row r="679" spans="1:2" x14ac:dyDescent="0.25">
      <c r="A679" s="15">
        <v>45701.289178240739</v>
      </c>
      <c r="B679" s="14">
        <v>428755494</v>
      </c>
    </row>
    <row r="680" spans="1:2" x14ac:dyDescent="0.25">
      <c r="A680" s="15">
        <v>45701.289178240739</v>
      </c>
      <c r="B680" s="14">
        <v>428755508</v>
      </c>
    </row>
    <row r="681" spans="1:2" x14ac:dyDescent="0.25">
      <c r="A681" s="15">
        <v>45701.289189814815</v>
      </c>
      <c r="B681" s="14">
        <v>428755510</v>
      </c>
    </row>
    <row r="682" spans="1:2" x14ac:dyDescent="0.25">
      <c r="A682" s="15">
        <v>45701.289201388892</v>
      </c>
      <c r="B682" s="14">
        <v>428755523</v>
      </c>
    </row>
    <row r="683" spans="1:2" x14ac:dyDescent="0.25">
      <c r="A683" s="15">
        <v>45701.289201388892</v>
      </c>
      <c r="B683" s="14">
        <v>428755540</v>
      </c>
    </row>
    <row r="684" spans="1:2" x14ac:dyDescent="0.25">
      <c r="A684" s="15">
        <v>45701.289212962962</v>
      </c>
      <c r="B684" s="14">
        <v>428755541</v>
      </c>
    </row>
    <row r="685" spans="1:2" x14ac:dyDescent="0.25">
      <c r="A685" s="15">
        <v>45701.289224537039</v>
      </c>
      <c r="B685" s="14">
        <v>428755557</v>
      </c>
    </row>
    <row r="686" spans="1:2" x14ac:dyDescent="0.25">
      <c r="A686" s="15">
        <v>45701.289236111108</v>
      </c>
      <c r="B686" s="14">
        <v>428755573</v>
      </c>
    </row>
    <row r="687" spans="1:2" x14ac:dyDescent="0.25">
      <c r="A687" s="15">
        <v>45701.289247685185</v>
      </c>
      <c r="B687" s="14">
        <v>428755589</v>
      </c>
    </row>
    <row r="688" spans="1:2" x14ac:dyDescent="0.25">
      <c r="A688" s="15">
        <v>45701.289247685185</v>
      </c>
      <c r="B688" s="14">
        <v>428755590</v>
      </c>
    </row>
    <row r="689" spans="1:2" x14ac:dyDescent="0.25">
      <c r="A689" s="15">
        <v>45701.289247685185</v>
      </c>
      <c r="B689" s="14">
        <v>428755604</v>
      </c>
    </row>
    <row r="690" spans="1:2" x14ac:dyDescent="0.25">
      <c r="A690" s="15">
        <v>45701.289259259262</v>
      </c>
      <c r="B690" s="14">
        <v>428755605</v>
      </c>
    </row>
    <row r="691" spans="1:2" x14ac:dyDescent="0.25">
      <c r="A691" s="15">
        <v>45701.289270833331</v>
      </c>
      <c r="B691" s="14">
        <v>428755620</v>
      </c>
    </row>
    <row r="692" spans="1:2" x14ac:dyDescent="0.25">
      <c r="A692" s="15">
        <v>45701.289270833331</v>
      </c>
      <c r="B692" s="14">
        <v>428755621</v>
      </c>
    </row>
    <row r="693" spans="1:2" x14ac:dyDescent="0.25">
      <c r="A693" s="15">
        <v>45701.289270833331</v>
      </c>
      <c r="B693" s="14">
        <v>428755637</v>
      </c>
    </row>
    <row r="694" spans="1:2" x14ac:dyDescent="0.25">
      <c r="A694" s="15">
        <v>45701.289293981485</v>
      </c>
      <c r="B694" s="14">
        <v>428755653</v>
      </c>
    </row>
    <row r="695" spans="1:2" x14ac:dyDescent="0.25">
      <c r="A695" s="15">
        <v>45701.289305555554</v>
      </c>
      <c r="B695" s="14">
        <v>428755669</v>
      </c>
    </row>
    <row r="696" spans="1:2" x14ac:dyDescent="0.25">
      <c r="A696" s="15">
        <v>45701.289317129631</v>
      </c>
      <c r="B696" s="14">
        <v>428755683</v>
      </c>
    </row>
    <row r="697" spans="1:2" x14ac:dyDescent="0.25">
      <c r="A697" s="15">
        <v>45701.289317129631</v>
      </c>
      <c r="B697" s="14">
        <v>428755691</v>
      </c>
    </row>
    <row r="698" spans="1:2" x14ac:dyDescent="0.25">
      <c r="A698" s="15">
        <v>45701.289317129631</v>
      </c>
      <c r="B698" s="14">
        <v>428755699</v>
      </c>
    </row>
    <row r="699" spans="1:2" x14ac:dyDescent="0.25">
      <c r="A699" s="15">
        <v>45701.2893287037</v>
      </c>
      <c r="B699" s="14">
        <v>428755703</v>
      </c>
    </row>
    <row r="700" spans="1:2" x14ac:dyDescent="0.25">
      <c r="A700" s="15">
        <v>45701.289340277777</v>
      </c>
      <c r="B700" s="14">
        <v>428755714</v>
      </c>
    </row>
    <row r="701" spans="1:2" x14ac:dyDescent="0.25">
      <c r="A701" s="15">
        <v>45701.289340277777</v>
      </c>
      <c r="B701" s="14">
        <v>428755715</v>
      </c>
    </row>
    <row r="702" spans="1:2" x14ac:dyDescent="0.25">
      <c r="A702" s="15">
        <v>45701.289351851854</v>
      </c>
      <c r="B702" s="14">
        <v>428755729</v>
      </c>
    </row>
    <row r="703" spans="1:2" x14ac:dyDescent="0.25">
      <c r="A703" s="15">
        <v>45701.289363425924</v>
      </c>
      <c r="B703" s="14">
        <v>428755744</v>
      </c>
    </row>
    <row r="704" spans="1:2" x14ac:dyDescent="0.25">
      <c r="A704" s="15">
        <v>45701.289363425924</v>
      </c>
      <c r="B704" s="14">
        <v>428755749</v>
      </c>
    </row>
    <row r="705" spans="1:2" x14ac:dyDescent="0.25">
      <c r="A705" s="15">
        <v>45701.289375</v>
      </c>
      <c r="B705" s="14">
        <v>428755757</v>
      </c>
    </row>
    <row r="706" spans="1:2" x14ac:dyDescent="0.25">
      <c r="A706" s="15">
        <v>45701.289375</v>
      </c>
      <c r="B706" s="14">
        <v>428755758</v>
      </c>
    </row>
    <row r="707" spans="1:2" x14ac:dyDescent="0.25">
      <c r="A707" s="15">
        <v>45701.289386574077</v>
      </c>
      <c r="B707" s="14">
        <v>428755769</v>
      </c>
    </row>
    <row r="708" spans="1:2" x14ac:dyDescent="0.25">
      <c r="A708" s="15">
        <v>45701.289398148147</v>
      </c>
      <c r="B708" s="14">
        <v>428755782</v>
      </c>
    </row>
    <row r="709" spans="1:2" x14ac:dyDescent="0.25">
      <c r="A709" s="15">
        <v>45701.289409722223</v>
      </c>
      <c r="B709" s="14">
        <v>428755793</v>
      </c>
    </row>
    <row r="710" spans="1:2" x14ac:dyDescent="0.25">
      <c r="A710" s="15">
        <v>45701.289421296293</v>
      </c>
      <c r="B710" s="14">
        <v>428755804</v>
      </c>
    </row>
    <row r="711" spans="1:2" x14ac:dyDescent="0.25">
      <c r="A711" s="15">
        <v>45701.28943287037</v>
      </c>
      <c r="B711" s="14">
        <v>428755814</v>
      </c>
    </row>
    <row r="712" spans="1:2" x14ac:dyDescent="0.25">
      <c r="A712" s="15">
        <v>45701.289444444446</v>
      </c>
      <c r="B712" s="14">
        <v>428755823</v>
      </c>
    </row>
    <row r="713" spans="1:2" x14ac:dyDescent="0.25">
      <c r="A713" s="15">
        <v>45701.289456018516</v>
      </c>
      <c r="B713" s="14">
        <v>428755831</v>
      </c>
    </row>
    <row r="714" spans="1:2" x14ac:dyDescent="0.25">
      <c r="A714" s="15">
        <v>45701.289467592593</v>
      </c>
      <c r="B714" s="14">
        <v>428755838</v>
      </c>
    </row>
    <row r="715" spans="1:2" x14ac:dyDescent="0.25">
      <c r="A715" s="15">
        <v>45701.289479166669</v>
      </c>
      <c r="B715" s="14">
        <v>428755844</v>
      </c>
    </row>
    <row r="716" spans="1:2" x14ac:dyDescent="0.25">
      <c r="A716" s="15">
        <v>45701.289490740739</v>
      </c>
      <c r="B716" s="14">
        <v>428755851</v>
      </c>
    </row>
    <row r="717" spans="1:2" x14ac:dyDescent="0.25">
      <c r="A717" s="15">
        <v>45701.289502314816</v>
      </c>
      <c r="B717" s="14">
        <v>428755856</v>
      </c>
    </row>
    <row r="718" spans="1:2" x14ac:dyDescent="0.25">
      <c r="A718" s="15">
        <v>45701.289513888885</v>
      </c>
      <c r="B718" s="14">
        <v>428755860</v>
      </c>
    </row>
    <row r="719" spans="1:2" x14ac:dyDescent="0.25">
      <c r="A719" s="15">
        <v>45701.289525462962</v>
      </c>
      <c r="B719" s="14">
        <v>428755863</v>
      </c>
    </row>
    <row r="720" spans="1:2" x14ac:dyDescent="0.25">
      <c r="A720" s="15">
        <v>45701.289537037039</v>
      </c>
      <c r="B720" s="14">
        <v>428755865</v>
      </c>
    </row>
    <row r="721" spans="1:2" x14ac:dyDescent="0.25">
      <c r="A721" s="15">
        <v>45701.289537037039</v>
      </c>
      <c r="B721" s="14">
        <v>428755867</v>
      </c>
    </row>
    <row r="722" spans="1:2" x14ac:dyDescent="0.25">
      <c r="A722" s="15">
        <v>45701.289872685185</v>
      </c>
      <c r="B722" s="14">
        <v>428755868</v>
      </c>
    </row>
    <row r="723" spans="1:2" x14ac:dyDescent="0.25">
      <c r="A723" s="15">
        <v>45701.289872685185</v>
      </c>
      <c r="B723" s="14">
        <v>428755869</v>
      </c>
    </row>
    <row r="724" spans="1:2" x14ac:dyDescent="0.25">
      <c r="A724" s="15">
        <v>45701.289895833332</v>
      </c>
      <c r="B724" s="14">
        <v>428755870</v>
      </c>
    </row>
    <row r="725" spans="1:2" x14ac:dyDescent="0.25">
      <c r="A725" s="15">
        <v>45701.289895833332</v>
      </c>
      <c r="B725" s="14">
        <v>428755873</v>
      </c>
    </row>
    <row r="726" spans="1:2" x14ac:dyDescent="0.25">
      <c r="A726" s="15">
        <v>45701.289918981478</v>
      </c>
      <c r="B726" s="14">
        <v>428755876</v>
      </c>
    </row>
    <row r="727" spans="1:2" x14ac:dyDescent="0.25">
      <c r="A727" s="15">
        <v>45701.289930555555</v>
      </c>
      <c r="B727" s="14">
        <v>428755880</v>
      </c>
    </row>
    <row r="728" spans="1:2" x14ac:dyDescent="0.25">
      <c r="A728" s="15">
        <v>45701.289942129632</v>
      </c>
      <c r="B728" s="14">
        <v>428755883</v>
      </c>
    </row>
    <row r="729" spans="1:2" x14ac:dyDescent="0.25">
      <c r="A729" s="15">
        <v>45701.289953703701</v>
      </c>
      <c r="B729" s="14">
        <v>428755886</v>
      </c>
    </row>
    <row r="730" spans="1:2" x14ac:dyDescent="0.25">
      <c r="A730" s="15">
        <v>45701.289965277778</v>
      </c>
      <c r="B730" s="14">
        <v>428755890</v>
      </c>
    </row>
    <row r="731" spans="1:2" x14ac:dyDescent="0.25">
      <c r="A731" s="15">
        <v>45701.289976851855</v>
      </c>
      <c r="B731" s="14">
        <v>428755893</v>
      </c>
    </row>
    <row r="732" spans="1:2" x14ac:dyDescent="0.25">
      <c r="A732" s="15">
        <v>45701.289988425924</v>
      </c>
      <c r="B732" s="14">
        <v>428755897</v>
      </c>
    </row>
    <row r="733" spans="1:2" x14ac:dyDescent="0.25">
      <c r="A733" s="15">
        <v>45701.29</v>
      </c>
      <c r="B733" s="14">
        <v>428755900</v>
      </c>
    </row>
    <row r="734" spans="1:2" x14ac:dyDescent="0.25">
      <c r="A734" s="15">
        <v>45701.290011574078</v>
      </c>
      <c r="B734" s="14">
        <v>428755903</v>
      </c>
    </row>
    <row r="735" spans="1:2" x14ac:dyDescent="0.25">
      <c r="A735" s="15">
        <v>45701.290023148147</v>
      </c>
      <c r="B735" s="14">
        <v>428755906</v>
      </c>
    </row>
    <row r="736" spans="1:2" x14ac:dyDescent="0.25">
      <c r="A736" s="15">
        <v>45701.290034722224</v>
      </c>
      <c r="B736" s="14">
        <v>428755909</v>
      </c>
    </row>
    <row r="737" spans="1:2" x14ac:dyDescent="0.25">
      <c r="A737" s="15">
        <v>45701.290046296293</v>
      </c>
      <c r="B737" s="14">
        <v>428755912</v>
      </c>
    </row>
    <row r="738" spans="1:2" x14ac:dyDescent="0.25">
      <c r="A738" s="15">
        <v>45701.29005787037</v>
      </c>
      <c r="B738" s="14">
        <v>428755917</v>
      </c>
    </row>
    <row r="739" spans="1:2" x14ac:dyDescent="0.25">
      <c r="A739" s="15">
        <v>45701.290069444447</v>
      </c>
      <c r="B739" s="14">
        <v>428755921</v>
      </c>
    </row>
    <row r="740" spans="1:2" x14ac:dyDescent="0.25">
      <c r="A740" s="15">
        <v>45701.290069444447</v>
      </c>
      <c r="B740" s="14">
        <v>428755923</v>
      </c>
    </row>
    <row r="741" spans="1:2" x14ac:dyDescent="0.25">
      <c r="A741" s="15">
        <v>45701.290081018517</v>
      </c>
      <c r="B741" s="14">
        <v>428755927</v>
      </c>
    </row>
    <row r="742" spans="1:2" x14ac:dyDescent="0.25">
      <c r="A742" s="15">
        <v>45701.290081018517</v>
      </c>
      <c r="B742" s="14">
        <v>428755933</v>
      </c>
    </row>
    <row r="743" spans="1:2" x14ac:dyDescent="0.25">
      <c r="A743" s="15">
        <v>45701.290092592593</v>
      </c>
      <c r="B743" s="14">
        <v>428755934</v>
      </c>
    </row>
    <row r="744" spans="1:2" x14ac:dyDescent="0.25">
      <c r="A744" s="15">
        <v>45701.29010416667</v>
      </c>
      <c r="B744" s="14">
        <v>428755941</v>
      </c>
    </row>
    <row r="745" spans="1:2" x14ac:dyDescent="0.25">
      <c r="A745" s="15">
        <v>45701.29011574074</v>
      </c>
      <c r="B745" s="14">
        <v>428755947</v>
      </c>
    </row>
    <row r="746" spans="1:2" x14ac:dyDescent="0.25">
      <c r="A746" s="15">
        <v>45701.290127314816</v>
      </c>
      <c r="B746" s="14">
        <v>428755955</v>
      </c>
    </row>
    <row r="747" spans="1:2" x14ac:dyDescent="0.25">
      <c r="A747" s="15">
        <v>45701.290127314816</v>
      </c>
      <c r="B747" s="14">
        <v>428755963</v>
      </c>
    </row>
    <row r="748" spans="1:2" x14ac:dyDescent="0.25">
      <c r="A748" s="15">
        <v>45701.290150462963</v>
      </c>
      <c r="B748" s="14">
        <v>428755972</v>
      </c>
    </row>
    <row r="749" spans="1:2" x14ac:dyDescent="0.25">
      <c r="A749" s="15">
        <v>45701.290162037039</v>
      </c>
      <c r="B749" s="14">
        <v>428755979</v>
      </c>
    </row>
    <row r="750" spans="1:2" x14ac:dyDescent="0.25">
      <c r="A750" s="15">
        <v>45701.290173611109</v>
      </c>
      <c r="B750" s="14">
        <v>428755988</v>
      </c>
    </row>
    <row r="751" spans="1:2" x14ac:dyDescent="0.25">
      <c r="A751" s="15">
        <v>45701.290185185186</v>
      </c>
      <c r="B751" s="14">
        <v>428755998</v>
      </c>
    </row>
    <row r="752" spans="1:2" x14ac:dyDescent="0.25">
      <c r="A752" s="15">
        <v>45701.290196759262</v>
      </c>
      <c r="B752" s="14">
        <v>428756007</v>
      </c>
    </row>
    <row r="753" spans="1:2" x14ac:dyDescent="0.25">
      <c r="A753" s="15">
        <v>45701.290208333332</v>
      </c>
      <c r="B753" s="14">
        <v>428756019</v>
      </c>
    </row>
    <row r="754" spans="1:2" x14ac:dyDescent="0.25">
      <c r="A754" s="15">
        <v>45701.290219907409</v>
      </c>
      <c r="B754" s="14">
        <v>428756028</v>
      </c>
    </row>
    <row r="755" spans="1:2" x14ac:dyDescent="0.25">
      <c r="A755" s="15">
        <v>45701.290219907409</v>
      </c>
      <c r="B755" s="14">
        <v>428756040</v>
      </c>
    </row>
    <row r="756" spans="1:2" x14ac:dyDescent="0.25">
      <c r="A756" s="15">
        <v>45701.290243055555</v>
      </c>
      <c r="B756" s="14">
        <v>428756052</v>
      </c>
    </row>
    <row r="757" spans="1:2" x14ac:dyDescent="0.25">
      <c r="A757" s="15">
        <v>45701.290254629632</v>
      </c>
      <c r="B757" s="14">
        <v>428756063</v>
      </c>
    </row>
    <row r="758" spans="1:2" x14ac:dyDescent="0.25">
      <c r="A758" s="15">
        <v>45701.290266203701</v>
      </c>
      <c r="B758" s="14">
        <v>428756075</v>
      </c>
    </row>
    <row r="759" spans="1:2" x14ac:dyDescent="0.25">
      <c r="A759" s="15">
        <v>45701.290277777778</v>
      </c>
      <c r="B759" s="14">
        <v>428756087</v>
      </c>
    </row>
    <row r="760" spans="1:2" x14ac:dyDescent="0.25">
      <c r="A760" s="15">
        <v>45701.290277777778</v>
      </c>
      <c r="B760" s="14">
        <v>428756088</v>
      </c>
    </row>
    <row r="761" spans="1:2" x14ac:dyDescent="0.25">
      <c r="A761" s="15">
        <v>45701.290277777778</v>
      </c>
      <c r="B761" s="14">
        <v>428756089</v>
      </c>
    </row>
    <row r="762" spans="1:2" x14ac:dyDescent="0.25">
      <c r="A762" s="15">
        <v>45701.290289351855</v>
      </c>
      <c r="B762" s="14">
        <v>428756100</v>
      </c>
    </row>
    <row r="763" spans="1:2" x14ac:dyDescent="0.25">
      <c r="A763" s="15">
        <v>45701.290300925924</v>
      </c>
      <c r="B763" s="14">
        <v>428756114</v>
      </c>
    </row>
    <row r="764" spans="1:2" x14ac:dyDescent="0.25">
      <c r="A764" s="15">
        <v>45701.290312500001</v>
      </c>
      <c r="B764" s="14">
        <v>428756125</v>
      </c>
    </row>
    <row r="765" spans="1:2" x14ac:dyDescent="0.25">
      <c r="A765" s="15">
        <v>45701.290312500001</v>
      </c>
      <c r="B765" s="14">
        <v>428756126</v>
      </c>
    </row>
    <row r="766" spans="1:2" x14ac:dyDescent="0.25">
      <c r="A766" s="15">
        <v>45701.290324074071</v>
      </c>
      <c r="B766" s="14">
        <v>428756139</v>
      </c>
    </row>
    <row r="767" spans="1:2" x14ac:dyDescent="0.25">
      <c r="A767" s="15">
        <v>45701.290335648147</v>
      </c>
      <c r="B767" s="14">
        <v>428756150</v>
      </c>
    </row>
    <row r="768" spans="1:2" x14ac:dyDescent="0.25">
      <c r="A768" s="15">
        <v>45701.290347222224</v>
      </c>
      <c r="B768" s="14">
        <v>428756163</v>
      </c>
    </row>
    <row r="769" spans="1:2" x14ac:dyDescent="0.25">
      <c r="A769" s="15">
        <v>45701.290358796294</v>
      </c>
      <c r="B769" s="14">
        <v>428756177</v>
      </c>
    </row>
    <row r="770" spans="1:2" x14ac:dyDescent="0.25">
      <c r="A770" s="15">
        <v>45701.290370370371</v>
      </c>
      <c r="B770" s="14">
        <v>428756188</v>
      </c>
    </row>
    <row r="771" spans="1:2" x14ac:dyDescent="0.25">
      <c r="A771" s="15">
        <v>45701.290370370371</v>
      </c>
      <c r="B771" s="14">
        <v>428756189</v>
      </c>
    </row>
    <row r="772" spans="1:2" x14ac:dyDescent="0.25">
      <c r="A772" s="15">
        <v>45701.290381944447</v>
      </c>
      <c r="B772" s="14">
        <v>428756201</v>
      </c>
    </row>
    <row r="773" spans="1:2" x14ac:dyDescent="0.25">
      <c r="A773" s="15">
        <v>45701.290381944447</v>
      </c>
      <c r="B773" s="14">
        <v>428756208</v>
      </c>
    </row>
    <row r="774" spans="1:2" x14ac:dyDescent="0.25">
      <c r="A774" s="15">
        <v>45701.290381944447</v>
      </c>
      <c r="B774" s="14">
        <v>428756214</v>
      </c>
    </row>
    <row r="775" spans="1:2" x14ac:dyDescent="0.25">
      <c r="A775" s="15">
        <v>45701.290393518517</v>
      </c>
      <c r="B775" s="14">
        <v>428756215</v>
      </c>
    </row>
    <row r="776" spans="1:2" x14ac:dyDescent="0.25">
      <c r="A776" s="15">
        <v>45701.290393518517</v>
      </c>
      <c r="B776" s="14">
        <v>428756219</v>
      </c>
    </row>
    <row r="777" spans="1:2" x14ac:dyDescent="0.25">
      <c r="A777" s="15">
        <v>45701.290393518517</v>
      </c>
      <c r="B777" s="14">
        <v>428756222</v>
      </c>
    </row>
    <row r="778" spans="1:2" x14ac:dyDescent="0.25">
      <c r="A778" s="15">
        <v>45701.290405092594</v>
      </c>
      <c r="B778" s="14">
        <v>428756227</v>
      </c>
    </row>
    <row r="779" spans="1:2" x14ac:dyDescent="0.25">
      <c r="A779" s="15">
        <v>45701.290416666663</v>
      </c>
      <c r="B779" s="14">
        <v>428756239</v>
      </c>
    </row>
    <row r="780" spans="1:2" x14ac:dyDescent="0.25">
      <c r="A780" s="15">
        <v>45701.29042824074</v>
      </c>
      <c r="B780" s="14">
        <v>428756250</v>
      </c>
    </row>
    <row r="781" spans="1:2" x14ac:dyDescent="0.25">
      <c r="A781" s="15">
        <v>45701.29042824074</v>
      </c>
      <c r="B781" s="14">
        <v>428756262</v>
      </c>
    </row>
    <row r="782" spans="1:2" x14ac:dyDescent="0.25">
      <c r="A782" s="15">
        <v>45701.290439814817</v>
      </c>
      <c r="B782" s="14">
        <v>428756263</v>
      </c>
    </row>
    <row r="783" spans="1:2" x14ac:dyDescent="0.25">
      <c r="A783" s="15">
        <v>45701.290451388886</v>
      </c>
      <c r="B783" s="14">
        <v>428756273</v>
      </c>
    </row>
    <row r="784" spans="1:2" x14ac:dyDescent="0.25">
      <c r="A784" s="15">
        <v>45701.290451388886</v>
      </c>
      <c r="B784" s="14">
        <v>428756274</v>
      </c>
    </row>
    <row r="785" spans="1:2" x14ac:dyDescent="0.25">
      <c r="A785" s="15">
        <v>45701.290451388886</v>
      </c>
      <c r="B785" s="14">
        <v>428756284</v>
      </c>
    </row>
    <row r="786" spans="1:2" x14ac:dyDescent="0.25">
      <c r="A786" s="15">
        <v>45701.29047453704</v>
      </c>
      <c r="B786" s="14">
        <v>428756295</v>
      </c>
    </row>
    <row r="787" spans="1:2" x14ac:dyDescent="0.25">
      <c r="A787" s="15">
        <v>45701.290486111109</v>
      </c>
      <c r="B787" s="14">
        <v>428756306</v>
      </c>
    </row>
    <row r="788" spans="1:2" x14ac:dyDescent="0.25">
      <c r="A788" s="15">
        <v>45701.290497685186</v>
      </c>
      <c r="B788" s="14">
        <v>428756315</v>
      </c>
    </row>
    <row r="789" spans="1:2" x14ac:dyDescent="0.25">
      <c r="A789" s="15">
        <v>45701.290509259263</v>
      </c>
      <c r="B789" s="14">
        <v>428756325</v>
      </c>
    </row>
    <row r="790" spans="1:2" x14ac:dyDescent="0.25">
      <c r="A790" s="15">
        <v>45701.290520833332</v>
      </c>
      <c r="B790" s="14">
        <v>428756334</v>
      </c>
    </row>
    <row r="791" spans="1:2" x14ac:dyDescent="0.25">
      <c r="A791" s="15">
        <v>45701.290532407409</v>
      </c>
      <c r="B791" s="14">
        <v>428756343</v>
      </c>
    </row>
    <row r="792" spans="1:2" x14ac:dyDescent="0.25">
      <c r="A792" s="15">
        <v>45701.290543981479</v>
      </c>
      <c r="B792" s="14">
        <v>428756352</v>
      </c>
    </row>
    <row r="793" spans="1:2" x14ac:dyDescent="0.25">
      <c r="A793" s="15">
        <v>45701.290555555555</v>
      </c>
      <c r="B793" s="14">
        <v>428756359</v>
      </c>
    </row>
    <row r="794" spans="1:2" x14ac:dyDescent="0.25">
      <c r="A794" s="15">
        <v>45701.290567129632</v>
      </c>
      <c r="B794" s="14">
        <v>428756367</v>
      </c>
    </row>
    <row r="795" spans="1:2" x14ac:dyDescent="0.25">
      <c r="A795" s="15">
        <v>45701.290578703702</v>
      </c>
      <c r="B795" s="14">
        <v>428756373</v>
      </c>
    </row>
    <row r="796" spans="1:2" x14ac:dyDescent="0.25">
      <c r="A796" s="15">
        <v>45701.290590277778</v>
      </c>
      <c r="B796" s="14">
        <v>428756380</v>
      </c>
    </row>
    <row r="797" spans="1:2" x14ac:dyDescent="0.25">
      <c r="A797" s="15">
        <v>45701.290601851855</v>
      </c>
      <c r="B797" s="14">
        <v>428756385</v>
      </c>
    </row>
    <row r="798" spans="1:2" x14ac:dyDescent="0.25">
      <c r="A798" s="15">
        <v>45701.290613425925</v>
      </c>
      <c r="B798" s="14">
        <v>428756390</v>
      </c>
    </row>
    <row r="799" spans="1:2" x14ac:dyDescent="0.25">
      <c r="A799" s="15">
        <v>45701.290613425925</v>
      </c>
      <c r="B799" s="14">
        <v>428756392</v>
      </c>
    </row>
    <row r="800" spans="1:2" x14ac:dyDescent="0.25">
      <c r="A800" s="15">
        <v>45701.290625000001</v>
      </c>
      <c r="B800" s="14">
        <v>428756394</v>
      </c>
    </row>
    <row r="801" spans="1:2" x14ac:dyDescent="0.25">
      <c r="A801" s="15">
        <v>45701.290625000001</v>
      </c>
      <c r="B801" s="14">
        <v>428756395</v>
      </c>
    </row>
    <row r="802" spans="1:2" x14ac:dyDescent="0.25">
      <c r="A802" s="15">
        <v>45701.290636574071</v>
      </c>
      <c r="B802" s="14">
        <v>428756397</v>
      </c>
    </row>
    <row r="803" spans="1:2" x14ac:dyDescent="0.25">
      <c r="A803" s="15">
        <v>45701.290636574071</v>
      </c>
      <c r="B803" s="14">
        <v>428756398</v>
      </c>
    </row>
    <row r="804" spans="1:2" x14ac:dyDescent="0.25">
      <c r="A804" s="15">
        <v>45701.290648148148</v>
      </c>
      <c r="B804" s="14">
        <v>428756401</v>
      </c>
    </row>
    <row r="805" spans="1:2" x14ac:dyDescent="0.25">
      <c r="A805" s="15">
        <v>45701.290659722225</v>
      </c>
      <c r="B805" s="14">
        <v>428756404</v>
      </c>
    </row>
    <row r="806" spans="1:2" x14ac:dyDescent="0.25">
      <c r="A806" s="15">
        <v>45701.290671296294</v>
      </c>
      <c r="B806" s="14">
        <v>428756408</v>
      </c>
    </row>
    <row r="807" spans="1:2" x14ac:dyDescent="0.25">
      <c r="A807" s="15">
        <v>45701.290671296294</v>
      </c>
      <c r="B807" s="14">
        <v>428756411</v>
      </c>
    </row>
    <row r="808" spans="1:2" x14ac:dyDescent="0.25">
      <c r="A808" s="15">
        <v>45701.290694444448</v>
      </c>
      <c r="B808" s="14">
        <v>428756415</v>
      </c>
    </row>
    <row r="809" spans="1:2" x14ac:dyDescent="0.25">
      <c r="A809" s="15">
        <v>45701.290694444448</v>
      </c>
      <c r="B809" s="14">
        <v>428756416</v>
      </c>
    </row>
    <row r="810" spans="1:2" x14ac:dyDescent="0.25">
      <c r="A810" s="15">
        <v>45701.290706018517</v>
      </c>
      <c r="B810" s="14">
        <v>428756420</v>
      </c>
    </row>
    <row r="811" spans="1:2" x14ac:dyDescent="0.25">
      <c r="A811" s="15">
        <v>45701.290717592594</v>
      </c>
      <c r="B811" s="14">
        <v>428756424</v>
      </c>
    </row>
    <row r="812" spans="1:2" x14ac:dyDescent="0.25">
      <c r="A812" s="15">
        <v>45701.290717592594</v>
      </c>
      <c r="B812" s="14">
        <v>428756427</v>
      </c>
    </row>
    <row r="813" spans="1:2" x14ac:dyDescent="0.25">
      <c r="A813" s="15">
        <v>45701.290729166663</v>
      </c>
      <c r="B813" s="14">
        <v>428756428</v>
      </c>
    </row>
    <row r="814" spans="1:2" x14ac:dyDescent="0.25">
      <c r="A814" s="15">
        <v>45701.29074074074</v>
      </c>
      <c r="B814" s="14">
        <v>428756432</v>
      </c>
    </row>
    <row r="815" spans="1:2" x14ac:dyDescent="0.25">
      <c r="A815" s="15">
        <v>45701.29074074074</v>
      </c>
      <c r="B815" s="14">
        <v>428756436</v>
      </c>
    </row>
    <row r="816" spans="1:2" x14ac:dyDescent="0.25">
      <c r="A816" s="15">
        <v>45701.290763888886</v>
      </c>
      <c r="B816" s="14">
        <v>428756439</v>
      </c>
    </row>
    <row r="817" spans="1:2" x14ac:dyDescent="0.25">
      <c r="A817" s="15">
        <v>45701.290775462963</v>
      </c>
      <c r="B817" s="14">
        <v>428756443</v>
      </c>
    </row>
    <row r="818" spans="1:2" x14ac:dyDescent="0.25">
      <c r="A818" s="15">
        <v>45701.29078703704</v>
      </c>
      <c r="B818" s="14">
        <v>428756447</v>
      </c>
    </row>
    <row r="819" spans="1:2" x14ac:dyDescent="0.25">
      <c r="A819" s="15">
        <v>45701.290798611109</v>
      </c>
      <c r="B819" s="14">
        <v>428756451</v>
      </c>
    </row>
    <row r="820" spans="1:2" x14ac:dyDescent="0.25">
      <c r="A820" s="15">
        <v>45701.290810185186</v>
      </c>
      <c r="B820" s="14">
        <v>428756454</v>
      </c>
    </row>
    <row r="821" spans="1:2" x14ac:dyDescent="0.25">
      <c r="A821" s="15">
        <v>45701.290821759256</v>
      </c>
      <c r="B821" s="14">
        <v>428756457</v>
      </c>
    </row>
    <row r="822" spans="1:2" x14ac:dyDescent="0.25">
      <c r="A822" s="15">
        <v>45701.290821759256</v>
      </c>
      <c r="B822" s="14">
        <v>428756460</v>
      </c>
    </row>
    <row r="823" spans="1:2" x14ac:dyDescent="0.25">
      <c r="A823" s="15">
        <v>45701.290844907409</v>
      </c>
      <c r="B823" s="14">
        <v>428756464</v>
      </c>
    </row>
    <row r="824" spans="1:2" x14ac:dyDescent="0.25">
      <c r="A824" s="15">
        <v>45701.290856481479</v>
      </c>
      <c r="B824" s="14">
        <v>428756468</v>
      </c>
    </row>
    <row r="825" spans="1:2" x14ac:dyDescent="0.25">
      <c r="A825" s="15">
        <v>45701.290868055556</v>
      </c>
      <c r="B825" s="14">
        <v>428756471</v>
      </c>
    </row>
    <row r="826" spans="1:2" x14ac:dyDescent="0.25">
      <c r="A826" s="15">
        <v>45701.290879629632</v>
      </c>
      <c r="B826" s="14">
        <v>428756476</v>
      </c>
    </row>
    <row r="827" spans="1:2" x14ac:dyDescent="0.25">
      <c r="A827" s="15">
        <v>45701.290891203702</v>
      </c>
      <c r="B827" s="14">
        <v>428756480</v>
      </c>
    </row>
    <row r="828" spans="1:2" x14ac:dyDescent="0.25">
      <c r="A828" s="15">
        <v>45701.290902777779</v>
      </c>
      <c r="B828" s="14">
        <v>428756484</v>
      </c>
    </row>
    <row r="829" spans="1:2" x14ac:dyDescent="0.25">
      <c r="A829" s="15">
        <v>45701.290914351855</v>
      </c>
      <c r="B829" s="14">
        <v>428756488</v>
      </c>
    </row>
    <row r="830" spans="1:2" x14ac:dyDescent="0.25">
      <c r="A830" s="15">
        <v>45701.290914351855</v>
      </c>
      <c r="B830" s="14">
        <v>428756489</v>
      </c>
    </row>
    <row r="831" spans="1:2" x14ac:dyDescent="0.25">
      <c r="A831" s="15">
        <v>45701.290914351855</v>
      </c>
      <c r="B831" s="14">
        <v>428756492</v>
      </c>
    </row>
    <row r="832" spans="1:2" x14ac:dyDescent="0.25">
      <c r="A832" s="15">
        <v>45701.290937500002</v>
      </c>
      <c r="B832" s="14">
        <v>428756496</v>
      </c>
    </row>
    <row r="833" spans="1:2" x14ac:dyDescent="0.25">
      <c r="A833" s="15">
        <v>45701.290949074071</v>
      </c>
      <c r="B833" s="14">
        <v>428756500</v>
      </c>
    </row>
    <row r="834" spans="1:2" x14ac:dyDescent="0.25">
      <c r="A834" s="15">
        <v>45701.290960648148</v>
      </c>
      <c r="B834" s="14">
        <v>428756504</v>
      </c>
    </row>
    <row r="835" spans="1:2" x14ac:dyDescent="0.25">
      <c r="A835" s="15">
        <v>45701.290972222225</v>
      </c>
      <c r="B835" s="14">
        <v>428756509</v>
      </c>
    </row>
    <row r="836" spans="1:2" x14ac:dyDescent="0.25">
      <c r="A836" s="15">
        <v>45701.290983796294</v>
      </c>
      <c r="B836" s="14">
        <v>428756514</v>
      </c>
    </row>
    <row r="837" spans="1:2" x14ac:dyDescent="0.25">
      <c r="A837" s="15">
        <v>45701.290995370371</v>
      </c>
      <c r="B837" s="14">
        <v>428756519</v>
      </c>
    </row>
    <row r="838" spans="1:2" x14ac:dyDescent="0.25">
      <c r="A838" s="15">
        <v>45701.291006944448</v>
      </c>
      <c r="B838" s="14">
        <v>428756524</v>
      </c>
    </row>
    <row r="839" spans="1:2" x14ac:dyDescent="0.25">
      <c r="A839" s="15">
        <v>45701.291018518517</v>
      </c>
      <c r="B839" s="14">
        <v>428756530</v>
      </c>
    </row>
    <row r="840" spans="1:2" x14ac:dyDescent="0.25">
      <c r="A840" s="15">
        <v>45701.291030092594</v>
      </c>
      <c r="B840" s="14">
        <v>428756535</v>
      </c>
    </row>
    <row r="841" spans="1:2" x14ac:dyDescent="0.25">
      <c r="A841" s="15">
        <v>45701.291041666664</v>
      </c>
      <c r="B841" s="14">
        <v>428756541</v>
      </c>
    </row>
    <row r="842" spans="1:2" x14ac:dyDescent="0.25">
      <c r="A842" s="15">
        <v>45701.29105324074</v>
      </c>
      <c r="B842" s="14">
        <v>428756546</v>
      </c>
    </row>
    <row r="843" spans="1:2" x14ac:dyDescent="0.25">
      <c r="A843" s="15">
        <v>45701.291064814817</v>
      </c>
      <c r="B843" s="14">
        <v>428756552</v>
      </c>
    </row>
    <row r="844" spans="1:2" x14ac:dyDescent="0.25">
      <c r="A844" s="15">
        <v>45701.291076388887</v>
      </c>
      <c r="B844" s="14">
        <v>428756558</v>
      </c>
    </row>
    <row r="845" spans="1:2" x14ac:dyDescent="0.25">
      <c r="A845" s="15">
        <v>45701.291087962964</v>
      </c>
      <c r="B845" s="14">
        <v>428756563</v>
      </c>
    </row>
    <row r="846" spans="1:2" x14ac:dyDescent="0.25">
      <c r="A846" s="15">
        <v>45701.29109953704</v>
      </c>
      <c r="B846" s="14">
        <v>428756568</v>
      </c>
    </row>
    <row r="847" spans="1:2" x14ac:dyDescent="0.25">
      <c r="A847" s="15">
        <v>45701.29111111111</v>
      </c>
      <c r="B847" s="14">
        <v>428756574</v>
      </c>
    </row>
    <row r="848" spans="1:2" x14ac:dyDescent="0.25">
      <c r="A848" s="15">
        <v>45701.291122685187</v>
      </c>
      <c r="B848" s="14">
        <v>428756579</v>
      </c>
    </row>
    <row r="849" spans="1:2" x14ac:dyDescent="0.25">
      <c r="A849" s="15">
        <v>45701.291134259256</v>
      </c>
      <c r="B849" s="14">
        <v>428756585</v>
      </c>
    </row>
    <row r="850" spans="1:2" x14ac:dyDescent="0.25">
      <c r="A850" s="15">
        <v>45701.291145833333</v>
      </c>
      <c r="B850" s="14">
        <v>428756591</v>
      </c>
    </row>
    <row r="851" spans="1:2" x14ac:dyDescent="0.25">
      <c r="A851" s="15">
        <v>45701.291145833333</v>
      </c>
      <c r="B851" s="14">
        <v>428756596</v>
      </c>
    </row>
    <row r="852" spans="1:2" x14ac:dyDescent="0.25">
      <c r="A852" s="15">
        <v>45701.291168981479</v>
      </c>
      <c r="B852" s="14">
        <v>428756602</v>
      </c>
    </row>
    <row r="853" spans="1:2" x14ac:dyDescent="0.25">
      <c r="A853" s="15">
        <v>45701.291180555556</v>
      </c>
      <c r="B853" s="14">
        <v>428756607</v>
      </c>
    </row>
    <row r="854" spans="1:2" x14ac:dyDescent="0.25">
      <c r="A854" s="15">
        <v>45701.291180555556</v>
      </c>
      <c r="B854" s="14">
        <v>428756613</v>
      </c>
    </row>
    <row r="855" spans="1:2" x14ac:dyDescent="0.25">
      <c r="A855" s="15">
        <v>45701.291192129633</v>
      </c>
      <c r="B855" s="14">
        <v>428756614</v>
      </c>
    </row>
    <row r="856" spans="1:2" x14ac:dyDescent="0.25">
      <c r="A856" s="15">
        <v>45701.291203703702</v>
      </c>
      <c r="B856" s="14">
        <v>428756620</v>
      </c>
    </row>
    <row r="857" spans="1:2" x14ac:dyDescent="0.25">
      <c r="A857" s="15">
        <v>45701.291215277779</v>
      </c>
      <c r="B857" s="14">
        <v>428756626</v>
      </c>
    </row>
    <row r="858" spans="1:2" x14ac:dyDescent="0.25">
      <c r="A858" s="15">
        <v>45701.291215277779</v>
      </c>
      <c r="B858" s="14">
        <v>428756627</v>
      </c>
    </row>
    <row r="859" spans="1:2" x14ac:dyDescent="0.25">
      <c r="A859" s="15">
        <v>45701.291226851848</v>
      </c>
      <c r="B859" s="14">
        <v>428756631</v>
      </c>
    </row>
    <row r="860" spans="1:2" x14ac:dyDescent="0.25">
      <c r="A860" s="15">
        <v>45701.291238425925</v>
      </c>
      <c r="B860" s="14">
        <v>428756637</v>
      </c>
    </row>
    <row r="861" spans="1:2" x14ac:dyDescent="0.25">
      <c r="A861" s="15">
        <v>45701.291238425925</v>
      </c>
      <c r="B861" s="14">
        <v>428756638</v>
      </c>
    </row>
    <row r="862" spans="1:2" x14ac:dyDescent="0.25">
      <c r="A862" s="15">
        <v>45701.291238425925</v>
      </c>
      <c r="B862" s="14">
        <v>428756642</v>
      </c>
    </row>
    <row r="863" spans="1:2" x14ac:dyDescent="0.25">
      <c r="A863" s="15">
        <v>45701.291261574072</v>
      </c>
      <c r="B863" s="14">
        <v>428756648</v>
      </c>
    </row>
    <row r="864" spans="1:2" x14ac:dyDescent="0.25">
      <c r="A864" s="15">
        <v>45701.291273148148</v>
      </c>
      <c r="B864" s="14">
        <v>428756652</v>
      </c>
    </row>
    <row r="865" spans="1:2" x14ac:dyDescent="0.25">
      <c r="A865" s="15">
        <v>45701.291284722225</v>
      </c>
      <c r="B865" s="14">
        <v>428756656</v>
      </c>
    </row>
    <row r="866" spans="1:2" x14ac:dyDescent="0.25">
      <c r="A866" s="15">
        <v>45701.291296296295</v>
      </c>
      <c r="B866" s="14">
        <v>428756660</v>
      </c>
    </row>
    <row r="867" spans="1:2" x14ac:dyDescent="0.25">
      <c r="A867" s="15">
        <v>45701.291307870371</v>
      </c>
      <c r="B867" s="14">
        <v>428756662</v>
      </c>
    </row>
    <row r="868" spans="1:2" x14ac:dyDescent="0.25">
      <c r="A868" s="15">
        <v>45701.291319444441</v>
      </c>
      <c r="B868" s="14">
        <v>428756664</v>
      </c>
    </row>
    <row r="869" spans="1:2" x14ac:dyDescent="0.25">
      <c r="A869" s="15">
        <v>45701.291331018518</v>
      </c>
      <c r="B869" s="14">
        <v>428756665</v>
      </c>
    </row>
    <row r="870" spans="1:2" x14ac:dyDescent="0.25">
      <c r="A870" s="15">
        <v>45701.291342592594</v>
      </c>
      <c r="B870" s="14">
        <v>428756666</v>
      </c>
    </row>
    <row r="871" spans="1:2" x14ac:dyDescent="0.25">
      <c r="A871" s="15">
        <v>45701.291666666664</v>
      </c>
      <c r="B871" s="14">
        <v>428756667</v>
      </c>
    </row>
    <row r="872" spans="1:2" x14ac:dyDescent="0.25">
      <c r="A872" s="15">
        <v>45701.291689814818</v>
      </c>
      <c r="B872" s="14">
        <v>428756669</v>
      </c>
    </row>
    <row r="873" spans="1:2" x14ac:dyDescent="0.25">
      <c r="A873" s="15">
        <v>45701.291689814818</v>
      </c>
      <c r="B873" s="14">
        <v>428756672</v>
      </c>
    </row>
    <row r="874" spans="1:2" x14ac:dyDescent="0.25">
      <c r="A874" s="15">
        <v>45701.291712962964</v>
      </c>
      <c r="B874" s="14">
        <v>428756677</v>
      </c>
    </row>
    <row r="875" spans="1:2" x14ac:dyDescent="0.25">
      <c r="A875" s="15">
        <v>45701.291724537034</v>
      </c>
      <c r="B875" s="14">
        <v>428756682</v>
      </c>
    </row>
    <row r="876" spans="1:2" x14ac:dyDescent="0.25">
      <c r="A876" s="15">
        <v>45701.291724537034</v>
      </c>
      <c r="B876" s="14">
        <v>428756683</v>
      </c>
    </row>
    <row r="877" spans="1:2" x14ac:dyDescent="0.25">
      <c r="A877" s="15">
        <v>45701.29173611111</v>
      </c>
      <c r="B877" s="14">
        <v>428756689</v>
      </c>
    </row>
    <row r="878" spans="1:2" x14ac:dyDescent="0.25">
      <c r="A878" s="15">
        <v>45701.291747685187</v>
      </c>
      <c r="B878" s="14">
        <v>428756697</v>
      </c>
    </row>
    <row r="879" spans="1:2" x14ac:dyDescent="0.25">
      <c r="A879" s="15">
        <v>45701.291759259257</v>
      </c>
      <c r="B879" s="14">
        <v>428756706</v>
      </c>
    </row>
    <row r="880" spans="1:2" x14ac:dyDescent="0.25">
      <c r="A880" s="15">
        <v>45701.291770833333</v>
      </c>
      <c r="B880" s="14">
        <v>428756716</v>
      </c>
    </row>
    <row r="881" spans="1:2" x14ac:dyDescent="0.25">
      <c r="A881" s="15">
        <v>45701.29178240741</v>
      </c>
      <c r="B881" s="14">
        <v>428756726</v>
      </c>
    </row>
    <row r="882" spans="1:2" x14ac:dyDescent="0.25">
      <c r="A882" s="15">
        <v>45701.29179398148</v>
      </c>
      <c r="B882" s="14">
        <v>428756737</v>
      </c>
    </row>
    <row r="883" spans="1:2" x14ac:dyDescent="0.25">
      <c r="A883" s="15">
        <v>45701.29179398148</v>
      </c>
      <c r="B883" s="14">
        <v>428756738</v>
      </c>
    </row>
    <row r="884" spans="1:2" x14ac:dyDescent="0.25">
      <c r="A884" s="15">
        <v>45701.291805555556</v>
      </c>
      <c r="B884" s="14">
        <v>428756749</v>
      </c>
    </row>
    <row r="885" spans="1:2" x14ac:dyDescent="0.25">
      <c r="A885" s="15">
        <v>45701.291805555556</v>
      </c>
      <c r="B885" s="14">
        <v>428756750</v>
      </c>
    </row>
    <row r="886" spans="1:2" x14ac:dyDescent="0.25">
      <c r="A886" s="15">
        <v>45701.291817129626</v>
      </c>
      <c r="B886" s="14">
        <v>428756763</v>
      </c>
    </row>
    <row r="887" spans="1:2" x14ac:dyDescent="0.25">
      <c r="A887" s="15">
        <v>45701.291828703703</v>
      </c>
      <c r="B887" s="14">
        <v>428756777</v>
      </c>
    </row>
    <row r="888" spans="1:2" x14ac:dyDescent="0.25">
      <c r="A888" s="15">
        <v>45701.29184027778</v>
      </c>
      <c r="B888" s="14">
        <v>428756793</v>
      </c>
    </row>
    <row r="889" spans="1:2" x14ac:dyDescent="0.25">
      <c r="A889" s="15">
        <v>45701.29184027778</v>
      </c>
      <c r="B889" s="14">
        <v>428756807</v>
      </c>
    </row>
    <row r="890" spans="1:2" x14ac:dyDescent="0.25">
      <c r="A890" s="15">
        <v>45701.291863425926</v>
      </c>
      <c r="B890" s="14">
        <v>428756824</v>
      </c>
    </row>
    <row r="891" spans="1:2" x14ac:dyDescent="0.25">
      <c r="A891" s="15">
        <v>45701.291875000003</v>
      </c>
      <c r="B891" s="14">
        <v>428756840</v>
      </c>
    </row>
    <row r="892" spans="1:2" x14ac:dyDescent="0.25">
      <c r="A892" s="15">
        <v>45701.291875000003</v>
      </c>
      <c r="B892" s="14">
        <v>428756852</v>
      </c>
    </row>
    <row r="893" spans="1:2" x14ac:dyDescent="0.25">
      <c r="A893" s="15">
        <v>45701.291886574072</v>
      </c>
      <c r="B893" s="14">
        <v>428756856</v>
      </c>
    </row>
    <row r="894" spans="1:2" x14ac:dyDescent="0.25">
      <c r="A894" s="15">
        <v>45701.291898148149</v>
      </c>
      <c r="B894" s="14">
        <v>428756872</v>
      </c>
    </row>
    <row r="895" spans="1:2" x14ac:dyDescent="0.25">
      <c r="A895" s="15">
        <v>45701.291909722226</v>
      </c>
      <c r="B895" s="14">
        <v>428756890</v>
      </c>
    </row>
    <row r="896" spans="1:2" x14ac:dyDescent="0.25">
      <c r="A896" s="15">
        <v>45701.291921296295</v>
      </c>
      <c r="B896" s="14">
        <v>428756907</v>
      </c>
    </row>
    <row r="897" spans="1:2" x14ac:dyDescent="0.25">
      <c r="A897" s="15">
        <v>45701.291932870372</v>
      </c>
      <c r="B897" s="14">
        <v>428756927</v>
      </c>
    </row>
    <row r="898" spans="1:2" x14ac:dyDescent="0.25">
      <c r="A898" s="15">
        <v>45701.291944444441</v>
      </c>
      <c r="B898" s="14">
        <v>428756953</v>
      </c>
    </row>
    <row r="899" spans="1:2" x14ac:dyDescent="0.25">
      <c r="A899" s="15">
        <v>45701.291956018518</v>
      </c>
      <c r="B899" s="14">
        <v>428756960</v>
      </c>
    </row>
    <row r="900" spans="1:2" x14ac:dyDescent="0.25">
      <c r="A900" s="15">
        <v>45701.291967592595</v>
      </c>
      <c r="B900" s="14">
        <v>428756977</v>
      </c>
    </row>
    <row r="901" spans="1:2" x14ac:dyDescent="0.25">
      <c r="A901" s="15">
        <v>45701.291979166665</v>
      </c>
      <c r="B901" s="14">
        <v>428756996</v>
      </c>
    </row>
    <row r="902" spans="1:2" x14ac:dyDescent="0.25">
      <c r="A902" s="15">
        <v>45701.291990740741</v>
      </c>
      <c r="B902" s="14">
        <v>428757011</v>
      </c>
    </row>
    <row r="903" spans="1:2" x14ac:dyDescent="0.25">
      <c r="A903" s="15">
        <v>45701.292002314818</v>
      </c>
      <c r="B903" s="14">
        <v>428757029</v>
      </c>
    </row>
    <row r="904" spans="1:2" x14ac:dyDescent="0.25">
      <c r="A904" s="15">
        <v>45701.292002314818</v>
      </c>
      <c r="B904" s="14">
        <v>428757047</v>
      </c>
    </row>
    <row r="905" spans="1:2" x14ac:dyDescent="0.25">
      <c r="A905" s="15">
        <v>45701.292025462964</v>
      </c>
      <c r="B905" s="14">
        <v>428757065</v>
      </c>
    </row>
    <row r="906" spans="1:2" x14ac:dyDescent="0.25">
      <c r="A906" s="15">
        <v>45701.292037037034</v>
      </c>
      <c r="B906" s="14">
        <v>428757082</v>
      </c>
    </row>
    <row r="907" spans="1:2" x14ac:dyDescent="0.25">
      <c r="A907" s="15">
        <v>45701.292048611111</v>
      </c>
      <c r="B907" s="14">
        <v>428757098</v>
      </c>
    </row>
    <row r="908" spans="1:2" x14ac:dyDescent="0.25">
      <c r="A908" s="15">
        <v>45701.292048611111</v>
      </c>
      <c r="B908" s="14">
        <v>428757102</v>
      </c>
    </row>
    <row r="909" spans="1:2" x14ac:dyDescent="0.25">
      <c r="A909" s="15">
        <v>45701.292048611111</v>
      </c>
      <c r="B909" s="14">
        <v>428757107</v>
      </c>
    </row>
    <row r="910" spans="1:2" x14ac:dyDescent="0.25">
      <c r="A910" s="15">
        <v>45701.292060185187</v>
      </c>
      <c r="B910" s="14">
        <v>428757115</v>
      </c>
    </row>
    <row r="911" spans="1:2" x14ac:dyDescent="0.25">
      <c r="A911" s="15">
        <v>45701.292071759257</v>
      </c>
      <c r="B911" s="14">
        <v>428757130</v>
      </c>
    </row>
    <row r="912" spans="1:2" x14ac:dyDescent="0.25">
      <c r="A912" s="15">
        <v>45701.292083333334</v>
      </c>
      <c r="B912" s="14">
        <v>428757147</v>
      </c>
    </row>
    <row r="913" spans="1:2" x14ac:dyDescent="0.25">
      <c r="A913" s="15">
        <v>45701.292094907411</v>
      </c>
      <c r="B913" s="14">
        <v>428757161</v>
      </c>
    </row>
    <row r="914" spans="1:2" x14ac:dyDescent="0.25">
      <c r="A914" s="15">
        <v>45701.292094907411</v>
      </c>
      <c r="B914" s="14">
        <v>428757175</v>
      </c>
    </row>
    <row r="915" spans="1:2" x14ac:dyDescent="0.25">
      <c r="A915" s="15">
        <v>45701.29210648148</v>
      </c>
      <c r="B915" s="14">
        <v>428757177</v>
      </c>
    </row>
    <row r="916" spans="1:2" x14ac:dyDescent="0.25">
      <c r="A916" s="15">
        <v>45701.292118055557</v>
      </c>
      <c r="B916" s="14">
        <v>428757189</v>
      </c>
    </row>
    <row r="917" spans="1:2" x14ac:dyDescent="0.25">
      <c r="A917" s="15">
        <v>45701.292129629626</v>
      </c>
      <c r="B917" s="14">
        <v>428757200</v>
      </c>
    </row>
    <row r="918" spans="1:2" x14ac:dyDescent="0.25">
      <c r="A918" s="15">
        <v>45701.292129629626</v>
      </c>
      <c r="B918" s="14">
        <v>428757205</v>
      </c>
    </row>
    <row r="919" spans="1:2" x14ac:dyDescent="0.25">
      <c r="A919" s="15">
        <v>45701.292141203703</v>
      </c>
      <c r="B919" s="14">
        <v>428757216</v>
      </c>
    </row>
    <row r="920" spans="1:2" x14ac:dyDescent="0.25">
      <c r="A920" s="15">
        <v>45701.29215277778</v>
      </c>
      <c r="B920" s="14">
        <v>428757228</v>
      </c>
    </row>
    <row r="921" spans="1:2" x14ac:dyDescent="0.25">
      <c r="A921" s="15">
        <v>45701.292164351849</v>
      </c>
      <c r="B921" s="14">
        <v>428757241</v>
      </c>
    </row>
    <row r="922" spans="1:2" x14ac:dyDescent="0.25">
      <c r="A922" s="15">
        <v>45701.292175925926</v>
      </c>
      <c r="B922" s="14">
        <v>428757254</v>
      </c>
    </row>
    <row r="923" spans="1:2" x14ac:dyDescent="0.25">
      <c r="A923" s="15">
        <v>45701.292187500003</v>
      </c>
      <c r="B923" s="14">
        <v>428757267</v>
      </c>
    </row>
    <row r="924" spans="1:2" x14ac:dyDescent="0.25">
      <c r="A924" s="15">
        <v>45701.292199074072</v>
      </c>
      <c r="B924" s="14">
        <v>428757279</v>
      </c>
    </row>
    <row r="925" spans="1:2" x14ac:dyDescent="0.25">
      <c r="A925" s="15">
        <v>45701.292210648149</v>
      </c>
      <c r="B925" s="14">
        <v>428757293</v>
      </c>
    </row>
    <row r="926" spans="1:2" x14ac:dyDescent="0.25">
      <c r="A926" s="15">
        <v>45701.292222222219</v>
      </c>
      <c r="B926" s="14">
        <v>428757306</v>
      </c>
    </row>
    <row r="927" spans="1:2" x14ac:dyDescent="0.25">
      <c r="A927" s="15">
        <v>45701.292222222219</v>
      </c>
      <c r="B927" s="14">
        <v>428757318</v>
      </c>
    </row>
    <row r="928" spans="1:2" x14ac:dyDescent="0.25">
      <c r="A928" s="15">
        <v>45701.292245370372</v>
      </c>
      <c r="B928" s="14">
        <v>428757331</v>
      </c>
    </row>
    <row r="929" spans="1:2" x14ac:dyDescent="0.25">
      <c r="A929" s="15">
        <v>45701.292245370372</v>
      </c>
      <c r="B929" s="14">
        <v>428757344</v>
      </c>
    </row>
    <row r="930" spans="1:2" x14ac:dyDescent="0.25">
      <c r="A930" s="15">
        <v>45701.292268518519</v>
      </c>
      <c r="B930" s="14">
        <v>428757358</v>
      </c>
    </row>
    <row r="931" spans="1:2" x14ac:dyDescent="0.25">
      <c r="A931" s="15">
        <v>45701.292280092595</v>
      </c>
      <c r="B931" s="14">
        <v>428757375</v>
      </c>
    </row>
    <row r="932" spans="1:2" x14ac:dyDescent="0.25">
      <c r="A932" s="15">
        <v>45701.292291666665</v>
      </c>
      <c r="B932" s="14">
        <v>428757390</v>
      </c>
    </row>
    <row r="933" spans="1:2" x14ac:dyDescent="0.25">
      <c r="A933" s="15">
        <v>45701.292303240742</v>
      </c>
      <c r="B933" s="14">
        <v>428757408</v>
      </c>
    </row>
    <row r="934" spans="1:2" x14ac:dyDescent="0.25">
      <c r="A934" s="15">
        <v>45701.292314814818</v>
      </c>
      <c r="B934" s="14">
        <v>428757425</v>
      </c>
    </row>
    <row r="935" spans="1:2" x14ac:dyDescent="0.25">
      <c r="A935" s="15">
        <v>45701.292326388888</v>
      </c>
      <c r="B935" s="14">
        <v>428757440</v>
      </c>
    </row>
    <row r="936" spans="1:2" x14ac:dyDescent="0.25">
      <c r="A936" s="15">
        <v>45701.292337962965</v>
      </c>
      <c r="B936" s="14">
        <v>428757457</v>
      </c>
    </row>
    <row r="937" spans="1:2" x14ac:dyDescent="0.25">
      <c r="A937" s="15">
        <v>45701.292337962965</v>
      </c>
      <c r="B937" s="14">
        <v>428757471</v>
      </c>
    </row>
    <row r="938" spans="1:2" x14ac:dyDescent="0.25">
      <c r="A938" s="15">
        <v>45701.292349537034</v>
      </c>
      <c r="B938" s="14">
        <v>428757475</v>
      </c>
    </row>
    <row r="939" spans="1:2" x14ac:dyDescent="0.25">
      <c r="A939" s="15">
        <v>45701.292349537034</v>
      </c>
      <c r="B939" s="14">
        <v>428757482</v>
      </c>
    </row>
    <row r="940" spans="1:2" x14ac:dyDescent="0.25">
      <c r="A940" s="15">
        <v>45701.292361111111</v>
      </c>
      <c r="B940" s="14">
        <v>428757488</v>
      </c>
    </row>
    <row r="941" spans="1:2" x14ac:dyDescent="0.25">
      <c r="A941" s="15">
        <v>45701.292361111111</v>
      </c>
      <c r="B941" s="14">
        <v>428757489</v>
      </c>
    </row>
    <row r="942" spans="1:2" x14ac:dyDescent="0.25">
      <c r="A942" s="15">
        <v>45701.292372685188</v>
      </c>
      <c r="B942" s="14">
        <v>428757505</v>
      </c>
    </row>
    <row r="943" spans="1:2" x14ac:dyDescent="0.25">
      <c r="A943" s="15">
        <v>45701.292372685188</v>
      </c>
      <c r="B943" s="14">
        <v>428757506</v>
      </c>
    </row>
    <row r="944" spans="1:2" x14ac:dyDescent="0.25">
      <c r="A944" s="15">
        <v>45701.292384259257</v>
      </c>
      <c r="B944" s="14">
        <v>428757521</v>
      </c>
    </row>
    <row r="945" spans="1:2" x14ac:dyDescent="0.25">
      <c r="A945" s="15">
        <v>45701.292395833334</v>
      </c>
      <c r="B945" s="14">
        <v>428757536</v>
      </c>
    </row>
    <row r="946" spans="1:2" x14ac:dyDescent="0.25">
      <c r="A946" s="15">
        <v>45701.292407407411</v>
      </c>
      <c r="B946" s="14">
        <v>428757553</v>
      </c>
    </row>
    <row r="947" spans="1:2" x14ac:dyDescent="0.25">
      <c r="A947" s="15">
        <v>45701.29241898148</v>
      </c>
      <c r="B947" s="14">
        <v>428757566</v>
      </c>
    </row>
    <row r="948" spans="1:2" x14ac:dyDescent="0.25">
      <c r="A948" s="15">
        <v>45701.292430555557</v>
      </c>
      <c r="B948" s="14">
        <v>428757581</v>
      </c>
    </row>
    <row r="949" spans="1:2" x14ac:dyDescent="0.25">
      <c r="A949" s="15">
        <v>45701.292442129627</v>
      </c>
      <c r="B949" s="14">
        <v>428757594</v>
      </c>
    </row>
    <row r="950" spans="1:2" x14ac:dyDescent="0.25">
      <c r="A950" s="15">
        <v>45701.292442129627</v>
      </c>
      <c r="B950" s="14">
        <v>428757603</v>
      </c>
    </row>
    <row r="951" spans="1:2" x14ac:dyDescent="0.25">
      <c r="A951" s="15">
        <v>45701.292453703703</v>
      </c>
      <c r="B951" s="14">
        <v>428757607</v>
      </c>
    </row>
    <row r="952" spans="1:2" x14ac:dyDescent="0.25">
      <c r="A952" s="15">
        <v>45701.292453703703</v>
      </c>
      <c r="B952" s="14">
        <v>428757608</v>
      </c>
    </row>
    <row r="953" spans="1:2" x14ac:dyDescent="0.25">
      <c r="A953" s="15">
        <v>45701.29246527778</v>
      </c>
      <c r="B953" s="14">
        <v>428757618</v>
      </c>
    </row>
    <row r="954" spans="1:2" x14ac:dyDescent="0.25">
      <c r="A954" s="15">
        <v>45701.29246527778</v>
      </c>
      <c r="B954" s="14">
        <v>428757629</v>
      </c>
    </row>
    <row r="955" spans="1:2" x14ac:dyDescent="0.25">
      <c r="A955" s="15">
        <v>45701.292488425926</v>
      </c>
      <c r="B955" s="14">
        <v>428757641</v>
      </c>
    </row>
    <row r="956" spans="1:2" x14ac:dyDescent="0.25">
      <c r="A956" s="15">
        <v>45701.292488425926</v>
      </c>
      <c r="B956" s="14">
        <v>428757653</v>
      </c>
    </row>
    <row r="957" spans="1:2" x14ac:dyDescent="0.25">
      <c r="A957" s="15">
        <v>45701.292511574073</v>
      </c>
      <c r="B957" s="14">
        <v>428757664</v>
      </c>
    </row>
    <row r="958" spans="1:2" x14ac:dyDescent="0.25">
      <c r="A958" s="15">
        <v>45701.292523148149</v>
      </c>
      <c r="B958" s="14">
        <v>428757678</v>
      </c>
    </row>
    <row r="959" spans="1:2" x14ac:dyDescent="0.25">
      <c r="A959" s="15">
        <v>45701.292534722219</v>
      </c>
      <c r="B959" s="14">
        <v>428757691</v>
      </c>
    </row>
    <row r="960" spans="1:2" x14ac:dyDescent="0.25">
      <c r="A960" s="15">
        <v>45701.292546296296</v>
      </c>
      <c r="B960" s="14">
        <v>428757703</v>
      </c>
    </row>
    <row r="961" spans="1:2" x14ac:dyDescent="0.25">
      <c r="A961" s="15">
        <v>45701.292546296296</v>
      </c>
      <c r="B961" s="14">
        <v>428757704</v>
      </c>
    </row>
    <row r="962" spans="1:2" x14ac:dyDescent="0.25">
      <c r="A962" s="15">
        <v>45701.292557870373</v>
      </c>
      <c r="B962" s="14">
        <v>428757717</v>
      </c>
    </row>
    <row r="963" spans="1:2" x14ac:dyDescent="0.25">
      <c r="A963" s="15">
        <v>45701.292569444442</v>
      </c>
      <c r="B963" s="14">
        <v>428757729</v>
      </c>
    </row>
    <row r="964" spans="1:2" x14ac:dyDescent="0.25">
      <c r="A964" s="15">
        <v>45701.292581018519</v>
      </c>
      <c r="B964" s="14">
        <v>428757745</v>
      </c>
    </row>
    <row r="965" spans="1:2" x14ac:dyDescent="0.25">
      <c r="A965" s="15">
        <v>45701.292592592596</v>
      </c>
      <c r="B965" s="14">
        <v>428757760</v>
      </c>
    </row>
    <row r="966" spans="1:2" x14ac:dyDescent="0.25">
      <c r="A966" s="15">
        <v>45701.292604166665</v>
      </c>
      <c r="B966" s="14">
        <v>428757774</v>
      </c>
    </row>
    <row r="967" spans="1:2" x14ac:dyDescent="0.25">
      <c r="A967" s="15">
        <v>45701.292615740742</v>
      </c>
      <c r="B967" s="14">
        <v>428757790</v>
      </c>
    </row>
    <row r="968" spans="1:2" x14ac:dyDescent="0.25">
      <c r="A968" s="15">
        <v>45701.292627314811</v>
      </c>
      <c r="B968" s="14">
        <v>428757807</v>
      </c>
    </row>
    <row r="969" spans="1:2" x14ac:dyDescent="0.25">
      <c r="A969" s="15">
        <v>45701.292638888888</v>
      </c>
      <c r="B969" s="14">
        <v>428757822</v>
      </c>
    </row>
    <row r="970" spans="1:2" x14ac:dyDescent="0.25">
      <c r="A970" s="15">
        <v>45701.292650462965</v>
      </c>
      <c r="B970" s="14">
        <v>428757839</v>
      </c>
    </row>
    <row r="971" spans="1:2" x14ac:dyDescent="0.25">
      <c r="A971" s="15">
        <v>45701.292662037034</v>
      </c>
      <c r="B971" s="14">
        <v>428757853</v>
      </c>
    </row>
    <row r="972" spans="1:2" x14ac:dyDescent="0.25">
      <c r="A972" s="15">
        <v>45701.292673611111</v>
      </c>
      <c r="B972" s="14">
        <v>428757870</v>
      </c>
    </row>
    <row r="973" spans="1:2" x14ac:dyDescent="0.25">
      <c r="A973" s="15">
        <v>45701.292685185188</v>
      </c>
      <c r="B973" s="14">
        <v>428757885</v>
      </c>
    </row>
    <row r="974" spans="1:2" x14ac:dyDescent="0.25">
      <c r="A974" s="15">
        <v>45701.292696759258</v>
      </c>
      <c r="B974" s="14">
        <v>428757900</v>
      </c>
    </row>
    <row r="975" spans="1:2" x14ac:dyDescent="0.25">
      <c r="A975" s="15">
        <v>45701.292708333334</v>
      </c>
      <c r="B975" s="14">
        <v>428757916</v>
      </c>
    </row>
    <row r="976" spans="1:2" x14ac:dyDescent="0.25">
      <c r="A976" s="15">
        <v>45701.292708333334</v>
      </c>
      <c r="B976" s="14">
        <v>428757931</v>
      </c>
    </row>
    <row r="977" spans="1:2" x14ac:dyDescent="0.25">
      <c r="A977" s="15">
        <v>45701.292731481481</v>
      </c>
      <c r="B977" s="14">
        <v>428757946</v>
      </c>
    </row>
    <row r="978" spans="1:2" x14ac:dyDescent="0.25">
      <c r="A978" s="15">
        <v>45701.292731481481</v>
      </c>
      <c r="B978" s="14">
        <v>428757951</v>
      </c>
    </row>
    <row r="979" spans="1:2" x14ac:dyDescent="0.25">
      <c r="A979" s="15">
        <v>45701.292743055557</v>
      </c>
      <c r="B979" s="14">
        <v>428757959</v>
      </c>
    </row>
    <row r="980" spans="1:2" x14ac:dyDescent="0.25">
      <c r="A980" s="15">
        <v>45701.292754629627</v>
      </c>
      <c r="B980" s="14">
        <v>428757973</v>
      </c>
    </row>
    <row r="981" spans="1:2" x14ac:dyDescent="0.25">
      <c r="A981" s="15">
        <v>45701.292754629627</v>
      </c>
      <c r="B981" s="14">
        <v>428757987</v>
      </c>
    </row>
    <row r="982" spans="1:2" x14ac:dyDescent="0.25">
      <c r="A982" s="15">
        <v>45701.29277777778</v>
      </c>
      <c r="B982" s="14">
        <v>428757995</v>
      </c>
    </row>
    <row r="983" spans="1:2" x14ac:dyDescent="0.25">
      <c r="A983" s="15">
        <v>45701.29277777778</v>
      </c>
      <c r="B983" s="14">
        <v>428758000</v>
      </c>
    </row>
    <row r="984" spans="1:2" x14ac:dyDescent="0.25">
      <c r="A984" s="15">
        <v>45701.29277777778</v>
      </c>
      <c r="B984" s="14">
        <v>428758011</v>
      </c>
    </row>
    <row r="985" spans="1:2" x14ac:dyDescent="0.25">
      <c r="A985" s="15">
        <v>45701.29278935185</v>
      </c>
      <c r="B985" s="14">
        <v>428758013</v>
      </c>
    </row>
    <row r="986" spans="1:2" x14ac:dyDescent="0.25">
      <c r="A986" s="15">
        <v>45701.292800925927</v>
      </c>
      <c r="B986" s="14">
        <v>428758023</v>
      </c>
    </row>
    <row r="987" spans="1:2" x14ac:dyDescent="0.25">
      <c r="A987" s="15">
        <v>45701.292800925927</v>
      </c>
      <c r="B987" s="14">
        <v>428758025</v>
      </c>
    </row>
    <row r="988" spans="1:2" x14ac:dyDescent="0.25">
      <c r="A988" s="15">
        <v>45701.292812500003</v>
      </c>
      <c r="B988" s="14">
        <v>428758034</v>
      </c>
    </row>
    <row r="989" spans="1:2" x14ac:dyDescent="0.25">
      <c r="A989" s="15">
        <v>45701.292812500003</v>
      </c>
      <c r="B989" s="14">
        <v>428758035</v>
      </c>
    </row>
    <row r="990" spans="1:2" x14ac:dyDescent="0.25">
      <c r="A990" s="15">
        <v>45701.292824074073</v>
      </c>
      <c r="B990" s="14">
        <v>428758044</v>
      </c>
    </row>
    <row r="991" spans="1:2" x14ac:dyDescent="0.25">
      <c r="A991" s="15">
        <v>45701.29283564815</v>
      </c>
      <c r="B991" s="14">
        <v>428758053</v>
      </c>
    </row>
    <row r="992" spans="1:2" x14ac:dyDescent="0.25">
      <c r="A992" s="15">
        <v>45701.292847222219</v>
      </c>
      <c r="B992" s="14">
        <v>428758061</v>
      </c>
    </row>
    <row r="993" spans="1:2" x14ac:dyDescent="0.25">
      <c r="A993" s="15">
        <v>45701.292847222219</v>
      </c>
      <c r="B993" s="14">
        <v>428758068</v>
      </c>
    </row>
    <row r="994" spans="1:2" x14ac:dyDescent="0.25">
      <c r="A994" s="15">
        <v>45701.292870370373</v>
      </c>
      <c r="B994" s="14">
        <v>428758074</v>
      </c>
    </row>
    <row r="995" spans="1:2" x14ac:dyDescent="0.25">
      <c r="A995" s="15">
        <v>45701.292881944442</v>
      </c>
      <c r="B995" s="14">
        <v>428758080</v>
      </c>
    </row>
    <row r="996" spans="1:2" x14ac:dyDescent="0.25">
      <c r="A996" s="15">
        <v>45701.292893518519</v>
      </c>
      <c r="B996" s="14">
        <v>428758085</v>
      </c>
    </row>
    <row r="997" spans="1:2" x14ac:dyDescent="0.25">
      <c r="A997" s="15">
        <v>45701.292905092596</v>
      </c>
      <c r="B997" s="14">
        <v>428758089</v>
      </c>
    </row>
    <row r="998" spans="1:2" x14ac:dyDescent="0.25">
      <c r="A998" s="15">
        <v>45701.292916666665</v>
      </c>
      <c r="B998" s="14">
        <v>428758091</v>
      </c>
    </row>
    <row r="999" spans="1:2" x14ac:dyDescent="0.25">
      <c r="A999" s="15">
        <v>45701.292928240742</v>
      </c>
      <c r="B999" s="14">
        <v>428758094</v>
      </c>
    </row>
    <row r="1000" spans="1:2" x14ac:dyDescent="0.25">
      <c r="A1000" s="15">
        <v>45701.292939814812</v>
      </c>
      <c r="B1000" s="14">
        <v>428758096</v>
      </c>
    </row>
    <row r="1001" spans="1:2" x14ac:dyDescent="0.25">
      <c r="A1001" s="15">
        <v>45701.292951388888</v>
      </c>
      <c r="B1001" s="14">
        <v>428758097</v>
      </c>
    </row>
    <row r="1002" spans="1:2" x14ac:dyDescent="0.25">
      <c r="A1002" s="15">
        <v>45701.293194444443</v>
      </c>
      <c r="B1002" s="14">
        <v>428758098</v>
      </c>
    </row>
    <row r="1003" spans="1:2" x14ac:dyDescent="0.25">
      <c r="A1003" s="15">
        <v>45701.293206018519</v>
      </c>
      <c r="B1003" s="14">
        <v>428758100</v>
      </c>
    </row>
    <row r="1004" spans="1:2" x14ac:dyDescent="0.25">
      <c r="A1004" s="15">
        <v>45701.293217592596</v>
      </c>
      <c r="B1004" s="14">
        <v>428758103</v>
      </c>
    </row>
    <row r="1005" spans="1:2" x14ac:dyDescent="0.25">
      <c r="A1005" s="15">
        <v>45701.293229166666</v>
      </c>
      <c r="B1005" s="14">
        <v>428758107</v>
      </c>
    </row>
    <row r="1006" spans="1:2" x14ac:dyDescent="0.25">
      <c r="A1006" s="15">
        <v>45701.293240740742</v>
      </c>
      <c r="B1006" s="14">
        <v>428758113</v>
      </c>
    </row>
    <row r="1007" spans="1:2" x14ac:dyDescent="0.25">
      <c r="A1007" s="15">
        <v>45701.293240740742</v>
      </c>
      <c r="B1007" s="14">
        <v>428758114</v>
      </c>
    </row>
    <row r="1008" spans="1:2" x14ac:dyDescent="0.25">
      <c r="A1008" s="15">
        <v>45701.293252314812</v>
      </c>
      <c r="B1008" s="14">
        <v>428758120</v>
      </c>
    </row>
    <row r="1009" spans="1:2" x14ac:dyDescent="0.25">
      <c r="A1009" s="15">
        <v>45701.293252314812</v>
      </c>
      <c r="B1009" s="14">
        <v>428758122</v>
      </c>
    </row>
    <row r="1010" spans="1:2" x14ac:dyDescent="0.25">
      <c r="A1010" s="15">
        <v>45701.293263888889</v>
      </c>
      <c r="B1010" s="14">
        <v>428758128</v>
      </c>
    </row>
    <row r="1011" spans="1:2" x14ac:dyDescent="0.25">
      <c r="A1011" s="15">
        <v>45701.293275462966</v>
      </c>
      <c r="B1011" s="14">
        <v>428758138</v>
      </c>
    </row>
    <row r="1012" spans="1:2" x14ac:dyDescent="0.25">
      <c r="A1012" s="15">
        <v>45701.293287037035</v>
      </c>
      <c r="B1012" s="14">
        <v>428758148</v>
      </c>
    </row>
    <row r="1013" spans="1:2" x14ac:dyDescent="0.25">
      <c r="A1013" s="15">
        <v>45701.293298611112</v>
      </c>
      <c r="B1013" s="14">
        <v>428758162</v>
      </c>
    </row>
    <row r="1014" spans="1:2" x14ac:dyDescent="0.25">
      <c r="A1014" s="15">
        <v>45701.293310185189</v>
      </c>
      <c r="B1014" s="14">
        <v>428758173</v>
      </c>
    </row>
    <row r="1015" spans="1:2" x14ac:dyDescent="0.25">
      <c r="A1015" s="15">
        <v>45701.293321759258</v>
      </c>
      <c r="B1015" s="14">
        <v>428758188</v>
      </c>
    </row>
    <row r="1016" spans="1:2" x14ac:dyDescent="0.25">
      <c r="A1016" s="15">
        <v>45701.293333333335</v>
      </c>
      <c r="B1016" s="14">
        <v>428758202</v>
      </c>
    </row>
    <row r="1017" spans="1:2" x14ac:dyDescent="0.25">
      <c r="A1017" s="15">
        <v>45701.293344907404</v>
      </c>
      <c r="B1017" s="14">
        <v>428758218</v>
      </c>
    </row>
    <row r="1018" spans="1:2" x14ac:dyDescent="0.25">
      <c r="A1018" s="15">
        <v>45701.293344907404</v>
      </c>
      <c r="B1018" s="14">
        <v>428758234</v>
      </c>
    </row>
    <row r="1019" spans="1:2" x14ac:dyDescent="0.25">
      <c r="A1019" s="15">
        <v>45701.293356481481</v>
      </c>
      <c r="B1019" s="14">
        <v>428758235</v>
      </c>
    </row>
    <row r="1020" spans="1:2" x14ac:dyDescent="0.25">
      <c r="A1020" s="15">
        <v>45701.293368055558</v>
      </c>
      <c r="B1020" s="14">
        <v>428758251</v>
      </c>
    </row>
    <row r="1021" spans="1:2" x14ac:dyDescent="0.25">
      <c r="A1021" s="15">
        <v>45701.293379629627</v>
      </c>
      <c r="B1021" s="14">
        <v>428758269</v>
      </c>
    </row>
    <row r="1022" spans="1:2" x14ac:dyDescent="0.25">
      <c r="A1022" s="15">
        <v>45701.293391203704</v>
      </c>
      <c r="B1022" s="14">
        <v>428758287</v>
      </c>
    </row>
    <row r="1023" spans="1:2" x14ac:dyDescent="0.25">
      <c r="A1023" s="15">
        <v>45701.293391203704</v>
      </c>
      <c r="B1023" s="14">
        <v>428758303</v>
      </c>
    </row>
    <row r="1024" spans="1:2" x14ac:dyDescent="0.25">
      <c r="A1024" s="15">
        <v>45701.293402777781</v>
      </c>
      <c r="B1024" s="14">
        <v>428758304</v>
      </c>
    </row>
    <row r="1025" spans="1:2" x14ac:dyDescent="0.25">
      <c r="A1025" s="15">
        <v>45701.293414351851</v>
      </c>
      <c r="B1025" s="14">
        <v>428758322</v>
      </c>
    </row>
    <row r="1026" spans="1:2" x14ac:dyDescent="0.25">
      <c r="A1026" s="15">
        <v>45701.293414351851</v>
      </c>
      <c r="B1026" s="14">
        <v>428758323</v>
      </c>
    </row>
    <row r="1027" spans="1:2" x14ac:dyDescent="0.25">
      <c r="A1027" s="15">
        <v>45701.293425925927</v>
      </c>
      <c r="B1027" s="14">
        <v>428758343</v>
      </c>
    </row>
    <row r="1028" spans="1:2" x14ac:dyDescent="0.25">
      <c r="A1028" s="15">
        <v>45701.293437499997</v>
      </c>
      <c r="B1028" s="14">
        <v>428758360</v>
      </c>
    </row>
    <row r="1029" spans="1:2" x14ac:dyDescent="0.25">
      <c r="A1029" s="15">
        <v>45701.293449074074</v>
      </c>
      <c r="B1029" s="14">
        <v>428758379</v>
      </c>
    </row>
    <row r="1030" spans="1:2" x14ac:dyDescent="0.25">
      <c r="A1030" s="15">
        <v>45701.293449074074</v>
      </c>
      <c r="B1030" s="14">
        <v>428758396</v>
      </c>
    </row>
    <row r="1031" spans="1:2" x14ac:dyDescent="0.25">
      <c r="A1031" s="15">
        <v>45701.29346064815</v>
      </c>
      <c r="B1031" s="14">
        <v>428758397</v>
      </c>
    </row>
    <row r="1032" spans="1:2" x14ac:dyDescent="0.25">
      <c r="A1032" s="15">
        <v>45701.29346064815</v>
      </c>
      <c r="B1032" s="14">
        <v>428758415</v>
      </c>
    </row>
    <row r="1033" spans="1:2" x14ac:dyDescent="0.25">
      <c r="A1033" s="15">
        <v>45701.29347222222</v>
      </c>
      <c r="B1033" s="14">
        <v>428758433</v>
      </c>
    </row>
    <row r="1034" spans="1:2" x14ac:dyDescent="0.25">
      <c r="A1034" s="15">
        <v>45701.293483796297</v>
      </c>
      <c r="B1034" s="14">
        <v>428758437</v>
      </c>
    </row>
    <row r="1035" spans="1:2" x14ac:dyDescent="0.25">
      <c r="A1035" s="15">
        <v>45701.293495370373</v>
      </c>
      <c r="B1035" s="14">
        <v>428758453</v>
      </c>
    </row>
    <row r="1036" spans="1:2" x14ac:dyDescent="0.25">
      <c r="A1036" s="15">
        <v>45701.293495370373</v>
      </c>
      <c r="B1036" s="14">
        <v>428758454</v>
      </c>
    </row>
    <row r="1037" spans="1:2" x14ac:dyDescent="0.25">
      <c r="A1037" s="15">
        <v>45701.293506944443</v>
      </c>
      <c r="B1037" s="14">
        <v>428758466</v>
      </c>
    </row>
    <row r="1038" spans="1:2" x14ac:dyDescent="0.25">
      <c r="A1038" s="15">
        <v>45701.293506944443</v>
      </c>
      <c r="B1038" s="14">
        <v>428758473</v>
      </c>
    </row>
    <row r="1039" spans="1:2" x14ac:dyDescent="0.25">
      <c r="A1039" s="15">
        <v>45701.293506944443</v>
      </c>
      <c r="B1039" s="14">
        <v>428758492</v>
      </c>
    </row>
    <row r="1040" spans="1:2" x14ac:dyDescent="0.25">
      <c r="A1040" s="15">
        <v>45701.293530092589</v>
      </c>
      <c r="B1040" s="14">
        <v>428758509</v>
      </c>
    </row>
    <row r="1041" spans="1:2" x14ac:dyDescent="0.25">
      <c r="A1041" s="15">
        <v>45701.293541666666</v>
      </c>
      <c r="B1041" s="14">
        <v>428758528</v>
      </c>
    </row>
    <row r="1042" spans="1:2" x14ac:dyDescent="0.25">
      <c r="A1042" s="15">
        <v>45701.293553240743</v>
      </c>
      <c r="B1042" s="14">
        <v>428758546</v>
      </c>
    </row>
    <row r="1043" spans="1:2" x14ac:dyDescent="0.25">
      <c r="A1043" s="15">
        <v>45701.293553240743</v>
      </c>
      <c r="B1043" s="14">
        <v>428758566</v>
      </c>
    </row>
    <row r="1044" spans="1:2" x14ac:dyDescent="0.25">
      <c r="A1044" s="15">
        <v>45701.293576388889</v>
      </c>
      <c r="B1044" s="14">
        <v>428758585</v>
      </c>
    </row>
    <row r="1045" spans="1:2" x14ac:dyDescent="0.25">
      <c r="A1045" s="15">
        <v>45701.293587962966</v>
      </c>
      <c r="B1045" s="14">
        <v>428758602</v>
      </c>
    </row>
    <row r="1046" spans="1:2" x14ac:dyDescent="0.25">
      <c r="A1046" s="15">
        <v>45701.293599537035</v>
      </c>
      <c r="B1046" s="14">
        <v>428758620</v>
      </c>
    </row>
    <row r="1047" spans="1:2" x14ac:dyDescent="0.25">
      <c r="A1047" s="15">
        <v>45701.293611111112</v>
      </c>
      <c r="B1047" s="14">
        <v>428758639</v>
      </c>
    </row>
    <row r="1048" spans="1:2" x14ac:dyDescent="0.25">
      <c r="A1048" s="15">
        <v>45701.293622685182</v>
      </c>
      <c r="B1048" s="14">
        <v>428758658</v>
      </c>
    </row>
    <row r="1049" spans="1:2" x14ac:dyDescent="0.25">
      <c r="A1049" s="15">
        <v>45701.293634259258</v>
      </c>
      <c r="B1049" s="14">
        <v>428758676</v>
      </c>
    </row>
    <row r="1050" spans="1:2" x14ac:dyDescent="0.25">
      <c r="A1050" s="15">
        <v>45701.293645833335</v>
      </c>
      <c r="B1050" s="14">
        <v>428758692</v>
      </c>
    </row>
    <row r="1051" spans="1:2" x14ac:dyDescent="0.25">
      <c r="A1051" s="15">
        <v>45701.293645833335</v>
      </c>
      <c r="B1051" s="14">
        <v>428758697</v>
      </c>
    </row>
    <row r="1052" spans="1:2" x14ac:dyDescent="0.25">
      <c r="A1052" s="15">
        <v>45701.293657407405</v>
      </c>
      <c r="B1052" s="14">
        <v>428758710</v>
      </c>
    </row>
    <row r="1053" spans="1:2" x14ac:dyDescent="0.25">
      <c r="A1053" s="15">
        <v>45701.293668981481</v>
      </c>
      <c r="B1053" s="14">
        <v>428758727</v>
      </c>
    </row>
    <row r="1054" spans="1:2" x14ac:dyDescent="0.25">
      <c r="A1054" s="15">
        <v>45701.293668981481</v>
      </c>
      <c r="B1054" s="14">
        <v>428758729</v>
      </c>
    </row>
    <row r="1055" spans="1:2" x14ac:dyDescent="0.25">
      <c r="A1055" s="15">
        <v>45701.293680555558</v>
      </c>
      <c r="B1055" s="14">
        <v>428758745</v>
      </c>
    </row>
    <row r="1056" spans="1:2" x14ac:dyDescent="0.25">
      <c r="A1056" s="15">
        <v>45701.293692129628</v>
      </c>
      <c r="B1056" s="14">
        <v>428758762</v>
      </c>
    </row>
    <row r="1057" spans="1:2" x14ac:dyDescent="0.25">
      <c r="A1057" s="15">
        <v>45701.293703703705</v>
      </c>
      <c r="B1057" s="14">
        <v>428758777</v>
      </c>
    </row>
    <row r="1058" spans="1:2" x14ac:dyDescent="0.25">
      <c r="A1058" s="15">
        <v>45701.293703703705</v>
      </c>
      <c r="B1058" s="14">
        <v>428758785</v>
      </c>
    </row>
    <row r="1059" spans="1:2" x14ac:dyDescent="0.25">
      <c r="A1059" s="15">
        <v>45701.293703703705</v>
      </c>
      <c r="B1059" s="14">
        <v>428758789</v>
      </c>
    </row>
    <row r="1060" spans="1:2" x14ac:dyDescent="0.25">
      <c r="A1060" s="15">
        <v>45701.293715277781</v>
      </c>
      <c r="B1060" s="14">
        <v>428758793</v>
      </c>
    </row>
    <row r="1061" spans="1:2" x14ac:dyDescent="0.25">
      <c r="A1061" s="15">
        <v>45701.293726851851</v>
      </c>
      <c r="B1061" s="14">
        <v>428758809</v>
      </c>
    </row>
    <row r="1062" spans="1:2" x14ac:dyDescent="0.25">
      <c r="A1062" s="15">
        <v>45701.293726851851</v>
      </c>
      <c r="B1062" s="14">
        <v>428758810</v>
      </c>
    </row>
    <row r="1063" spans="1:2" x14ac:dyDescent="0.25">
      <c r="A1063" s="15">
        <v>45701.293738425928</v>
      </c>
      <c r="B1063" s="14">
        <v>428758825</v>
      </c>
    </row>
    <row r="1064" spans="1:2" x14ac:dyDescent="0.25">
      <c r="A1064" s="15">
        <v>45701.293738425928</v>
      </c>
      <c r="B1064" s="14">
        <v>428758829</v>
      </c>
    </row>
    <row r="1065" spans="1:2" x14ac:dyDescent="0.25">
      <c r="A1065" s="15">
        <v>45701.293749999997</v>
      </c>
      <c r="B1065" s="14">
        <v>428758840</v>
      </c>
    </row>
    <row r="1066" spans="1:2" x14ac:dyDescent="0.25">
      <c r="A1066" s="15">
        <v>45701.293761574074</v>
      </c>
      <c r="B1066" s="14">
        <v>428758855</v>
      </c>
    </row>
    <row r="1067" spans="1:2" x14ac:dyDescent="0.25">
      <c r="A1067" s="15">
        <v>45701.293773148151</v>
      </c>
      <c r="B1067" s="14">
        <v>428758868</v>
      </c>
    </row>
    <row r="1068" spans="1:2" x14ac:dyDescent="0.25">
      <c r="A1068" s="15">
        <v>45701.29378472222</v>
      </c>
      <c r="B1068" s="14">
        <v>428758882</v>
      </c>
    </row>
    <row r="1069" spans="1:2" x14ac:dyDescent="0.25">
      <c r="A1069" s="15">
        <v>45701.293796296297</v>
      </c>
      <c r="B1069" s="14">
        <v>428758895</v>
      </c>
    </row>
    <row r="1070" spans="1:2" x14ac:dyDescent="0.25">
      <c r="A1070" s="15">
        <v>45701.293807870374</v>
      </c>
      <c r="B1070" s="14">
        <v>428758906</v>
      </c>
    </row>
    <row r="1071" spans="1:2" x14ac:dyDescent="0.25">
      <c r="A1071" s="15">
        <v>45701.293819444443</v>
      </c>
      <c r="B1071" s="14">
        <v>428758918</v>
      </c>
    </row>
    <row r="1072" spans="1:2" x14ac:dyDescent="0.25">
      <c r="A1072" s="15">
        <v>45701.29383101852</v>
      </c>
      <c r="B1072" s="14">
        <v>428758929</v>
      </c>
    </row>
    <row r="1073" spans="1:2" x14ac:dyDescent="0.25">
      <c r="A1073" s="15">
        <v>45701.293842592589</v>
      </c>
      <c r="B1073" s="14">
        <v>428758940</v>
      </c>
    </row>
    <row r="1074" spans="1:2" x14ac:dyDescent="0.25">
      <c r="A1074" s="15">
        <v>45701.293854166666</v>
      </c>
      <c r="B1074" s="14">
        <v>428758950</v>
      </c>
    </row>
    <row r="1075" spans="1:2" x14ac:dyDescent="0.25">
      <c r="A1075" s="15">
        <v>45701.293865740743</v>
      </c>
      <c r="B1075" s="14">
        <v>428758960</v>
      </c>
    </row>
    <row r="1076" spans="1:2" x14ac:dyDescent="0.25">
      <c r="A1076" s="15">
        <v>45701.293877314813</v>
      </c>
      <c r="B1076" s="14">
        <v>428758971</v>
      </c>
    </row>
    <row r="1077" spans="1:2" x14ac:dyDescent="0.25">
      <c r="A1077" s="15">
        <v>45701.293888888889</v>
      </c>
      <c r="B1077" s="14">
        <v>428758981</v>
      </c>
    </row>
    <row r="1078" spans="1:2" x14ac:dyDescent="0.25">
      <c r="A1078" s="15">
        <v>45701.293900462966</v>
      </c>
      <c r="B1078" s="14">
        <v>428758991</v>
      </c>
    </row>
    <row r="1079" spans="1:2" x14ac:dyDescent="0.25">
      <c r="A1079" s="15">
        <v>45701.293912037036</v>
      </c>
      <c r="B1079" s="14">
        <v>428759000</v>
      </c>
    </row>
    <row r="1080" spans="1:2" x14ac:dyDescent="0.25">
      <c r="A1080" s="15">
        <v>45701.293923611112</v>
      </c>
      <c r="B1080" s="14">
        <v>428759009</v>
      </c>
    </row>
    <row r="1081" spans="1:2" x14ac:dyDescent="0.25">
      <c r="A1081" s="15">
        <v>45701.293923611112</v>
      </c>
      <c r="B1081" s="14">
        <v>428759010</v>
      </c>
    </row>
    <row r="1082" spans="1:2" x14ac:dyDescent="0.25">
      <c r="A1082" s="15">
        <v>45701.293935185182</v>
      </c>
      <c r="B1082" s="14">
        <v>428759017</v>
      </c>
    </row>
    <row r="1083" spans="1:2" x14ac:dyDescent="0.25">
      <c r="A1083" s="15">
        <v>45701.293946759259</v>
      </c>
      <c r="B1083" s="14">
        <v>428759026</v>
      </c>
    </row>
    <row r="1084" spans="1:2" x14ac:dyDescent="0.25">
      <c r="A1084" s="15">
        <v>45701.293958333335</v>
      </c>
      <c r="B1084" s="14">
        <v>428759035</v>
      </c>
    </row>
    <row r="1085" spans="1:2" x14ac:dyDescent="0.25">
      <c r="A1085" s="15">
        <v>45701.293969907405</v>
      </c>
      <c r="B1085" s="14">
        <v>428759042</v>
      </c>
    </row>
    <row r="1086" spans="1:2" x14ac:dyDescent="0.25">
      <c r="A1086" s="15">
        <v>45701.293969907405</v>
      </c>
      <c r="B1086" s="14">
        <v>428759046</v>
      </c>
    </row>
    <row r="1087" spans="1:2" x14ac:dyDescent="0.25">
      <c r="A1087" s="15">
        <v>45701.293969907405</v>
      </c>
      <c r="B1087" s="14">
        <v>428759049</v>
      </c>
    </row>
    <row r="1088" spans="1:2" x14ac:dyDescent="0.25">
      <c r="A1088" s="15">
        <v>45701.293981481482</v>
      </c>
      <c r="B1088" s="14">
        <v>428759050</v>
      </c>
    </row>
    <row r="1089" spans="1:2" x14ac:dyDescent="0.25">
      <c r="A1089" s="15">
        <v>45701.293993055559</v>
      </c>
      <c r="B1089" s="14">
        <v>428759056</v>
      </c>
    </row>
    <row r="1090" spans="1:2" x14ac:dyDescent="0.25">
      <c r="A1090" s="15">
        <v>45701.294004629628</v>
      </c>
      <c r="B1090" s="14">
        <v>428759061</v>
      </c>
    </row>
    <row r="1091" spans="1:2" x14ac:dyDescent="0.25">
      <c r="A1091" s="15">
        <v>45701.294016203705</v>
      </c>
      <c r="B1091" s="14">
        <v>428759066</v>
      </c>
    </row>
    <row r="1092" spans="1:2" x14ac:dyDescent="0.25">
      <c r="A1092" s="15">
        <v>45701.294027777774</v>
      </c>
      <c r="B1092" s="14">
        <v>428759070</v>
      </c>
    </row>
    <row r="1093" spans="1:2" x14ac:dyDescent="0.25">
      <c r="A1093" s="15">
        <v>45701.294027777774</v>
      </c>
      <c r="B1093" s="14">
        <v>428759071</v>
      </c>
    </row>
    <row r="1094" spans="1:2" x14ac:dyDescent="0.25">
      <c r="A1094" s="15">
        <v>45701.294027777774</v>
      </c>
      <c r="B1094" s="14">
        <v>428759074</v>
      </c>
    </row>
    <row r="1095" spans="1:2" x14ac:dyDescent="0.25">
      <c r="A1095" s="15">
        <v>45701.294050925928</v>
      </c>
      <c r="B1095" s="14">
        <v>428759076</v>
      </c>
    </row>
    <row r="1096" spans="1:2" x14ac:dyDescent="0.25">
      <c r="A1096" s="15">
        <v>45701.294050925928</v>
      </c>
      <c r="B1096" s="14">
        <v>428759077</v>
      </c>
    </row>
    <row r="1097" spans="1:2" x14ac:dyDescent="0.25">
      <c r="A1097" s="15">
        <v>45701.294074074074</v>
      </c>
      <c r="B1097" s="14">
        <v>428759078</v>
      </c>
    </row>
    <row r="1098" spans="1:2" x14ac:dyDescent="0.25">
      <c r="A1098" s="15">
        <v>45701.294340277775</v>
      </c>
      <c r="B1098" s="14">
        <v>428759079</v>
      </c>
    </row>
    <row r="1099" spans="1:2" x14ac:dyDescent="0.25">
      <c r="A1099" s="15">
        <v>45701.294351851851</v>
      </c>
      <c r="B1099" s="14">
        <v>428759081</v>
      </c>
    </row>
    <row r="1100" spans="1:2" x14ac:dyDescent="0.25">
      <c r="A1100" s="15">
        <v>45701.294363425928</v>
      </c>
      <c r="B1100" s="14">
        <v>428759085</v>
      </c>
    </row>
    <row r="1101" spans="1:2" x14ac:dyDescent="0.25">
      <c r="A1101" s="15">
        <v>45701.294374999998</v>
      </c>
      <c r="B1101" s="14">
        <v>428759090</v>
      </c>
    </row>
    <row r="1102" spans="1:2" x14ac:dyDescent="0.25">
      <c r="A1102" s="15">
        <v>45701.294386574074</v>
      </c>
      <c r="B1102" s="14">
        <v>428759096</v>
      </c>
    </row>
    <row r="1103" spans="1:2" x14ac:dyDescent="0.25">
      <c r="A1103" s="15">
        <v>45701.294386574074</v>
      </c>
      <c r="B1103" s="14">
        <v>428759098</v>
      </c>
    </row>
    <row r="1104" spans="1:2" x14ac:dyDescent="0.25">
      <c r="A1104" s="15">
        <v>45701.294398148151</v>
      </c>
      <c r="B1104" s="14">
        <v>428759103</v>
      </c>
    </row>
    <row r="1105" spans="1:2" x14ac:dyDescent="0.25">
      <c r="A1105" s="15">
        <v>45701.294409722221</v>
      </c>
      <c r="B1105" s="14">
        <v>428759111</v>
      </c>
    </row>
    <row r="1106" spans="1:2" x14ac:dyDescent="0.25">
      <c r="A1106" s="15">
        <v>45701.294421296298</v>
      </c>
      <c r="B1106" s="14">
        <v>428759119</v>
      </c>
    </row>
    <row r="1107" spans="1:2" x14ac:dyDescent="0.25">
      <c r="A1107" s="15">
        <v>45701.294421296298</v>
      </c>
      <c r="B1107" s="14">
        <v>428759126</v>
      </c>
    </row>
    <row r="1108" spans="1:2" x14ac:dyDescent="0.25">
      <c r="A1108" s="15">
        <v>45701.294444444444</v>
      </c>
      <c r="B1108" s="14">
        <v>428759134</v>
      </c>
    </row>
    <row r="1109" spans="1:2" x14ac:dyDescent="0.25">
      <c r="A1109" s="15">
        <v>45701.294456018521</v>
      </c>
      <c r="B1109" s="14">
        <v>428759141</v>
      </c>
    </row>
    <row r="1110" spans="1:2" x14ac:dyDescent="0.25">
      <c r="A1110" s="15">
        <v>45701.29446759259</v>
      </c>
      <c r="B1110" s="14">
        <v>428759147</v>
      </c>
    </row>
    <row r="1111" spans="1:2" x14ac:dyDescent="0.25">
      <c r="A1111" s="15">
        <v>45701.29446759259</v>
      </c>
      <c r="B1111" s="14">
        <v>428759148</v>
      </c>
    </row>
    <row r="1112" spans="1:2" x14ac:dyDescent="0.25">
      <c r="A1112" s="15">
        <v>45701.294479166667</v>
      </c>
      <c r="B1112" s="14">
        <v>428759155</v>
      </c>
    </row>
    <row r="1113" spans="1:2" x14ac:dyDescent="0.25">
      <c r="A1113" s="15">
        <v>45701.294490740744</v>
      </c>
      <c r="B1113" s="14">
        <v>428759162</v>
      </c>
    </row>
    <row r="1114" spans="1:2" x14ac:dyDescent="0.25">
      <c r="A1114" s="15">
        <v>45701.294502314813</v>
      </c>
      <c r="B1114" s="14">
        <v>428759170</v>
      </c>
    </row>
    <row r="1115" spans="1:2" x14ac:dyDescent="0.25">
      <c r="A1115" s="15">
        <v>45701.29451388889</v>
      </c>
      <c r="B1115" s="14">
        <v>428759177</v>
      </c>
    </row>
    <row r="1116" spans="1:2" x14ac:dyDescent="0.25">
      <c r="A1116" s="15">
        <v>45701.29451388889</v>
      </c>
      <c r="B1116" s="14">
        <v>428759185</v>
      </c>
    </row>
    <row r="1117" spans="1:2" x14ac:dyDescent="0.25">
      <c r="A1117" s="15">
        <v>45701.294525462959</v>
      </c>
      <c r="B1117" s="14">
        <v>428759186</v>
      </c>
    </row>
    <row r="1118" spans="1:2" x14ac:dyDescent="0.25">
      <c r="A1118" s="15">
        <v>45701.294537037036</v>
      </c>
      <c r="B1118" s="14">
        <v>428759195</v>
      </c>
    </row>
    <row r="1119" spans="1:2" x14ac:dyDescent="0.25">
      <c r="A1119" s="15">
        <v>45701.294537037036</v>
      </c>
      <c r="B1119" s="14">
        <v>428759204</v>
      </c>
    </row>
    <row r="1120" spans="1:2" x14ac:dyDescent="0.25">
      <c r="A1120" s="15">
        <v>45701.294560185182</v>
      </c>
      <c r="B1120" s="14">
        <v>428759216</v>
      </c>
    </row>
    <row r="1121" spans="1:2" x14ac:dyDescent="0.25">
      <c r="A1121" s="15">
        <v>45701.294571759259</v>
      </c>
      <c r="B1121" s="14">
        <v>428759227</v>
      </c>
    </row>
    <row r="1122" spans="1:2" x14ac:dyDescent="0.25">
      <c r="A1122" s="15">
        <v>45701.294583333336</v>
      </c>
      <c r="B1122" s="14">
        <v>428759239</v>
      </c>
    </row>
    <row r="1123" spans="1:2" x14ac:dyDescent="0.25">
      <c r="A1123" s="15">
        <v>45701.294583333336</v>
      </c>
      <c r="B1123" s="14">
        <v>428759241</v>
      </c>
    </row>
    <row r="1124" spans="1:2" x14ac:dyDescent="0.25">
      <c r="A1124" s="15">
        <v>45701.294594907406</v>
      </c>
      <c r="B1124" s="14">
        <v>428759254</v>
      </c>
    </row>
    <row r="1125" spans="1:2" x14ac:dyDescent="0.25">
      <c r="A1125" s="15">
        <v>45701.294606481482</v>
      </c>
      <c r="B1125" s="14">
        <v>428759268</v>
      </c>
    </row>
    <row r="1126" spans="1:2" x14ac:dyDescent="0.25">
      <c r="A1126" s="15">
        <v>45701.294618055559</v>
      </c>
      <c r="B1126" s="14">
        <v>428759282</v>
      </c>
    </row>
    <row r="1127" spans="1:2" x14ac:dyDescent="0.25">
      <c r="A1127" s="15">
        <v>45701.294629629629</v>
      </c>
      <c r="B1127" s="14">
        <v>428759298</v>
      </c>
    </row>
    <row r="1128" spans="1:2" x14ac:dyDescent="0.25">
      <c r="A1128" s="15">
        <v>45701.294641203705</v>
      </c>
      <c r="B1128" s="14">
        <v>428759312</v>
      </c>
    </row>
    <row r="1129" spans="1:2" x14ac:dyDescent="0.25">
      <c r="A1129" s="15">
        <v>45701.294652777775</v>
      </c>
      <c r="B1129" s="14">
        <v>428759328</v>
      </c>
    </row>
    <row r="1130" spans="1:2" x14ac:dyDescent="0.25">
      <c r="A1130" s="15">
        <v>45701.294664351852</v>
      </c>
      <c r="B1130" s="14">
        <v>428759345</v>
      </c>
    </row>
    <row r="1131" spans="1:2" x14ac:dyDescent="0.25">
      <c r="A1131" s="15">
        <v>45701.294675925928</v>
      </c>
      <c r="B1131" s="14">
        <v>428759361</v>
      </c>
    </row>
    <row r="1132" spans="1:2" x14ac:dyDescent="0.25">
      <c r="A1132" s="15">
        <v>45701.294687499998</v>
      </c>
      <c r="B1132" s="14">
        <v>428759378</v>
      </c>
    </row>
    <row r="1133" spans="1:2" x14ac:dyDescent="0.25">
      <c r="A1133" s="15">
        <v>45701.294699074075</v>
      </c>
      <c r="B1133" s="14">
        <v>428759393</v>
      </c>
    </row>
    <row r="1134" spans="1:2" x14ac:dyDescent="0.25">
      <c r="A1134" s="15">
        <v>45701.294699074075</v>
      </c>
      <c r="B1134" s="14">
        <v>428759409</v>
      </c>
    </row>
    <row r="1135" spans="1:2" x14ac:dyDescent="0.25">
      <c r="A1135" s="15">
        <v>45701.294710648152</v>
      </c>
      <c r="B1135" s="14">
        <v>428759414</v>
      </c>
    </row>
    <row r="1136" spans="1:2" x14ac:dyDescent="0.25">
      <c r="A1136" s="15">
        <v>45701.294722222221</v>
      </c>
      <c r="B1136" s="14">
        <v>428759427</v>
      </c>
    </row>
    <row r="1137" spans="1:2" x14ac:dyDescent="0.25">
      <c r="A1137" s="15">
        <v>45701.294733796298</v>
      </c>
      <c r="B1137" s="14">
        <v>428759443</v>
      </c>
    </row>
    <row r="1138" spans="1:2" x14ac:dyDescent="0.25">
      <c r="A1138" s="15">
        <v>45701.294745370367</v>
      </c>
      <c r="B1138" s="14">
        <v>428759459</v>
      </c>
    </row>
    <row r="1139" spans="1:2" x14ac:dyDescent="0.25">
      <c r="A1139" s="15">
        <v>45701.294745370367</v>
      </c>
      <c r="B1139" s="14">
        <v>428759475</v>
      </c>
    </row>
    <row r="1140" spans="1:2" x14ac:dyDescent="0.25">
      <c r="A1140" s="15">
        <v>45701.294756944444</v>
      </c>
      <c r="B1140" s="14">
        <v>428759476</v>
      </c>
    </row>
    <row r="1141" spans="1:2" x14ac:dyDescent="0.25">
      <c r="A1141" s="15">
        <v>45701.294768518521</v>
      </c>
      <c r="B1141" s="14">
        <v>428759492</v>
      </c>
    </row>
    <row r="1142" spans="1:2" x14ac:dyDescent="0.25">
      <c r="A1142" s="15">
        <v>45701.294768518521</v>
      </c>
      <c r="B1142" s="14">
        <v>428759493</v>
      </c>
    </row>
    <row r="1143" spans="1:2" x14ac:dyDescent="0.25">
      <c r="A1143" s="15">
        <v>45701.29478009259</v>
      </c>
      <c r="B1143" s="14">
        <v>428759510</v>
      </c>
    </row>
    <row r="1144" spans="1:2" x14ac:dyDescent="0.25">
      <c r="A1144" s="15">
        <v>45701.294791666667</v>
      </c>
      <c r="B1144" s="14">
        <v>428759525</v>
      </c>
    </row>
    <row r="1145" spans="1:2" x14ac:dyDescent="0.25">
      <c r="A1145" s="15">
        <v>45701.294791666667</v>
      </c>
      <c r="B1145" s="14">
        <v>428759536</v>
      </c>
    </row>
    <row r="1146" spans="1:2" x14ac:dyDescent="0.25">
      <c r="A1146" s="15">
        <v>45701.294803240744</v>
      </c>
      <c r="B1146" s="14">
        <v>428759542</v>
      </c>
    </row>
    <row r="1147" spans="1:2" x14ac:dyDescent="0.25">
      <c r="A1147" s="15">
        <v>45701.294803240744</v>
      </c>
      <c r="B1147" s="14">
        <v>428759547</v>
      </c>
    </row>
    <row r="1148" spans="1:2" x14ac:dyDescent="0.25">
      <c r="A1148" s="15">
        <v>45701.294814814813</v>
      </c>
      <c r="B1148" s="14">
        <v>428759559</v>
      </c>
    </row>
    <row r="1149" spans="1:2" x14ac:dyDescent="0.25">
      <c r="A1149" s="15">
        <v>45701.29482638889</v>
      </c>
      <c r="B1149" s="14">
        <v>428759574</v>
      </c>
    </row>
    <row r="1150" spans="1:2" x14ac:dyDescent="0.25">
      <c r="A1150" s="15">
        <v>45701.29483796296</v>
      </c>
      <c r="B1150" s="14">
        <v>428759591</v>
      </c>
    </row>
    <row r="1151" spans="1:2" x14ac:dyDescent="0.25">
      <c r="A1151" s="15">
        <v>45701.29483796296</v>
      </c>
      <c r="B1151" s="14">
        <v>428759592</v>
      </c>
    </row>
    <row r="1152" spans="1:2" x14ac:dyDescent="0.25">
      <c r="A1152" s="15">
        <v>45701.29483796296</v>
      </c>
      <c r="B1152" s="14">
        <v>428759607</v>
      </c>
    </row>
    <row r="1153" spans="1:2" x14ac:dyDescent="0.25">
      <c r="A1153" s="15">
        <v>45701.294861111113</v>
      </c>
      <c r="B1153" s="14">
        <v>428759622</v>
      </c>
    </row>
    <row r="1154" spans="1:2" x14ac:dyDescent="0.25">
      <c r="A1154" s="15">
        <v>45701.294872685183</v>
      </c>
      <c r="B1154" s="14">
        <v>428759637</v>
      </c>
    </row>
    <row r="1155" spans="1:2" x14ac:dyDescent="0.25">
      <c r="A1155" s="15">
        <v>45701.29488425926</v>
      </c>
      <c r="B1155" s="14">
        <v>428759650</v>
      </c>
    </row>
    <row r="1156" spans="1:2" x14ac:dyDescent="0.25">
      <c r="A1156" s="15">
        <v>45701.294895833336</v>
      </c>
      <c r="B1156" s="14">
        <v>428759665</v>
      </c>
    </row>
    <row r="1157" spans="1:2" x14ac:dyDescent="0.25">
      <c r="A1157" s="15">
        <v>45701.294907407406</v>
      </c>
      <c r="B1157" s="14">
        <v>428759679</v>
      </c>
    </row>
    <row r="1158" spans="1:2" x14ac:dyDescent="0.25">
      <c r="A1158" s="15">
        <v>45701.294918981483</v>
      </c>
      <c r="B1158" s="14">
        <v>428759692</v>
      </c>
    </row>
    <row r="1159" spans="1:2" x14ac:dyDescent="0.25">
      <c r="A1159" s="15">
        <v>45701.294930555552</v>
      </c>
      <c r="B1159" s="14">
        <v>428759705</v>
      </c>
    </row>
    <row r="1160" spans="1:2" x14ac:dyDescent="0.25">
      <c r="A1160" s="15">
        <v>45701.294942129629</v>
      </c>
      <c r="B1160" s="14">
        <v>428759718</v>
      </c>
    </row>
    <row r="1161" spans="1:2" x14ac:dyDescent="0.25">
      <c r="A1161" s="15">
        <v>45701.294953703706</v>
      </c>
      <c r="B1161" s="14">
        <v>428759730</v>
      </c>
    </row>
    <row r="1162" spans="1:2" x14ac:dyDescent="0.25">
      <c r="A1162" s="15">
        <v>45701.294965277775</v>
      </c>
      <c r="B1162" s="14">
        <v>428759742</v>
      </c>
    </row>
    <row r="1163" spans="1:2" x14ac:dyDescent="0.25">
      <c r="A1163" s="15">
        <v>45701.294965277775</v>
      </c>
      <c r="B1163" s="14">
        <v>428759748</v>
      </c>
    </row>
    <row r="1164" spans="1:2" x14ac:dyDescent="0.25">
      <c r="A1164" s="15">
        <v>45701.294965277775</v>
      </c>
      <c r="B1164" s="14">
        <v>428759751</v>
      </c>
    </row>
    <row r="1165" spans="1:2" x14ac:dyDescent="0.25">
      <c r="A1165" s="15">
        <v>45701.294976851852</v>
      </c>
      <c r="B1165" s="14">
        <v>428759753</v>
      </c>
    </row>
    <row r="1166" spans="1:2" x14ac:dyDescent="0.25">
      <c r="A1166" s="15">
        <v>45701.294988425929</v>
      </c>
      <c r="B1166" s="14">
        <v>428759765</v>
      </c>
    </row>
    <row r="1167" spans="1:2" x14ac:dyDescent="0.25">
      <c r="A1167" s="15">
        <v>45701.294999999998</v>
      </c>
      <c r="B1167" s="14">
        <v>428759776</v>
      </c>
    </row>
    <row r="1168" spans="1:2" x14ac:dyDescent="0.25">
      <c r="A1168" s="15">
        <v>45701.294999999998</v>
      </c>
      <c r="B1168" s="14">
        <v>428759780</v>
      </c>
    </row>
    <row r="1169" spans="1:2" x14ac:dyDescent="0.25">
      <c r="A1169" s="15">
        <v>45701.295011574075</v>
      </c>
      <c r="B1169" s="14">
        <v>428759786</v>
      </c>
    </row>
    <row r="1170" spans="1:2" x14ac:dyDescent="0.25">
      <c r="A1170" s="15">
        <v>45701.295023148145</v>
      </c>
      <c r="B1170" s="14">
        <v>428759797</v>
      </c>
    </row>
    <row r="1171" spans="1:2" x14ac:dyDescent="0.25">
      <c r="A1171" s="15">
        <v>45701.295034722221</v>
      </c>
      <c r="B1171" s="14">
        <v>428759808</v>
      </c>
    </row>
    <row r="1172" spans="1:2" x14ac:dyDescent="0.25">
      <c r="A1172" s="15">
        <v>45701.295046296298</v>
      </c>
      <c r="B1172" s="14">
        <v>428759816</v>
      </c>
    </row>
    <row r="1173" spans="1:2" x14ac:dyDescent="0.25">
      <c r="A1173" s="15">
        <v>45701.295057870368</v>
      </c>
      <c r="B1173" s="14">
        <v>428759825</v>
      </c>
    </row>
    <row r="1174" spans="1:2" x14ac:dyDescent="0.25">
      <c r="A1174" s="15">
        <v>45701.295069444444</v>
      </c>
      <c r="B1174" s="14">
        <v>428759833</v>
      </c>
    </row>
    <row r="1175" spans="1:2" x14ac:dyDescent="0.25">
      <c r="A1175" s="15">
        <v>45701.295081018521</v>
      </c>
      <c r="B1175" s="14">
        <v>428759841</v>
      </c>
    </row>
    <row r="1176" spans="1:2" x14ac:dyDescent="0.25">
      <c r="A1176" s="15">
        <v>45701.295092592591</v>
      </c>
      <c r="B1176" s="14">
        <v>428759847</v>
      </c>
    </row>
    <row r="1177" spans="1:2" x14ac:dyDescent="0.25">
      <c r="A1177" s="15">
        <v>45701.295104166667</v>
      </c>
      <c r="B1177" s="14">
        <v>428759853</v>
      </c>
    </row>
    <row r="1178" spans="1:2" x14ac:dyDescent="0.25">
      <c r="A1178" s="15">
        <v>45701.295115740744</v>
      </c>
      <c r="B1178" s="14">
        <v>428759857</v>
      </c>
    </row>
    <row r="1179" spans="1:2" x14ac:dyDescent="0.25">
      <c r="A1179" s="15">
        <v>45701.295127314814</v>
      </c>
      <c r="B1179" s="14">
        <v>428759860</v>
      </c>
    </row>
    <row r="1180" spans="1:2" x14ac:dyDescent="0.25">
      <c r="A1180" s="15">
        <v>45701.295138888891</v>
      </c>
      <c r="B1180" s="14">
        <v>428759862</v>
      </c>
    </row>
    <row r="1181" spans="1:2" x14ac:dyDescent="0.25">
      <c r="A1181" s="15">
        <v>45701.29515046296</v>
      </c>
      <c r="B1181" s="14">
        <v>428759863</v>
      </c>
    </row>
    <row r="1182" spans="1:2" x14ac:dyDescent="0.25">
      <c r="A1182" s="15">
        <v>45701.295405092591</v>
      </c>
      <c r="B1182" s="14">
        <v>428759864</v>
      </c>
    </row>
    <row r="1183" spans="1:2" x14ac:dyDescent="0.25">
      <c r="A1183" s="15">
        <v>45701.295405092591</v>
      </c>
      <c r="B1183" s="14">
        <v>428759865</v>
      </c>
    </row>
    <row r="1184" spans="1:2" x14ac:dyDescent="0.25">
      <c r="A1184" s="15">
        <v>45701.295428240737</v>
      </c>
      <c r="B1184" s="14">
        <v>428759868</v>
      </c>
    </row>
    <row r="1185" spans="1:2" x14ac:dyDescent="0.25">
      <c r="A1185" s="15">
        <v>45701.295439814814</v>
      </c>
      <c r="B1185" s="14">
        <v>428759872</v>
      </c>
    </row>
    <row r="1186" spans="1:2" x14ac:dyDescent="0.25">
      <c r="A1186" s="15">
        <v>45701.295439814814</v>
      </c>
      <c r="B1186" s="14">
        <v>428759875</v>
      </c>
    </row>
    <row r="1187" spans="1:2" x14ac:dyDescent="0.25">
      <c r="A1187" s="15">
        <v>45701.295451388891</v>
      </c>
      <c r="B1187" s="14">
        <v>428759877</v>
      </c>
    </row>
    <row r="1188" spans="1:2" x14ac:dyDescent="0.25">
      <c r="A1188" s="15">
        <v>45701.295451388891</v>
      </c>
      <c r="B1188" s="14">
        <v>428759883</v>
      </c>
    </row>
    <row r="1189" spans="1:2" x14ac:dyDescent="0.25">
      <c r="A1189" s="15">
        <v>45701.295474537037</v>
      </c>
      <c r="B1189" s="14">
        <v>428759890</v>
      </c>
    </row>
    <row r="1190" spans="1:2" x14ac:dyDescent="0.25">
      <c r="A1190" s="15">
        <v>45701.295486111114</v>
      </c>
      <c r="B1190" s="14">
        <v>428759898</v>
      </c>
    </row>
    <row r="1191" spans="1:2" x14ac:dyDescent="0.25">
      <c r="A1191" s="15">
        <v>45701.295497685183</v>
      </c>
      <c r="B1191" s="14">
        <v>428759908</v>
      </c>
    </row>
    <row r="1192" spans="1:2" x14ac:dyDescent="0.25">
      <c r="A1192" s="15">
        <v>45701.29550925926</v>
      </c>
      <c r="B1192" s="14">
        <v>428759919</v>
      </c>
    </row>
    <row r="1193" spans="1:2" x14ac:dyDescent="0.25">
      <c r="A1193" s="15">
        <v>45701.295520833337</v>
      </c>
      <c r="B1193" s="14">
        <v>428759930</v>
      </c>
    </row>
    <row r="1194" spans="1:2" x14ac:dyDescent="0.25">
      <c r="A1194" s="15">
        <v>45701.295532407406</v>
      </c>
      <c r="B1194" s="14">
        <v>428759944</v>
      </c>
    </row>
    <row r="1195" spans="1:2" x14ac:dyDescent="0.25">
      <c r="A1195" s="15">
        <v>45701.295543981483</v>
      </c>
      <c r="B1195" s="14">
        <v>428759956</v>
      </c>
    </row>
    <row r="1196" spans="1:2" x14ac:dyDescent="0.25">
      <c r="A1196" s="15">
        <v>45701.295555555553</v>
      </c>
      <c r="B1196" s="14">
        <v>428759970</v>
      </c>
    </row>
    <row r="1197" spans="1:2" x14ac:dyDescent="0.25">
      <c r="A1197" s="15">
        <v>45701.295555555553</v>
      </c>
      <c r="B1197" s="14">
        <v>428759985</v>
      </c>
    </row>
    <row r="1198" spans="1:2" x14ac:dyDescent="0.25">
      <c r="A1198" s="15">
        <v>45701.295578703706</v>
      </c>
      <c r="B1198" s="14">
        <v>428760000</v>
      </c>
    </row>
    <row r="1199" spans="1:2" x14ac:dyDescent="0.25">
      <c r="A1199" s="15">
        <v>45701.295590277776</v>
      </c>
      <c r="B1199" s="14">
        <v>428760015</v>
      </c>
    </row>
    <row r="1200" spans="1:2" x14ac:dyDescent="0.25">
      <c r="A1200" s="15">
        <v>45701.295590277776</v>
      </c>
      <c r="B1200" s="14">
        <v>428760017</v>
      </c>
    </row>
    <row r="1201" spans="1:2" x14ac:dyDescent="0.25">
      <c r="A1201" s="15">
        <v>45701.295601851853</v>
      </c>
      <c r="B1201" s="14">
        <v>428760031</v>
      </c>
    </row>
    <row r="1202" spans="1:2" x14ac:dyDescent="0.25">
      <c r="A1202" s="15">
        <v>45701.295613425929</v>
      </c>
      <c r="B1202" s="14">
        <v>428760047</v>
      </c>
    </row>
    <row r="1203" spans="1:2" x14ac:dyDescent="0.25">
      <c r="A1203" s="15">
        <v>45701.295624999999</v>
      </c>
      <c r="B1203" s="14">
        <v>428760063</v>
      </c>
    </row>
    <row r="1204" spans="1:2" x14ac:dyDescent="0.25">
      <c r="A1204" s="15">
        <v>45701.295636574076</v>
      </c>
      <c r="B1204" s="14">
        <v>428760079</v>
      </c>
    </row>
    <row r="1205" spans="1:2" x14ac:dyDescent="0.25">
      <c r="A1205" s="15">
        <v>45701.295648148145</v>
      </c>
      <c r="B1205" s="14">
        <v>428760098</v>
      </c>
    </row>
    <row r="1206" spans="1:2" x14ac:dyDescent="0.25">
      <c r="A1206" s="15">
        <v>45701.295659722222</v>
      </c>
      <c r="B1206" s="14">
        <v>428760114</v>
      </c>
    </row>
    <row r="1207" spans="1:2" x14ac:dyDescent="0.25">
      <c r="A1207" s="15">
        <v>45701.295671296299</v>
      </c>
      <c r="B1207" s="14">
        <v>428760133</v>
      </c>
    </row>
    <row r="1208" spans="1:2" x14ac:dyDescent="0.25">
      <c r="A1208" s="15">
        <v>45701.295682870368</v>
      </c>
      <c r="B1208" s="14">
        <v>428760150</v>
      </c>
    </row>
    <row r="1209" spans="1:2" x14ac:dyDescent="0.25">
      <c r="A1209" s="15">
        <v>45701.295694444445</v>
      </c>
      <c r="B1209" s="14">
        <v>428760168</v>
      </c>
    </row>
    <row r="1210" spans="1:2" x14ac:dyDescent="0.25">
      <c r="A1210" s="15">
        <v>45701.295694444445</v>
      </c>
      <c r="B1210" s="14">
        <v>428760171</v>
      </c>
    </row>
    <row r="1211" spans="1:2" x14ac:dyDescent="0.25">
      <c r="A1211" s="15">
        <v>45701.295706018522</v>
      </c>
      <c r="B1211" s="14">
        <v>428760186</v>
      </c>
    </row>
    <row r="1212" spans="1:2" x14ac:dyDescent="0.25">
      <c r="A1212" s="15">
        <v>45701.295717592591</v>
      </c>
      <c r="B1212" s="14">
        <v>428760205</v>
      </c>
    </row>
    <row r="1213" spans="1:2" x14ac:dyDescent="0.25">
      <c r="A1213" s="15">
        <v>45701.295717592591</v>
      </c>
      <c r="B1213" s="14">
        <v>428760206</v>
      </c>
    </row>
    <row r="1214" spans="1:2" x14ac:dyDescent="0.25">
      <c r="A1214" s="15">
        <v>45701.295729166668</v>
      </c>
      <c r="B1214" s="14">
        <v>428760222</v>
      </c>
    </row>
    <row r="1215" spans="1:2" x14ac:dyDescent="0.25">
      <c r="A1215" s="15">
        <v>45701.295740740738</v>
      </c>
      <c r="B1215" s="14">
        <v>428760242</v>
      </c>
    </row>
    <row r="1216" spans="1:2" x14ac:dyDescent="0.25">
      <c r="A1216" s="15">
        <v>45701.295752314814</v>
      </c>
      <c r="B1216" s="14">
        <v>428760261</v>
      </c>
    </row>
    <row r="1217" spans="1:2" x14ac:dyDescent="0.25">
      <c r="A1217" s="15">
        <v>45701.295763888891</v>
      </c>
      <c r="B1217" s="14">
        <v>428760277</v>
      </c>
    </row>
    <row r="1218" spans="1:2" x14ac:dyDescent="0.25">
      <c r="A1218" s="15">
        <v>45701.295775462961</v>
      </c>
      <c r="B1218" s="14">
        <v>428760296</v>
      </c>
    </row>
    <row r="1219" spans="1:2" x14ac:dyDescent="0.25">
      <c r="A1219" s="15">
        <v>45701.295787037037</v>
      </c>
      <c r="B1219" s="14">
        <v>428760314</v>
      </c>
    </row>
    <row r="1220" spans="1:2" x14ac:dyDescent="0.25">
      <c r="A1220" s="15">
        <v>45701.295798611114</v>
      </c>
      <c r="B1220" s="14">
        <v>428760331</v>
      </c>
    </row>
    <row r="1221" spans="1:2" x14ac:dyDescent="0.25">
      <c r="A1221" s="15">
        <v>45701.295798611114</v>
      </c>
      <c r="B1221" s="14">
        <v>428760334</v>
      </c>
    </row>
    <row r="1222" spans="1:2" x14ac:dyDescent="0.25">
      <c r="A1222" s="15">
        <v>45701.295810185184</v>
      </c>
      <c r="B1222" s="14">
        <v>428760349</v>
      </c>
    </row>
    <row r="1223" spans="1:2" x14ac:dyDescent="0.25">
      <c r="A1223" s="15">
        <v>45701.29582175926</v>
      </c>
      <c r="B1223" s="14">
        <v>428760362</v>
      </c>
    </row>
    <row r="1224" spans="1:2" x14ac:dyDescent="0.25">
      <c r="A1224" s="15">
        <v>45701.29582175926</v>
      </c>
      <c r="B1224" s="14">
        <v>428760371</v>
      </c>
    </row>
    <row r="1225" spans="1:2" x14ac:dyDescent="0.25">
      <c r="A1225" s="15">
        <v>45701.29582175926</v>
      </c>
      <c r="B1225" s="14">
        <v>428760375</v>
      </c>
    </row>
    <row r="1226" spans="1:2" x14ac:dyDescent="0.25">
      <c r="A1226" s="15">
        <v>45701.29583333333</v>
      </c>
      <c r="B1226" s="14">
        <v>428760383</v>
      </c>
    </row>
    <row r="1227" spans="1:2" x14ac:dyDescent="0.25">
      <c r="A1227" s="15">
        <v>45701.295844907407</v>
      </c>
      <c r="B1227" s="14">
        <v>428760397</v>
      </c>
    </row>
    <row r="1228" spans="1:2" x14ac:dyDescent="0.25">
      <c r="A1228" s="15">
        <v>45701.295856481483</v>
      </c>
      <c r="B1228" s="14">
        <v>428760413</v>
      </c>
    </row>
    <row r="1229" spans="1:2" x14ac:dyDescent="0.25">
      <c r="A1229" s="15">
        <v>45701.295868055553</v>
      </c>
      <c r="B1229" s="14">
        <v>428760427</v>
      </c>
    </row>
    <row r="1230" spans="1:2" x14ac:dyDescent="0.25">
      <c r="A1230" s="15">
        <v>45701.295868055553</v>
      </c>
      <c r="B1230" s="14">
        <v>428760428</v>
      </c>
    </row>
    <row r="1231" spans="1:2" x14ac:dyDescent="0.25">
      <c r="A1231" s="15">
        <v>45701.29587962963</v>
      </c>
      <c r="B1231" s="14">
        <v>428760442</v>
      </c>
    </row>
    <row r="1232" spans="1:2" x14ac:dyDescent="0.25">
      <c r="A1232" s="15">
        <v>45701.295891203707</v>
      </c>
      <c r="B1232" s="14">
        <v>428760454</v>
      </c>
    </row>
    <row r="1233" spans="1:2" x14ac:dyDescent="0.25">
      <c r="A1233" s="15">
        <v>45701.295891203707</v>
      </c>
      <c r="B1233" s="14">
        <v>428760466</v>
      </c>
    </row>
    <row r="1234" spans="1:2" x14ac:dyDescent="0.25">
      <c r="A1234" s="15">
        <v>45701.295902777776</v>
      </c>
      <c r="B1234" s="14">
        <v>428760471</v>
      </c>
    </row>
    <row r="1235" spans="1:2" x14ac:dyDescent="0.25">
      <c r="A1235" s="15">
        <v>45701.295914351853</v>
      </c>
      <c r="B1235" s="14">
        <v>428760481</v>
      </c>
    </row>
    <row r="1236" spans="1:2" x14ac:dyDescent="0.25">
      <c r="A1236" s="15">
        <v>45701.295925925922</v>
      </c>
      <c r="B1236" s="14">
        <v>428760493</v>
      </c>
    </row>
    <row r="1237" spans="1:2" x14ac:dyDescent="0.25">
      <c r="A1237" s="15">
        <v>45701.295937499999</v>
      </c>
      <c r="B1237" s="14">
        <v>428760507</v>
      </c>
    </row>
    <row r="1238" spans="1:2" x14ac:dyDescent="0.25">
      <c r="A1238" s="15">
        <v>45701.295937499999</v>
      </c>
      <c r="B1238" s="14">
        <v>428760519</v>
      </c>
    </row>
    <row r="1239" spans="1:2" x14ac:dyDescent="0.25">
      <c r="A1239" s="15">
        <v>45701.295949074076</v>
      </c>
      <c r="B1239" s="14">
        <v>428760520</v>
      </c>
    </row>
    <row r="1240" spans="1:2" x14ac:dyDescent="0.25">
      <c r="A1240" s="15">
        <v>45701.295960648145</v>
      </c>
      <c r="B1240" s="14">
        <v>428760533</v>
      </c>
    </row>
    <row r="1241" spans="1:2" x14ac:dyDescent="0.25">
      <c r="A1241" s="15">
        <v>45701.295972222222</v>
      </c>
      <c r="B1241" s="14">
        <v>428760546</v>
      </c>
    </row>
    <row r="1242" spans="1:2" x14ac:dyDescent="0.25">
      <c r="A1242" s="15">
        <v>45701.295983796299</v>
      </c>
      <c r="B1242" s="14">
        <v>428760559</v>
      </c>
    </row>
    <row r="1243" spans="1:2" x14ac:dyDescent="0.25">
      <c r="A1243" s="15">
        <v>45701.295995370368</v>
      </c>
      <c r="B1243" s="14">
        <v>428760572</v>
      </c>
    </row>
    <row r="1244" spans="1:2" x14ac:dyDescent="0.25">
      <c r="A1244" s="15">
        <v>45701.296006944445</v>
      </c>
      <c r="B1244" s="14">
        <v>428760586</v>
      </c>
    </row>
    <row r="1245" spans="1:2" x14ac:dyDescent="0.25">
      <c r="A1245" s="15">
        <v>45701.296006944445</v>
      </c>
      <c r="B1245" s="14">
        <v>428760600</v>
      </c>
    </row>
    <row r="1246" spans="1:2" x14ac:dyDescent="0.25">
      <c r="A1246" s="15">
        <v>45701.296018518522</v>
      </c>
      <c r="B1246" s="14">
        <v>428760602</v>
      </c>
    </row>
    <row r="1247" spans="1:2" x14ac:dyDescent="0.25">
      <c r="A1247" s="15">
        <v>45701.296030092592</v>
      </c>
      <c r="B1247" s="14">
        <v>428760614</v>
      </c>
    </row>
    <row r="1248" spans="1:2" x14ac:dyDescent="0.25">
      <c r="A1248" s="15">
        <v>45701.296041666668</v>
      </c>
      <c r="B1248" s="14">
        <v>428760630</v>
      </c>
    </row>
    <row r="1249" spans="1:2" x14ac:dyDescent="0.25">
      <c r="A1249" s="15">
        <v>45701.296053240738</v>
      </c>
      <c r="B1249" s="14">
        <v>428760645</v>
      </c>
    </row>
    <row r="1250" spans="1:2" x14ac:dyDescent="0.25">
      <c r="A1250" s="15">
        <v>45701.296064814815</v>
      </c>
      <c r="B1250" s="14">
        <v>428760662</v>
      </c>
    </row>
    <row r="1251" spans="1:2" x14ac:dyDescent="0.25">
      <c r="A1251" s="15">
        <v>45701.296064814815</v>
      </c>
      <c r="B1251" s="14">
        <v>428760663</v>
      </c>
    </row>
    <row r="1252" spans="1:2" x14ac:dyDescent="0.25">
      <c r="A1252" s="15">
        <v>45701.296064814815</v>
      </c>
      <c r="B1252" s="14">
        <v>428760671</v>
      </c>
    </row>
    <row r="1253" spans="1:2" x14ac:dyDescent="0.25">
      <c r="A1253" s="15">
        <v>45701.296064814815</v>
      </c>
      <c r="B1253" s="14">
        <v>428760680</v>
      </c>
    </row>
    <row r="1254" spans="1:2" x14ac:dyDescent="0.25">
      <c r="A1254" s="15">
        <v>45701.296087962961</v>
      </c>
      <c r="B1254" s="14">
        <v>428760699</v>
      </c>
    </row>
    <row r="1255" spans="1:2" x14ac:dyDescent="0.25">
      <c r="A1255" s="15">
        <v>45701.296087962961</v>
      </c>
      <c r="B1255" s="14">
        <v>428760708</v>
      </c>
    </row>
    <row r="1256" spans="1:2" x14ac:dyDescent="0.25">
      <c r="A1256" s="15">
        <v>45701.296087962961</v>
      </c>
      <c r="B1256" s="14">
        <v>428760713</v>
      </c>
    </row>
    <row r="1257" spans="1:2" x14ac:dyDescent="0.25">
      <c r="A1257" s="15">
        <v>45701.296099537038</v>
      </c>
      <c r="B1257" s="14">
        <v>428760717</v>
      </c>
    </row>
    <row r="1258" spans="1:2" x14ac:dyDescent="0.25">
      <c r="A1258" s="15">
        <v>45701.296111111114</v>
      </c>
      <c r="B1258" s="14">
        <v>428760736</v>
      </c>
    </row>
    <row r="1259" spans="1:2" x14ac:dyDescent="0.25">
      <c r="A1259" s="15">
        <v>45701.296122685184</v>
      </c>
      <c r="B1259" s="14">
        <v>428760753</v>
      </c>
    </row>
    <row r="1260" spans="1:2" x14ac:dyDescent="0.25">
      <c r="A1260" s="15">
        <v>45701.296134259261</v>
      </c>
      <c r="B1260" s="14">
        <v>428760770</v>
      </c>
    </row>
    <row r="1261" spans="1:2" x14ac:dyDescent="0.25">
      <c r="A1261" s="15">
        <v>45701.296134259261</v>
      </c>
      <c r="B1261" s="14">
        <v>428760788</v>
      </c>
    </row>
    <row r="1262" spans="1:2" x14ac:dyDescent="0.25">
      <c r="A1262" s="15">
        <v>45701.296157407407</v>
      </c>
      <c r="B1262" s="14">
        <v>428760805</v>
      </c>
    </row>
    <row r="1263" spans="1:2" x14ac:dyDescent="0.25">
      <c r="A1263" s="15">
        <v>45701.296168981484</v>
      </c>
      <c r="B1263" s="14">
        <v>428760816</v>
      </c>
    </row>
    <row r="1264" spans="1:2" x14ac:dyDescent="0.25">
      <c r="A1264" s="15">
        <v>45701.296168981484</v>
      </c>
      <c r="B1264" s="14">
        <v>428760823</v>
      </c>
    </row>
    <row r="1265" spans="1:2" x14ac:dyDescent="0.25">
      <c r="A1265" s="15">
        <v>45701.296168981484</v>
      </c>
      <c r="B1265" s="14">
        <v>428760839</v>
      </c>
    </row>
    <row r="1266" spans="1:2" x14ac:dyDescent="0.25">
      <c r="A1266" s="15">
        <v>45701.29619212963</v>
      </c>
      <c r="B1266" s="14">
        <v>428760854</v>
      </c>
    </row>
    <row r="1267" spans="1:2" x14ac:dyDescent="0.25">
      <c r="A1267" s="15">
        <v>45701.296203703707</v>
      </c>
      <c r="B1267" s="14">
        <v>428760872</v>
      </c>
    </row>
    <row r="1268" spans="1:2" x14ac:dyDescent="0.25">
      <c r="A1268" s="15">
        <v>45701.296215277776</v>
      </c>
      <c r="B1268" s="14">
        <v>428760885</v>
      </c>
    </row>
    <row r="1269" spans="1:2" x14ac:dyDescent="0.25">
      <c r="A1269" s="15">
        <v>45701.296226851853</v>
      </c>
      <c r="B1269" s="14">
        <v>428760899</v>
      </c>
    </row>
    <row r="1270" spans="1:2" x14ac:dyDescent="0.25">
      <c r="A1270" s="15">
        <v>45701.296238425923</v>
      </c>
      <c r="B1270" s="14">
        <v>428760911</v>
      </c>
    </row>
    <row r="1271" spans="1:2" x14ac:dyDescent="0.25">
      <c r="A1271" s="15">
        <v>45701.296249999999</v>
      </c>
      <c r="B1271" s="14">
        <v>428760925</v>
      </c>
    </row>
    <row r="1272" spans="1:2" x14ac:dyDescent="0.25">
      <c r="A1272" s="15">
        <v>45701.296261574076</v>
      </c>
      <c r="B1272" s="14">
        <v>428760937</v>
      </c>
    </row>
    <row r="1273" spans="1:2" x14ac:dyDescent="0.25">
      <c r="A1273" s="15">
        <v>45701.296261574076</v>
      </c>
      <c r="B1273" s="14">
        <v>428760948</v>
      </c>
    </row>
    <row r="1274" spans="1:2" x14ac:dyDescent="0.25">
      <c r="A1274" s="15">
        <v>45701.296284722222</v>
      </c>
      <c r="B1274" s="14">
        <v>428760960</v>
      </c>
    </row>
    <row r="1275" spans="1:2" x14ac:dyDescent="0.25">
      <c r="A1275" s="15">
        <v>45701.296284722222</v>
      </c>
      <c r="B1275" s="14">
        <v>428760972</v>
      </c>
    </row>
    <row r="1276" spans="1:2" x14ac:dyDescent="0.25">
      <c r="A1276" s="15">
        <v>45701.296307870369</v>
      </c>
      <c r="B1276" s="14">
        <v>428760982</v>
      </c>
    </row>
    <row r="1277" spans="1:2" x14ac:dyDescent="0.25">
      <c r="A1277" s="15">
        <v>45701.296307870369</v>
      </c>
      <c r="B1277" s="14">
        <v>428760992</v>
      </c>
    </row>
    <row r="1278" spans="1:2" x14ac:dyDescent="0.25">
      <c r="A1278" s="15">
        <v>45701.296319444446</v>
      </c>
      <c r="B1278" s="14">
        <v>428760993</v>
      </c>
    </row>
    <row r="1279" spans="1:2" x14ac:dyDescent="0.25">
      <c r="A1279" s="15">
        <v>45701.296331018515</v>
      </c>
      <c r="B1279" s="14">
        <v>428761002</v>
      </c>
    </row>
    <row r="1280" spans="1:2" x14ac:dyDescent="0.25">
      <c r="A1280" s="15">
        <v>45701.296331018515</v>
      </c>
      <c r="B1280" s="14">
        <v>428761003</v>
      </c>
    </row>
    <row r="1281" spans="1:2" x14ac:dyDescent="0.25">
      <c r="A1281" s="15">
        <v>45701.296342592592</v>
      </c>
      <c r="B1281" s="14">
        <v>428761011</v>
      </c>
    </row>
    <row r="1282" spans="1:2" x14ac:dyDescent="0.25">
      <c r="A1282" s="15">
        <v>45701.296354166669</v>
      </c>
      <c r="B1282" s="14">
        <v>428761020</v>
      </c>
    </row>
    <row r="1283" spans="1:2" x14ac:dyDescent="0.25">
      <c r="A1283" s="15">
        <v>45701.296365740738</v>
      </c>
      <c r="B1283" s="14">
        <v>428761029</v>
      </c>
    </row>
    <row r="1284" spans="1:2" x14ac:dyDescent="0.25">
      <c r="A1284" s="15">
        <v>45701.296377314815</v>
      </c>
      <c r="B1284" s="14">
        <v>428761035</v>
      </c>
    </row>
    <row r="1285" spans="1:2" x14ac:dyDescent="0.25">
      <c r="A1285" s="15">
        <v>45701.296377314815</v>
      </c>
      <c r="B1285" s="14">
        <v>428761036</v>
      </c>
    </row>
    <row r="1286" spans="1:2" x14ac:dyDescent="0.25">
      <c r="A1286" s="15">
        <v>45701.296388888892</v>
      </c>
      <c r="B1286" s="14">
        <v>428761042</v>
      </c>
    </row>
    <row r="1287" spans="1:2" x14ac:dyDescent="0.25">
      <c r="A1287" s="15">
        <v>45701.296400462961</v>
      </c>
      <c r="B1287" s="14">
        <v>428761048</v>
      </c>
    </row>
    <row r="1288" spans="1:2" x14ac:dyDescent="0.25">
      <c r="A1288" s="15">
        <v>45701.296412037038</v>
      </c>
      <c r="B1288" s="14">
        <v>428761053</v>
      </c>
    </row>
    <row r="1289" spans="1:2" x14ac:dyDescent="0.25">
      <c r="A1289" s="15">
        <v>45701.296423611115</v>
      </c>
      <c r="B1289" s="14">
        <v>428761058</v>
      </c>
    </row>
    <row r="1290" spans="1:2" x14ac:dyDescent="0.25">
      <c r="A1290" s="15">
        <v>45701.296423611115</v>
      </c>
      <c r="B1290" s="14">
        <v>428761060</v>
      </c>
    </row>
    <row r="1291" spans="1:2" x14ac:dyDescent="0.25">
      <c r="A1291" s="15">
        <v>45701.296435185184</v>
      </c>
      <c r="B1291" s="14">
        <v>428761063</v>
      </c>
    </row>
    <row r="1292" spans="1:2" x14ac:dyDescent="0.25">
      <c r="A1292" s="15">
        <v>45701.296446759261</v>
      </c>
      <c r="B1292" s="14">
        <v>428761067</v>
      </c>
    </row>
    <row r="1293" spans="1:2" x14ac:dyDescent="0.25">
      <c r="A1293" s="15">
        <v>45701.296458333331</v>
      </c>
      <c r="B1293" s="14">
        <v>428761070</v>
      </c>
    </row>
    <row r="1294" spans="1:2" x14ac:dyDescent="0.25">
      <c r="A1294" s="15">
        <v>45701.296469907407</v>
      </c>
      <c r="B1294" s="14">
        <v>428761072</v>
      </c>
    </row>
    <row r="1295" spans="1:2" x14ac:dyDescent="0.25">
      <c r="A1295" s="15">
        <v>45701.296481481484</v>
      </c>
      <c r="B1295" s="14">
        <v>428761073</v>
      </c>
    </row>
    <row r="1296" spans="1:2" x14ac:dyDescent="0.25">
      <c r="A1296" s="15">
        <v>45701.296493055554</v>
      </c>
      <c r="B1296" s="14">
        <v>428761074</v>
      </c>
    </row>
    <row r="1297" spans="1:2" x14ac:dyDescent="0.25">
      <c r="A1297" s="15">
        <v>45701.296643518515</v>
      </c>
      <c r="B1297" s="14">
        <v>428761075</v>
      </c>
    </row>
    <row r="1298" spans="1:2" x14ac:dyDescent="0.25">
      <c r="A1298" s="15">
        <v>45701.296655092592</v>
      </c>
      <c r="B1298" s="14">
        <v>428761078</v>
      </c>
    </row>
    <row r="1299" spans="1:2" x14ac:dyDescent="0.25">
      <c r="A1299" s="15">
        <v>45701.296666666669</v>
      </c>
      <c r="B1299" s="14">
        <v>428761082</v>
      </c>
    </row>
    <row r="1300" spans="1:2" x14ac:dyDescent="0.25">
      <c r="A1300" s="15">
        <v>45701.296678240738</v>
      </c>
      <c r="B1300" s="14">
        <v>428761086</v>
      </c>
    </row>
    <row r="1301" spans="1:2" x14ac:dyDescent="0.25">
      <c r="A1301" s="15">
        <v>45701.296689814815</v>
      </c>
      <c r="B1301" s="14">
        <v>428761093</v>
      </c>
    </row>
    <row r="1302" spans="1:2" x14ac:dyDescent="0.25">
      <c r="A1302" s="15">
        <v>45701.296689814815</v>
      </c>
      <c r="B1302" s="14">
        <v>428761097</v>
      </c>
    </row>
    <row r="1303" spans="1:2" x14ac:dyDescent="0.25">
      <c r="A1303" s="15">
        <v>45701.296689814815</v>
      </c>
      <c r="B1303" s="14">
        <v>428761101</v>
      </c>
    </row>
    <row r="1304" spans="1:2" x14ac:dyDescent="0.25">
      <c r="A1304" s="15">
        <v>45701.296712962961</v>
      </c>
      <c r="B1304" s="14">
        <v>428761110</v>
      </c>
    </row>
    <row r="1305" spans="1:2" x14ac:dyDescent="0.25">
      <c r="A1305" s="15">
        <v>45701.296724537038</v>
      </c>
      <c r="B1305" s="14">
        <v>428761119</v>
      </c>
    </row>
    <row r="1306" spans="1:2" x14ac:dyDescent="0.25">
      <c r="A1306" s="15">
        <v>45701.296724537038</v>
      </c>
      <c r="B1306" s="14">
        <v>428761120</v>
      </c>
    </row>
    <row r="1307" spans="1:2" x14ac:dyDescent="0.25">
      <c r="A1307" s="15">
        <v>45701.296736111108</v>
      </c>
      <c r="B1307" s="14">
        <v>428761131</v>
      </c>
    </row>
    <row r="1308" spans="1:2" x14ac:dyDescent="0.25">
      <c r="A1308" s="15">
        <v>45701.296736111108</v>
      </c>
      <c r="B1308" s="14">
        <v>428761140</v>
      </c>
    </row>
    <row r="1309" spans="1:2" x14ac:dyDescent="0.25">
      <c r="A1309" s="15">
        <v>45701.296747685185</v>
      </c>
      <c r="B1309" s="14">
        <v>428761142</v>
      </c>
    </row>
    <row r="1310" spans="1:2" x14ac:dyDescent="0.25">
      <c r="A1310" s="15">
        <v>45701.296759259261</v>
      </c>
      <c r="B1310" s="14">
        <v>428761155</v>
      </c>
    </row>
    <row r="1311" spans="1:2" x14ac:dyDescent="0.25">
      <c r="A1311" s="15">
        <v>45701.296770833331</v>
      </c>
      <c r="B1311" s="14">
        <v>428761168</v>
      </c>
    </row>
    <row r="1312" spans="1:2" x14ac:dyDescent="0.25">
      <c r="A1312" s="15">
        <v>45701.296782407408</v>
      </c>
      <c r="B1312" s="14">
        <v>428761181</v>
      </c>
    </row>
    <row r="1313" spans="1:2" x14ac:dyDescent="0.25">
      <c r="A1313" s="15">
        <v>45701.296793981484</v>
      </c>
      <c r="B1313" s="14">
        <v>428761196</v>
      </c>
    </row>
    <row r="1314" spans="1:2" x14ac:dyDescent="0.25">
      <c r="A1314" s="15">
        <v>45701.296805555554</v>
      </c>
      <c r="B1314" s="14">
        <v>428761209</v>
      </c>
    </row>
    <row r="1315" spans="1:2" x14ac:dyDescent="0.25">
      <c r="A1315" s="15">
        <v>45701.296805555554</v>
      </c>
      <c r="B1315" s="14">
        <v>428761210</v>
      </c>
    </row>
    <row r="1316" spans="1:2" x14ac:dyDescent="0.25">
      <c r="A1316" s="15">
        <v>45701.296817129631</v>
      </c>
      <c r="B1316" s="14">
        <v>428761224</v>
      </c>
    </row>
    <row r="1317" spans="1:2" x14ac:dyDescent="0.25">
      <c r="A1317" s="15">
        <v>45701.2968287037</v>
      </c>
      <c r="B1317" s="14">
        <v>428761238</v>
      </c>
    </row>
    <row r="1318" spans="1:2" x14ac:dyDescent="0.25">
      <c r="A1318" s="15">
        <v>45701.296840277777</v>
      </c>
      <c r="B1318" s="14">
        <v>428761253</v>
      </c>
    </row>
    <row r="1319" spans="1:2" x14ac:dyDescent="0.25">
      <c r="A1319" s="15">
        <v>45701.296851851854</v>
      </c>
      <c r="B1319" s="14">
        <v>428761268</v>
      </c>
    </row>
    <row r="1320" spans="1:2" x14ac:dyDescent="0.25">
      <c r="A1320" s="15">
        <v>45701.296863425923</v>
      </c>
      <c r="B1320" s="14">
        <v>428761283</v>
      </c>
    </row>
    <row r="1321" spans="1:2" x14ac:dyDescent="0.25">
      <c r="A1321" s="15">
        <v>45701.296863425923</v>
      </c>
      <c r="B1321" s="14">
        <v>428761287</v>
      </c>
    </row>
    <row r="1322" spans="1:2" x14ac:dyDescent="0.25">
      <c r="A1322" s="15">
        <v>45701.296863425923</v>
      </c>
      <c r="B1322" s="14">
        <v>428761290</v>
      </c>
    </row>
    <row r="1323" spans="1:2" x14ac:dyDescent="0.25">
      <c r="A1323" s="15">
        <v>45701.296875</v>
      </c>
      <c r="B1323" s="14">
        <v>428761296</v>
      </c>
    </row>
    <row r="1324" spans="1:2" x14ac:dyDescent="0.25">
      <c r="A1324" s="15">
        <v>45701.296886574077</v>
      </c>
      <c r="B1324" s="14">
        <v>428761310</v>
      </c>
    </row>
    <row r="1325" spans="1:2" x14ac:dyDescent="0.25">
      <c r="A1325" s="15">
        <v>45701.296898148146</v>
      </c>
      <c r="B1325" s="14">
        <v>428761324</v>
      </c>
    </row>
    <row r="1326" spans="1:2" x14ac:dyDescent="0.25">
      <c r="A1326" s="15">
        <v>45701.296898148146</v>
      </c>
      <c r="B1326" s="14">
        <v>428761329</v>
      </c>
    </row>
    <row r="1327" spans="1:2" x14ac:dyDescent="0.25">
      <c r="A1327" s="15">
        <v>45701.296898148146</v>
      </c>
      <c r="B1327" s="14">
        <v>428761337</v>
      </c>
    </row>
    <row r="1328" spans="1:2" x14ac:dyDescent="0.25">
      <c r="A1328" s="15">
        <v>45701.2969212963</v>
      </c>
      <c r="B1328" s="14">
        <v>428761350</v>
      </c>
    </row>
    <row r="1329" spans="1:2" x14ac:dyDescent="0.25">
      <c r="A1329" s="15">
        <v>45701.2969212963</v>
      </c>
      <c r="B1329" s="14">
        <v>428761361</v>
      </c>
    </row>
    <row r="1330" spans="1:2" x14ac:dyDescent="0.25">
      <c r="A1330" s="15">
        <v>45701.296956018516</v>
      </c>
      <c r="B1330" s="14">
        <v>428761370</v>
      </c>
    </row>
    <row r="1331" spans="1:2" x14ac:dyDescent="0.25">
      <c r="A1331" s="15">
        <v>45701.296956018516</v>
      </c>
      <c r="B1331" s="14">
        <v>428761392</v>
      </c>
    </row>
    <row r="1332" spans="1:2" x14ac:dyDescent="0.25">
      <c r="A1332" s="15">
        <v>45701.296967592592</v>
      </c>
      <c r="B1332" s="14">
        <v>428761396</v>
      </c>
    </row>
    <row r="1333" spans="1:2" x14ac:dyDescent="0.25">
      <c r="A1333" s="15">
        <v>45701.296967592592</v>
      </c>
      <c r="B1333" s="14">
        <v>428761397</v>
      </c>
    </row>
    <row r="1334" spans="1:2" x14ac:dyDescent="0.25">
      <c r="A1334" s="15">
        <v>45701.296979166669</v>
      </c>
      <c r="B1334" s="14">
        <v>428761408</v>
      </c>
    </row>
    <row r="1335" spans="1:2" x14ac:dyDescent="0.25">
      <c r="A1335" s="15">
        <v>45701.296990740739</v>
      </c>
      <c r="B1335" s="14">
        <v>428761416</v>
      </c>
    </row>
    <row r="1336" spans="1:2" x14ac:dyDescent="0.25">
      <c r="A1336" s="15">
        <v>45701.297002314815</v>
      </c>
      <c r="B1336" s="14">
        <v>428761427</v>
      </c>
    </row>
    <row r="1337" spans="1:2" x14ac:dyDescent="0.25">
      <c r="A1337" s="15">
        <v>45701.297013888892</v>
      </c>
      <c r="B1337" s="14">
        <v>428761436</v>
      </c>
    </row>
    <row r="1338" spans="1:2" x14ac:dyDescent="0.25">
      <c r="A1338" s="15">
        <v>45701.297025462962</v>
      </c>
      <c r="B1338" s="14">
        <v>428761444</v>
      </c>
    </row>
    <row r="1339" spans="1:2" x14ac:dyDescent="0.25">
      <c r="A1339" s="15">
        <v>45701.297037037039</v>
      </c>
      <c r="B1339" s="14">
        <v>428761452</v>
      </c>
    </row>
    <row r="1340" spans="1:2" x14ac:dyDescent="0.25">
      <c r="A1340" s="15">
        <v>45701.297037037039</v>
      </c>
      <c r="B1340" s="14">
        <v>428761459</v>
      </c>
    </row>
    <row r="1341" spans="1:2" x14ac:dyDescent="0.25">
      <c r="A1341" s="15">
        <v>45701.297060185185</v>
      </c>
      <c r="B1341" s="14">
        <v>428761465</v>
      </c>
    </row>
    <row r="1342" spans="1:2" x14ac:dyDescent="0.25">
      <c r="A1342" s="15">
        <v>45701.297060185185</v>
      </c>
      <c r="B1342" s="14">
        <v>428761471</v>
      </c>
    </row>
    <row r="1343" spans="1:2" x14ac:dyDescent="0.25">
      <c r="A1343" s="15">
        <v>45701.297083333331</v>
      </c>
      <c r="B1343" s="14">
        <v>428761476</v>
      </c>
    </row>
    <row r="1344" spans="1:2" x14ac:dyDescent="0.25">
      <c r="A1344" s="15">
        <v>45701.297094907408</v>
      </c>
      <c r="B1344" s="14">
        <v>428761482</v>
      </c>
    </row>
    <row r="1345" spans="1:2" x14ac:dyDescent="0.25">
      <c r="A1345" s="15">
        <v>45701.297106481485</v>
      </c>
      <c r="B1345" s="14">
        <v>428761488</v>
      </c>
    </row>
    <row r="1346" spans="1:2" x14ac:dyDescent="0.25">
      <c r="A1346" s="15">
        <v>45701.297118055554</v>
      </c>
      <c r="B1346" s="14">
        <v>428761493</v>
      </c>
    </row>
    <row r="1347" spans="1:2" x14ac:dyDescent="0.25">
      <c r="A1347" s="15">
        <v>45701.297118055554</v>
      </c>
      <c r="B1347" s="14">
        <v>428761499</v>
      </c>
    </row>
    <row r="1348" spans="1:2" x14ac:dyDescent="0.25">
      <c r="A1348" s="15">
        <v>45701.2971412037</v>
      </c>
      <c r="B1348" s="14">
        <v>428761505</v>
      </c>
    </row>
    <row r="1349" spans="1:2" x14ac:dyDescent="0.25">
      <c r="A1349" s="15">
        <v>45701.297152777777</v>
      </c>
      <c r="B1349" s="14">
        <v>428761511</v>
      </c>
    </row>
    <row r="1350" spans="1:2" x14ac:dyDescent="0.25">
      <c r="A1350" s="15">
        <v>45701.297164351854</v>
      </c>
      <c r="B1350" s="14">
        <v>428761516</v>
      </c>
    </row>
    <row r="1351" spans="1:2" x14ac:dyDescent="0.25">
      <c r="A1351" s="15">
        <v>45701.297175925924</v>
      </c>
      <c r="B1351" s="14">
        <v>428761522</v>
      </c>
    </row>
    <row r="1352" spans="1:2" x14ac:dyDescent="0.25">
      <c r="A1352" s="15">
        <v>45701.2971875</v>
      </c>
      <c r="B1352" s="14">
        <v>428761528</v>
      </c>
    </row>
    <row r="1353" spans="1:2" x14ac:dyDescent="0.25">
      <c r="A1353" s="15">
        <v>45701.297199074077</v>
      </c>
      <c r="B1353" s="14">
        <v>428761534</v>
      </c>
    </row>
    <row r="1354" spans="1:2" x14ac:dyDescent="0.25">
      <c r="A1354" s="15">
        <v>45701.297210648147</v>
      </c>
      <c r="B1354" s="14">
        <v>428761539</v>
      </c>
    </row>
    <row r="1355" spans="1:2" x14ac:dyDescent="0.25">
      <c r="A1355" s="15">
        <v>45701.297222222223</v>
      </c>
      <c r="B1355" s="14">
        <v>428761544</v>
      </c>
    </row>
    <row r="1356" spans="1:2" x14ac:dyDescent="0.25">
      <c r="A1356" s="15">
        <v>45701.297233796293</v>
      </c>
      <c r="B1356" s="14">
        <v>428761550</v>
      </c>
    </row>
    <row r="1357" spans="1:2" x14ac:dyDescent="0.25">
      <c r="A1357" s="15">
        <v>45701.297233796293</v>
      </c>
      <c r="B1357" s="14">
        <v>428761555</v>
      </c>
    </row>
    <row r="1358" spans="1:2" x14ac:dyDescent="0.25">
      <c r="A1358" s="15">
        <v>45701.297256944446</v>
      </c>
      <c r="B1358" s="14">
        <v>428761560</v>
      </c>
    </row>
    <row r="1359" spans="1:2" x14ac:dyDescent="0.25">
      <c r="A1359" s="15">
        <v>45701.297268518516</v>
      </c>
      <c r="B1359" s="14">
        <v>428761565</v>
      </c>
    </row>
    <row r="1360" spans="1:2" x14ac:dyDescent="0.25">
      <c r="A1360" s="15">
        <v>45701.297280092593</v>
      </c>
      <c r="B1360" s="14">
        <v>428761570</v>
      </c>
    </row>
    <row r="1361" spans="1:2" x14ac:dyDescent="0.25">
      <c r="A1361" s="15">
        <v>45701.297291666669</v>
      </c>
      <c r="B1361" s="14">
        <v>428761576</v>
      </c>
    </row>
    <row r="1362" spans="1:2" x14ac:dyDescent="0.25">
      <c r="A1362" s="15">
        <v>45701.297303240739</v>
      </c>
      <c r="B1362" s="14">
        <v>428761580</v>
      </c>
    </row>
    <row r="1363" spans="1:2" x14ac:dyDescent="0.25">
      <c r="A1363" s="15">
        <v>45701.297314814816</v>
      </c>
      <c r="B1363" s="14">
        <v>428761586</v>
      </c>
    </row>
    <row r="1364" spans="1:2" x14ac:dyDescent="0.25">
      <c r="A1364" s="15">
        <v>45701.297326388885</v>
      </c>
      <c r="B1364" s="14">
        <v>428761591</v>
      </c>
    </row>
    <row r="1365" spans="1:2" x14ac:dyDescent="0.25">
      <c r="A1365" s="15">
        <v>45701.297337962962</v>
      </c>
      <c r="B1365" s="14">
        <v>428761596</v>
      </c>
    </row>
    <row r="1366" spans="1:2" x14ac:dyDescent="0.25">
      <c r="A1366" s="15">
        <v>45701.297349537039</v>
      </c>
      <c r="B1366" s="14">
        <v>428761601</v>
      </c>
    </row>
    <row r="1367" spans="1:2" x14ac:dyDescent="0.25">
      <c r="A1367" s="15">
        <v>45701.297349537039</v>
      </c>
      <c r="B1367" s="14">
        <v>428761603</v>
      </c>
    </row>
    <row r="1368" spans="1:2" x14ac:dyDescent="0.25">
      <c r="A1368" s="15">
        <v>45701.297361111108</v>
      </c>
      <c r="B1368" s="14">
        <v>428761605</v>
      </c>
    </row>
    <row r="1369" spans="1:2" x14ac:dyDescent="0.25">
      <c r="A1369" s="15">
        <v>45701.297361111108</v>
      </c>
      <c r="B1369" s="14">
        <v>428761606</v>
      </c>
    </row>
    <row r="1370" spans="1:2" x14ac:dyDescent="0.25">
      <c r="A1370" s="15">
        <v>45701.297372685185</v>
      </c>
      <c r="B1370" s="14">
        <v>428761610</v>
      </c>
    </row>
    <row r="1371" spans="1:2" x14ac:dyDescent="0.25">
      <c r="A1371" s="15">
        <v>45701.297384259262</v>
      </c>
      <c r="B1371" s="14">
        <v>428761614</v>
      </c>
    </row>
    <row r="1372" spans="1:2" x14ac:dyDescent="0.25">
      <c r="A1372" s="15">
        <v>45701.297384259262</v>
      </c>
      <c r="B1372" s="14">
        <v>428761618</v>
      </c>
    </row>
    <row r="1373" spans="1:2" x14ac:dyDescent="0.25">
      <c r="A1373" s="15">
        <v>45701.297395833331</v>
      </c>
      <c r="B1373" s="14">
        <v>428761619</v>
      </c>
    </row>
    <row r="1374" spans="1:2" x14ac:dyDescent="0.25">
      <c r="A1374" s="15">
        <v>45701.297407407408</v>
      </c>
      <c r="B1374" s="14">
        <v>428761624</v>
      </c>
    </row>
    <row r="1375" spans="1:2" x14ac:dyDescent="0.25">
      <c r="A1375" s="15">
        <v>45701.297407407408</v>
      </c>
      <c r="B1375" s="14">
        <v>428761629</v>
      </c>
    </row>
    <row r="1376" spans="1:2" x14ac:dyDescent="0.25">
      <c r="A1376" s="15">
        <v>45701.297430555554</v>
      </c>
      <c r="B1376" s="14">
        <v>428761634</v>
      </c>
    </row>
    <row r="1377" spans="1:2" x14ac:dyDescent="0.25">
      <c r="A1377" s="15">
        <v>45701.297442129631</v>
      </c>
      <c r="B1377" s="14">
        <v>428761640</v>
      </c>
    </row>
    <row r="1378" spans="1:2" x14ac:dyDescent="0.25">
      <c r="A1378" s="15">
        <v>45701.297453703701</v>
      </c>
      <c r="B1378" s="14">
        <v>428761645</v>
      </c>
    </row>
    <row r="1379" spans="1:2" x14ac:dyDescent="0.25">
      <c r="A1379" s="15">
        <v>45701.297453703701</v>
      </c>
      <c r="B1379" s="14">
        <v>428761648</v>
      </c>
    </row>
    <row r="1380" spans="1:2" x14ac:dyDescent="0.25">
      <c r="A1380" s="15">
        <v>45701.297465277778</v>
      </c>
      <c r="B1380" s="14">
        <v>428761651</v>
      </c>
    </row>
    <row r="1381" spans="1:2" x14ac:dyDescent="0.25">
      <c r="A1381" s="15">
        <v>45701.297465277778</v>
      </c>
      <c r="B1381" s="14">
        <v>428761656</v>
      </c>
    </row>
    <row r="1382" spans="1:2" x14ac:dyDescent="0.25">
      <c r="A1382" s="15">
        <v>45701.297476851854</v>
      </c>
      <c r="B1382" s="14">
        <v>428761657</v>
      </c>
    </row>
    <row r="1383" spans="1:2" x14ac:dyDescent="0.25">
      <c r="A1383" s="15">
        <v>45701.297476851854</v>
      </c>
      <c r="B1383" s="14">
        <v>428761662</v>
      </c>
    </row>
    <row r="1384" spans="1:2" x14ac:dyDescent="0.25">
      <c r="A1384" s="15">
        <v>45701.297488425924</v>
      </c>
      <c r="B1384" s="14">
        <v>428761663</v>
      </c>
    </row>
    <row r="1385" spans="1:2" x14ac:dyDescent="0.25">
      <c r="A1385" s="15">
        <v>45701.297488425924</v>
      </c>
      <c r="B1385" s="14">
        <v>428761664</v>
      </c>
    </row>
    <row r="1386" spans="1:2" x14ac:dyDescent="0.25">
      <c r="A1386" s="15">
        <v>45701.297500000001</v>
      </c>
      <c r="B1386" s="14">
        <v>428761668</v>
      </c>
    </row>
    <row r="1387" spans="1:2" x14ac:dyDescent="0.25">
      <c r="A1387" s="15">
        <v>45701.297511574077</v>
      </c>
      <c r="B1387" s="14">
        <v>428761674</v>
      </c>
    </row>
    <row r="1388" spans="1:2" x14ac:dyDescent="0.25">
      <c r="A1388" s="15">
        <v>45701.297523148147</v>
      </c>
      <c r="B1388" s="14">
        <v>428761680</v>
      </c>
    </row>
    <row r="1389" spans="1:2" x14ac:dyDescent="0.25">
      <c r="A1389" s="15">
        <v>45701.297534722224</v>
      </c>
      <c r="B1389" s="14">
        <v>428761686</v>
      </c>
    </row>
    <row r="1390" spans="1:2" x14ac:dyDescent="0.25">
      <c r="A1390" s="15">
        <v>45701.297546296293</v>
      </c>
      <c r="B1390" s="14">
        <v>428761691</v>
      </c>
    </row>
    <row r="1391" spans="1:2" x14ac:dyDescent="0.25">
      <c r="A1391" s="15">
        <v>45701.29755787037</v>
      </c>
      <c r="B1391" s="14">
        <v>428761695</v>
      </c>
    </row>
    <row r="1392" spans="1:2" x14ac:dyDescent="0.25">
      <c r="A1392" s="15">
        <v>45701.29755787037</v>
      </c>
      <c r="B1392" s="14">
        <v>428761696</v>
      </c>
    </row>
    <row r="1393" spans="1:2" x14ac:dyDescent="0.25">
      <c r="A1393" s="15">
        <v>45701.29755787037</v>
      </c>
      <c r="B1393" s="14">
        <v>428761700</v>
      </c>
    </row>
    <row r="1394" spans="1:2" x14ac:dyDescent="0.25">
      <c r="A1394" s="15">
        <v>45701.297569444447</v>
      </c>
      <c r="B1394" s="14">
        <v>428761701</v>
      </c>
    </row>
    <row r="1395" spans="1:2" x14ac:dyDescent="0.25">
      <c r="A1395" s="15">
        <v>45701.297581018516</v>
      </c>
      <c r="B1395" s="14">
        <v>428761705</v>
      </c>
    </row>
    <row r="1396" spans="1:2" x14ac:dyDescent="0.25">
      <c r="A1396" s="15">
        <v>45701.297592592593</v>
      </c>
      <c r="B1396" s="14">
        <v>428761709</v>
      </c>
    </row>
    <row r="1397" spans="1:2" x14ac:dyDescent="0.25">
      <c r="A1397" s="15">
        <v>45701.297592592593</v>
      </c>
      <c r="B1397" s="14">
        <v>428761712</v>
      </c>
    </row>
    <row r="1398" spans="1:2" x14ac:dyDescent="0.25">
      <c r="A1398" s="15">
        <v>45701.29760416667</v>
      </c>
      <c r="B1398" s="14">
        <v>428761713</v>
      </c>
    </row>
    <row r="1399" spans="1:2" x14ac:dyDescent="0.25">
      <c r="A1399" s="15">
        <v>45701.297615740739</v>
      </c>
      <c r="B1399" s="14">
        <v>428761717</v>
      </c>
    </row>
    <row r="1400" spans="1:2" x14ac:dyDescent="0.25">
      <c r="A1400" s="15">
        <v>45701.297627314816</v>
      </c>
      <c r="B1400" s="14">
        <v>428761722</v>
      </c>
    </row>
    <row r="1401" spans="1:2" x14ac:dyDescent="0.25">
      <c r="A1401" s="15">
        <v>45701.297627314816</v>
      </c>
      <c r="B1401" s="14">
        <v>428761723</v>
      </c>
    </row>
    <row r="1402" spans="1:2" x14ac:dyDescent="0.25">
      <c r="A1402" s="15">
        <v>45701.297638888886</v>
      </c>
      <c r="B1402" s="14">
        <v>428761725</v>
      </c>
    </row>
    <row r="1403" spans="1:2" x14ac:dyDescent="0.25">
      <c r="A1403" s="15">
        <v>45701.297650462962</v>
      </c>
      <c r="B1403" s="14">
        <v>428761730</v>
      </c>
    </row>
    <row r="1404" spans="1:2" x14ac:dyDescent="0.25">
      <c r="A1404" s="15">
        <v>45701.297662037039</v>
      </c>
      <c r="B1404" s="14">
        <v>428761734</v>
      </c>
    </row>
    <row r="1405" spans="1:2" x14ac:dyDescent="0.25">
      <c r="A1405" s="15">
        <v>45701.297673611109</v>
      </c>
      <c r="B1405" s="14">
        <v>428761738</v>
      </c>
    </row>
    <row r="1406" spans="1:2" x14ac:dyDescent="0.25">
      <c r="A1406" s="15">
        <v>45701.297685185185</v>
      </c>
      <c r="B1406" s="14">
        <v>428761742</v>
      </c>
    </row>
    <row r="1407" spans="1:2" x14ac:dyDescent="0.25">
      <c r="A1407" s="15">
        <v>45701.297696759262</v>
      </c>
      <c r="B1407" s="14">
        <v>428761747</v>
      </c>
    </row>
    <row r="1408" spans="1:2" x14ac:dyDescent="0.25">
      <c r="A1408" s="15">
        <v>45701.297708333332</v>
      </c>
      <c r="B1408" s="14">
        <v>428761751</v>
      </c>
    </row>
    <row r="1409" spans="1:2" x14ac:dyDescent="0.25">
      <c r="A1409" s="15">
        <v>45701.297708333332</v>
      </c>
      <c r="B1409" s="14">
        <v>428761753</v>
      </c>
    </row>
    <row r="1410" spans="1:2" x14ac:dyDescent="0.25">
      <c r="A1410" s="15">
        <v>45701.297719907408</v>
      </c>
      <c r="B1410" s="14">
        <v>428761756</v>
      </c>
    </row>
    <row r="1411" spans="1:2" x14ac:dyDescent="0.25">
      <c r="A1411" s="15">
        <v>45701.297719907408</v>
      </c>
      <c r="B1411" s="14">
        <v>428761757</v>
      </c>
    </row>
    <row r="1412" spans="1:2" x14ac:dyDescent="0.25">
      <c r="A1412" s="15">
        <v>45701.297731481478</v>
      </c>
      <c r="B1412" s="14">
        <v>428761760</v>
      </c>
    </row>
    <row r="1413" spans="1:2" x14ac:dyDescent="0.25">
      <c r="A1413" s="15">
        <v>45701.297731481478</v>
      </c>
      <c r="B1413" s="14">
        <v>428761763</v>
      </c>
    </row>
    <row r="1414" spans="1:2" x14ac:dyDescent="0.25">
      <c r="A1414" s="15">
        <v>45701.297743055555</v>
      </c>
      <c r="B1414" s="14">
        <v>428761764</v>
      </c>
    </row>
    <row r="1415" spans="1:2" x14ac:dyDescent="0.25">
      <c r="A1415" s="15">
        <v>45701.297754629632</v>
      </c>
      <c r="B1415" s="14">
        <v>428761768</v>
      </c>
    </row>
    <row r="1416" spans="1:2" x14ac:dyDescent="0.25">
      <c r="A1416" s="15">
        <v>45701.297766203701</v>
      </c>
      <c r="B1416" s="14">
        <v>428761772</v>
      </c>
    </row>
    <row r="1417" spans="1:2" x14ac:dyDescent="0.25">
      <c r="A1417" s="15">
        <v>45701.297777777778</v>
      </c>
      <c r="B1417" s="14">
        <v>428761776</v>
      </c>
    </row>
    <row r="1418" spans="1:2" x14ac:dyDescent="0.25">
      <c r="A1418" s="15">
        <v>45701.297789351855</v>
      </c>
      <c r="B1418" s="14">
        <v>428761780</v>
      </c>
    </row>
    <row r="1419" spans="1:2" x14ac:dyDescent="0.25">
      <c r="A1419" s="15">
        <v>45701.297800925924</v>
      </c>
      <c r="B1419" s="14">
        <v>428761784</v>
      </c>
    </row>
    <row r="1420" spans="1:2" x14ac:dyDescent="0.25">
      <c r="A1420" s="15">
        <v>45701.297812500001</v>
      </c>
      <c r="B1420" s="14">
        <v>428761788</v>
      </c>
    </row>
    <row r="1421" spans="1:2" x14ac:dyDescent="0.25">
      <c r="A1421" s="15">
        <v>45701.297824074078</v>
      </c>
      <c r="B1421" s="14">
        <v>428761792</v>
      </c>
    </row>
    <row r="1422" spans="1:2" x14ac:dyDescent="0.25">
      <c r="A1422" s="15">
        <v>45701.297824074078</v>
      </c>
      <c r="B1422" s="14">
        <v>428761793</v>
      </c>
    </row>
    <row r="1423" spans="1:2" x14ac:dyDescent="0.25">
      <c r="A1423" s="15">
        <v>45701.297835648147</v>
      </c>
      <c r="B1423" s="14">
        <v>428761795</v>
      </c>
    </row>
    <row r="1424" spans="1:2" x14ac:dyDescent="0.25">
      <c r="A1424" s="15">
        <v>45701.297835648147</v>
      </c>
      <c r="B1424" s="14">
        <v>428761796</v>
      </c>
    </row>
    <row r="1425" spans="1:2" x14ac:dyDescent="0.25">
      <c r="A1425" s="15">
        <v>45701.297847222224</v>
      </c>
      <c r="B1425" s="14">
        <v>428761799</v>
      </c>
    </row>
    <row r="1426" spans="1:2" x14ac:dyDescent="0.25">
      <c r="A1426" s="15">
        <v>45701.297858796293</v>
      </c>
      <c r="B1426" s="14">
        <v>428761803</v>
      </c>
    </row>
    <row r="1427" spans="1:2" x14ac:dyDescent="0.25">
      <c r="A1427" s="15">
        <v>45701.29787037037</v>
      </c>
      <c r="B1427" s="14">
        <v>428761806</v>
      </c>
    </row>
    <row r="1428" spans="1:2" x14ac:dyDescent="0.25">
      <c r="A1428" s="15">
        <v>45701.29787037037</v>
      </c>
      <c r="B1428" s="14">
        <v>428761808</v>
      </c>
    </row>
    <row r="1429" spans="1:2" x14ac:dyDescent="0.25">
      <c r="A1429" s="15">
        <v>45701.297881944447</v>
      </c>
      <c r="B1429" s="14">
        <v>428761809</v>
      </c>
    </row>
    <row r="1430" spans="1:2" x14ac:dyDescent="0.25">
      <c r="A1430" s="15">
        <v>45701.297893518517</v>
      </c>
      <c r="B1430" s="14">
        <v>428761811</v>
      </c>
    </row>
    <row r="1431" spans="1:2" x14ac:dyDescent="0.25">
      <c r="A1431" s="15">
        <v>45701.297905092593</v>
      </c>
      <c r="B1431" s="14">
        <v>428761814</v>
      </c>
    </row>
    <row r="1432" spans="1:2" x14ac:dyDescent="0.25">
      <c r="A1432" s="15">
        <v>45701.29791666667</v>
      </c>
      <c r="B1432" s="14">
        <v>428761815</v>
      </c>
    </row>
    <row r="1433" spans="1:2" x14ac:dyDescent="0.25">
      <c r="A1433" s="15">
        <v>45701.29792824074</v>
      </c>
      <c r="B1433" s="14">
        <v>428761816</v>
      </c>
    </row>
    <row r="1434" spans="1:2" x14ac:dyDescent="0.25">
      <c r="A1434" s="15">
        <v>45701.297939814816</v>
      </c>
      <c r="B1434" s="14">
        <v>428761817</v>
      </c>
    </row>
    <row r="1435" spans="1:2" x14ac:dyDescent="0.25">
      <c r="A1435" s="15">
        <v>45701.297951388886</v>
      </c>
      <c r="B1435" s="14">
        <v>428761818</v>
      </c>
    </row>
    <row r="1436" spans="1:2" x14ac:dyDescent="0.25">
      <c r="A1436" s="17"/>
      <c r="B1436" s="18"/>
    </row>
    <row r="1437" spans="1:2" x14ac:dyDescent="0.25">
      <c r="A1437" s="17"/>
      <c r="B1437" s="18"/>
    </row>
    <row r="1438" spans="1:2" x14ac:dyDescent="0.25">
      <c r="A1438" s="17"/>
      <c r="B1438" s="18"/>
    </row>
    <row r="1439" spans="1:2" x14ac:dyDescent="0.25">
      <c r="A1439" s="17"/>
      <c r="B1439" s="18"/>
    </row>
    <row r="1440" spans="1:2" x14ac:dyDescent="0.25">
      <c r="A1440" s="17"/>
      <c r="B1440" s="18"/>
    </row>
    <row r="1441" spans="1:2" x14ac:dyDescent="0.25">
      <c r="A1441" s="17"/>
      <c r="B1441" s="18"/>
    </row>
    <row r="1442" spans="1:2" x14ac:dyDescent="0.25">
      <c r="A1442" s="17"/>
      <c r="B1442" s="18"/>
    </row>
    <row r="1443" spans="1:2" x14ac:dyDescent="0.25">
      <c r="A1443" s="17"/>
      <c r="B1443" s="18"/>
    </row>
    <row r="1444" spans="1:2" x14ac:dyDescent="0.25">
      <c r="A1444" s="17"/>
      <c r="B1444" s="18"/>
    </row>
    <row r="1445" spans="1:2" x14ac:dyDescent="0.25">
      <c r="A1445" s="17"/>
      <c r="B1445" s="18"/>
    </row>
    <row r="1446" spans="1:2" x14ac:dyDescent="0.25">
      <c r="A1446" s="17"/>
      <c r="B1446" s="18"/>
    </row>
    <row r="1447" spans="1:2" x14ac:dyDescent="0.25">
      <c r="A1447" s="17"/>
      <c r="B1447" s="18"/>
    </row>
    <row r="1448" spans="1:2" x14ac:dyDescent="0.25">
      <c r="A1448" s="17"/>
      <c r="B1448" s="18"/>
    </row>
    <row r="1449" spans="1:2" x14ac:dyDescent="0.25">
      <c r="A1449" s="17"/>
      <c r="B1449" s="18"/>
    </row>
    <row r="1450" spans="1:2" x14ac:dyDescent="0.25">
      <c r="A1450" s="17"/>
      <c r="B1450" s="18"/>
    </row>
    <row r="1451" spans="1:2" x14ac:dyDescent="0.25">
      <c r="A1451" s="17"/>
      <c r="B1451" s="18"/>
    </row>
    <row r="1452" spans="1:2" x14ac:dyDescent="0.25">
      <c r="A1452" s="17"/>
      <c r="B1452" s="18"/>
    </row>
    <row r="1453" spans="1:2" x14ac:dyDescent="0.25">
      <c r="A1453" s="17"/>
      <c r="B1453" s="18"/>
    </row>
    <row r="1454" spans="1:2" x14ac:dyDescent="0.25">
      <c r="A1454" s="17"/>
      <c r="B1454" s="18"/>
    </row>
    <row r="1455" spans="1:2" x14ac:dyDescent="0.25">
      <c r="A1455" s="17"/>
      <c r="B1455" s="18"/>
    </row>
    <row r="1456" spans="1:2" x14ac:dyDescent="0.25">
      <c r="A1456" s="17"/>
      <c r="B1456" s="18"/>
    </row>
    <row r="1457" spans="1:2" x14ac:dyDescent="0.25">
      <c r="A1457" s="17"/>
      <c r="B1457" s="18"/>
    </row>
    <row r="1458" spans="1:2" x14ac:dyDescent="0.25">
      <c r="A1458" s="17"/>
      <c r="B1458" s="18"/>
    </row>
    <row r="1459" spans="1:2" x14ac:dyDescent="0.25">
      <c r="A1459" s="17"/>
      <c r="B1459" s="18"/>
    </row>
    <row r="1460" spans="1:2" x14ac:dyDescent="0.25">
      <c r="A1460" s="17"/>
      <c r="B1460" s="18"/>
    </row>
    <row r="1461" spans="1:2" x14ac:dyDescent="0.25">
      <c r="A1461" s="17"/>
      <c r="B1461" s="18"/>
    </row>
    <row r="1462" spans="1:2" x14ac:dyDescent="0.25">
      <c r="A1462" s="17"/>
      <c r="B1462" s="18"/>
    </row>
    <row r="1463" spans="1:2" x14ac:dyDescent="0.25">
      <c r="A1463" s="17"/>
      <c r="B1463" s="18"/>
    </row>
    <row r="1464" spans="1:2" x14ac:dyDescent="0.25">
      <c r="A1464" s="17"/>
      <c r="B1464" s="18"/>
    </row>
    <row r="1465" spans="1:2" x14ac:dyDescent="0.25">
      <c r="A1465" s="17"/>
      <c r="B1465" s="18"/>
    </row>
    <row r="1466" spans="1:2" x14ac:dyDescent="0.25">
      <c r="A1466" s="17"/>
      <c r="B1466" s="18"/>
    </row>
    <row r="1467" spans="1:2" x14ac:dyDescent="0.25">
      <c r="A1467" s="17"/>
      <c r="B1467" s="18"/>
    </row>
    <row r="1468" spans="1:2" x14ac:dyDescent="0.25">
      <c r="A1468" s="17"/>
      <c r="B1468" s="18"/>
    </row>
    <row r="1469" spans="1:2" x14ac:dyDescent="0.25">
      <c r="A1469" s="17"/>
      <c r="B1469" s="18"/>
    </row>
    <row r="1470" spans="1:2" x14ac:dyDescent="0.25">
      <c r="A1470" s="17"/>
      <c r="B1470" s="18"/>
    </row>
    <row r="1471" spans="1:2" x14ac:dyDescent="0.25">
      <c r="A1471" s="17"/>
      <c r="B1471" s="18"/>
    </row>
    <row r="1472" spans="1:2" x14ac:dyDescent="0.25">
      <c r="A1472" s="17"/>
      <c r="B1472" s="18"/>
    </row>
    <row r="1473" spans="1:2" x14ac:dyDescent="0.25">
      <c r="A1473" s="17"/>
      <c r="B1473" s="18"/>
    </row>
    <row r="1474" spans="1:2" x14ac:dyDescent="0.25">
      <c r="A1474" s="17"/>
      <c r="B1474" s="18"/>
    </row>
    <row r="1475" spans="1:2" x14ac:dyDescent="0.25">
      <c r="A1475" s="17"/>
      <c r="B1475" s="18"/>
    </row>
    <row r="1476" spans="1:2" x14ac:dyDescent="0.25">
      <c r="A1476" s="17"/>
      <c r="B1476" s="18"/>
    </row>
    <row r="1477" spans="1:2" x14ac:dyDescent="0.25">
      <c r="A1477" s="17"/>
      <c r="B1477" s="18"/>
    </row>
    <row r="1478" spans="1:2" x14ac:dyDescent="0.25">
      <c r="A1478" s="17"/>
      <c r="B1478" s="18"/>
    </row>
    <row r="1479" spans="1:2" x14ac:dyDescent="0.25">
      <c r="A1479" s="17"/>
      <c r="B1479" s="18"/>
    </row>
    <row r="1480" spans="1:2" x14ac:dyDescent="0.25">
      <c r="A1480" s="17"/>
      <c r="B1480" s="18"/>
    </row>
    <row r="1481" spans="1:2" x14ac:dyDescent="0.25">
      <c r="A1481" s="17"/>
      <c r="B1481" s="18"/>
    </row>
    <row r="1482" spans="1:2" x14ac:dyDescent="0.25">
      <c r="A1482" s="17"/>
      <c r="B1482" s="18"/>
    </row>
    <row r="1483" spans="1:2" x14ac:dyDescent="0.25">
      <c r="A1483" s="17"/>
      <c r="B1483" s="18"/>
    </row>
    <row r="1484" spans="1:2" x14ac:dyDescent="0.25">
      <c r="A1484" s="17"/>
      <c r="B1484" s="18"/>
    </row>
    <row r="1485" spans="1:2" x14ac:dyDescent="0.25">
      <c r="A1485" s="17"/>
      <c r="B1485" s="18"/>
    </row>
    <row r="1486" spans="1:2" x14ac:dyDescent="0.25">
      <c r="A1486" s="17"/>
      <c r="B1486" s="18"/>
    </row>
    <row r="1487" spans="1:2" x14ac:dyDescent="0.25">
      <c r="A1487" s="17"/>
      <c r="B1487" s="18"/>
    </row>
    <row r="1488" spans="1:2" x14ac:dyDescent="0.25">
      <c r="A1488" s="17"/>
      <c r="B1488" s="18"/>
    </row>
    <row r="1489" spans="1:2" x14ac:dyDescent="0.25">
      <c r="A1489" s="17"/>
      <c r="B1489" s="18"/>
    </row>
    <row r="1490" spans="1:2" x14ac:dyDescent="0.25">
      <c r="A1490" s="17"/>
      <c r="B1490" s="18"/>
    </row>
    <row r="1491" spans="1:2" x14ac:dyDescent="0.25">
      <c r="A1491" s="17"/>
      <c r="B1491" s="18"/>
    </row>
    <row r="1492" spans="1:2" x14ac:dyDescent="0.25">
      <c r="A1492" s="17"/>
      <c r="B1492" s="18"/>
    </row>
    <row r="1493" spans="1:2" x14ac:dyDescent="0.25">
      <c r="A1493" s="17"/>
      <c r="B1493" s="18"/>
    </row>
    <row r="1494" spans="1:2" x14ac:dyDescent="0.25">
      <c r="A1494" s="17"/>
      <c r="B1494" s="18"/>
    </row>
    <row r="1495" spans="1:2" x14ac:dyDescent="0.25">
      <c r="A1495" s="17"/>
      <c r="B1495" s="18"/>
    </row>
    <row r="1496" spans="1:2" x14ac:dyDescent="0.25">
      <c r="A1496" s="17"/>
      <c r="B1496" s="18"/>
    </row>
    <row r="1497" spans="1:2" x14ac:dyDescent="0.25">
      <c r="A1497" s="17"/>
      <c r="B1497" s="18"/>
    </row>
    <row r="1498" spans="1:2" x14ac:dyDescent="0.25">
      <c r="A1498" s="17"/>
      <c r="B1498" s="18"/>
    </row>
    <row r="1499" spans="1:2" x14ac:dyDescent="0.25">
      <c r="A1499" s="17"/>
      <c r="B1499" s="18"/>
    </row>
    <row r="1500" spans="1:2" x14ac:dyDescent="0.25">
      <c r="A1500" s="17"/>
      <c r="B1500" s="18"/>
    </row>
    <row r="1501" spans="1:2" x14ac:dyDescent="0.25">
      <c r="A1501" s="17"/>
      <c r="B1501" s="18"/>
    </row>
    <row r="1502" spans="1:2" x14ac:dyDescent="0.25">
      <c r="A1502" s="17"/>
      <c r="B1502" s="18"/>
    </row>
    <row r="1503" spans="1:2" x14ac:dyDescent="0.25">
      <c r="A1503" s="17"/>
      <c r="B1503" s="18"/>
    </row>
    <row r="1504" spans="1:2" x14ac:dyDescent="0.25">
      <c r="A1504" s="17"/>
      <c r="B1504" s="18"/>
    </row>
    <row r="1505" spans="1:2" x14ac:dyDescent="0.25">
      <c r="A1505" s="17"/>
      <c r="B1505" s="18"/>
    </row>
    <row r="1506" spans="1:2" x14ac:dyDescent="0.25">
      <c r="A1506" s="17"/>
      <c r="B1506" s="18"/>
    </row>
    <row r="1507" spans="1:2" x14ac:dyDescent="0.25">
      <c r="A1507" s="17"/>
      <c r="B1507" s="18"/>
    </row>
    <row r="1508" spans="1:2" x14ac:dyDescent="0.25">
      <c r="A1508" s="17"/>
      <c r="B1508" s="18"/>
    </row>
    <row r="1509" spans="1:2" x14ac:dyDescent="0.25">
      <c r="A1509" s="17"/>
      <c r="B1509" s="18"/>
    </row>
    <row r="1510" spans="1:2" x14ac:dyDescent="0.25">
      <c r="A1510" s="17"/>
      <c r="B1510" s="18"/>
    </row>
    <row r="1511" spans="1:2" x14ac:dyDescent="0.25">
      <c r="A1511" s="17"/>
      <c r="B1511" s="18"/>
    </row>
    <row r="1512" spans="1:2" x14ac:dyDescent="0.25">
      <c r="A1512" s="17"/>
      <c r="B1512" s="18"/>
    </row>
    <row r="1513" spans="1:2" x14ac:dyDescent="0.25">
      <c r="A1513" s="17"/>
      <c r="B1513" s="18"/>
    </row>
    <row r="1514" spans="1:2" x14ac:dyDescent="0.25">
      <c r="A1514" s="17"/>
      <c r="B1514" s="18"/>
    </row>
    <row r="1515" spans="1:2" x14ac:dyDescent="0.25">
      <c r="A1515" s="17"/>
      <c r="B1515" s="18"/>
    </row>
    <row r="1516" spans="1:2" x14ac:dyDescent="0.25">
      <c r="A1516" s="17"/>
      <c r="B1516" s="18"/>
    </row>
    <row r="1517" spans="1:2" x14ac:dyDescent="0.25">
      <c r="A1517" s="17"/>
      <c r="B1517" s="18"/>
    </row>
    <row r="1518" spans="1:2" x14ac:dyDescent="0.25">
      <c r="A1518" s="17"/>
      <c r="B1518" s="18"/>
    </row>
    <row r="1519" spans="1:2" x14ac:dyDescent="0.25">
      <c r="A1519" s="17"/>
      <c r="B1519" s="18"/>
    </row>
    <row r="1520" spans="1:2" x14ac:dyDescent="0.25">
      <c r="A1520" s="17"/>
      <c r="B1520" s="18"/>
    </row>
    <row r="1521" spans="1:2" x14ac:dyDescent="0.25">
      <c r="A1521" s="17"/>
      <c r="B1521" s="18"/>
    </row>
    <row r="1522" spans="1:2" x14ac:dyDescent="0.25">
      <c r="A1522" s="17"/>
      <c r="B1522" s="18"/>
    </row>
    <row r="1523" spans="1:2" x14ac:dyDescent="0.25">
      <c r="A1523" s="17"/>
      <c r="B1523" s="18"/>
    </row>
    <row r="1524" spans="1:2" x14ac:dyDescent="0.25">
      <c r="A1524" s="17"/>
      <c r="B1524" s="18"/>
    </row>
    <row r="1525" spans="1:2" x14ac:dyDescent="0.25">
      <c r="A1525" s="17"/>
      <c r="B1525" s="18"/>
    </row>
    <row r="1526" spans="1:2" x14ac:dyDescent="0.25">
      <c r="A1526" s="17"/>
      <c r="B1526" s="18"/>
    </row>
    <row r="1527" spans="1:2" x14ac:dyDescent="0.25">
      <c r="A1527" s="17"/>
      <c r="B1527" s="18"/>
    </row>
    <row r="1528" spans="1:2" x14ac:dyDescent="0.25">
      <c r="A1528" s="17"/>
      <c r="B1528" s="18"/>
    </row>
    <row r="1529" spans="1:2" x14ac:dyDescent="0.25">
      <c r="A1529" s="17"/>
      <c r="B1529" s="18"/>
    </row>
    <row r="1530" spans="1:2" x14ac:dyDescent="0.25">
      <c r="A1530" s="17"/>
      <c r="B1530" s="18"/>
    </row>
    <row r="1531" spans="1:2" x14ac:dyDescent="0.25">
      <c r="A1531" s="17"/>
      <c r="B1531" s="18"/>
    </row>
    <row r="1532" spans="1:2" x14ac:dyDescent="0.25">
      <c r="A1532" s="17"/>
      <c r="B1532" s="18"/>
    </row>
    <row r="1533" spans="1:2" x14ac:dyDescent="0.25">
      <c r="A1533" s="15"/>
      <c r="B1533" s="14"/>
    </row>
    <row r="1534" spans="1:2" x14ac:dyDescent="0.25">
      <c r="A1534" s="15"/>
      <c r="B1534" s="14"/>
    </row>
    <row r="1535" spans="1:2" x14ac:dyDescent="0.25">
      <c r="A1535" s="15"/>
      <c r="B1535" s="14"/>
    </row>
    <row r="1536" spans="1:2" x14ac:dyDescent="0.25">
      <c r="A1536" s="15"/>
      <c r="B1536" s="14"/>
    </row>
    <row r="1537" spans="1:2" x14ac:dyDescent="0.25">
      <c r="A1537" s="15"/>
      <c r="B1537" s="14"/>
    </row>
    <row r="1538" spans="1:2" x14ac:dyDescent="0.25">
      <c r="A1538" s="15"/>
      <c r="B1538" s="14"/>
    </row>
    <row r="1539" spans="1:2" x14ac:dyDescent="0.25">
      <c r="A1539" s="15"/>
      <c r="B1539" s="14"/>
    </row>
    <row r="1540" spans="1:2" x14ac:dyDescent="0.25">
      <c r="A1540" s="15"/>
      <c r="B1540" s="14"/>
    </row>
    <row r="1541" spans="1:2" x14ac:dyDescent="0.25">
      <c r="A1541" s="15"/>
      <c r="B1541" s="14"/>
    </row>
    <row r="1542" spans="1:2" x14ac:dyDescent="0.25">
      <c r="A1542" s="15"/>
      <c r="B1542" s="14"/>
    </row>
    <row r="1543" spans="1:2" x14ac:dyDescent="0.25">
      <c r="A1543" s="15"/>
      <c r="B1543" s="14"/>
    </row>
    <row r="1544" spans="1:2" x14ac:dyDescent="0.25">
      <c r="A1544" s="15"/>
      <c r="B1544" s="14"/>
    </row>
    <row r="1545" spans="1:2" x14ac:dyDescent="0.25">
      <c r="A1545" s="15"/>
      <c r="B1545" s="14"/>
    </row>
    <row r="1546" spans="1:2" x14ac:dyDescent="0.25">
      <c r="A1546" s="15"/>
      <c r="B1546" s="14"/>
    </row>
    <row r="1547" spans="1:2" x14ac:dyDescent="0.25">
      <c r="A1547" s="15"/>
      <c r="B1547" s="14"/>
    </row>
    <row r="1548" spans="1:2" x14ac:dyDescent="0.25">
      <c r="A1548" s="15"/>
      <c r="B1548" s="14"/>
    </row>
    <row r="1549" spans="1:2" x14ac:dyDescent="0.25">
      <c r="A1549" s="15"/>
      <c r="B1549" s="14"/>
    </row>
    <row r="1550" spans="1:2" x14ac:dyDescent="0.25">
      <c r="A1550" s="15"/>
      <c r="B1550" s="14"/>
    </row>
    <row r="1551" spans="1:2" x14ac:dyDescent="0.25">
      <c r="A1551" s="15"/>
      <c r="B1551" s="14"/>
    </row>
    <row r="1552" spans="1:2" x14ac:dyDescent="0.25">
      <c r="A1552" s="15"/>
      <c r="B1552" s="14"/>
    </row>
    <row r="1553" spans="1:2" x14ac:dyDescent="0.25">
      <c r="A1553" s="15"/>
      <c r="B1553" s="14"/>
    </row>
    <row r="1554" spans="1:2" x14ac:dyDescent="0.25">
      <c r="A1554" s="15"/>
      <c r="B1554" s="14"/>
    </row>
    <row r="1555" spans="1:2" x14ac:dyDescent="0.25">
      <c r="A1555" s="15"/>
      <c r="B1555" s="14"/>
    </row>
    <row r="1556" spans="1:2" x14ac:dyDescent="0.25">
      <c r="A1556" s="15"/>
      <c r="B1556" s="14"/>
    </row>
    <row r="1557" spans="1:2" x14ac:dyDescent="0.25">
      <c r="A1557" s="15"/>
      <c r="B1557" s="14"/>
    </row>
    <row r="1558" spans="1:2" x14ac:dyDescent="0.25">
      <c r="A1558" s="15"/>
      <c r="B1558" s="14"/>
    </row>
    <row r="1559" spans="1:2" x14ac:dyDescent="0.25">
      <c r="A1559" s="15"/>
      <c r="B1559" s="14"/>
    </row>
    <row r="1560" spans="1:2" x14ac:dyDescent="0.25">
      <c r="A1560" s="15"/>
      <c r="B1560" s="14"/>
    </row>
    <row r="1561" spans="1:2" x14ac:dyDescent="0.25">
      <c r="A1561" s="15"/>
      <c r="B1561" s="14"/>
    </row>
    <row r="1562" spans="1:2" x14ac:dyDescent="0.25">
      <c r="A1562" s="15"/>
      <c r="B1562" s="14"/>
    </row>
    <row r="1563" spans="1:2" x14ac:dyDescent="0.25">
      <c r="A1563" s="15"/>
      <c r="B1563" s="14"/>
    </row>
    <row r="1564" spans="1:2" x14ac:dyDescent="0.25">
      <c r="A1564" s="15"/>
      <c r="B1564" s="14"/>
    </row>
    <row r="1565" spans="1:2" x14ac:dyDescent="0.25">
      <c r="A1565" s="15"/>
      <c r="B1565" s="14"/>
    </row>
    <row r="1566" spans="1:2" x14ac:dyDescent="0.25">
      <c r="A1566" s="15"/>
      <c r="B1566" s="14"/>
    </row>
    <row r="1567" spans="1:2" x14ac:dyDescent="0.25">
      <c r="A1567" s="15"/>
      <c r="B1567" s="14"/>
    </row>
    <row r="1568" spans="1:2" x14ac:dyDescent="0.25">
      <c r="A1568" s="15"/>
      <c r="B1568" s="14"/>
    </row>
    <row r="1569" spans="1:2" x14ac:dyDescent="0.25">
      <c r="A1569" s="15"/>
      <c r="B1569" s="14"/>
    </row>
    <row r="1570" spans="1:2" x14ac:dyDescent="0.25">
      <c r="A1570" s="15"/>
      <c r="B1570" s="14"/>
    </row>
    <row r="1571" spans="1:2" x14ac:dyDescent="0.25">
      <c r="A1571" s="15"/>
      <c r="B1571" s="14"/>
    </row>
    <row r="1572" spans="1:2" x14ac:dyDescent="0.25">
      <c r="A1572" s="15"/>
      <c r="B1572" s="14"/>
    </row>
    <row r="1573" spans="1:2" x14ac:dyDescent="0.25">
      <c r="A1573" s="15"/>
      <c r="B1573" s="14"/>
    </row>
    <row r="1574" spans="1:2" x14ac:dyDescent="0.25">
      <c r="A1574" s="15"/>
      <c r="B1574" s="14"/>
    </row>
    <row r="1575" spans="1:2" x14ac:dyDescent="0.25">
      <c r="A1575" s="15"/>
      <c r="B1575" s="14"/>
    </row>
    <row r="1576" spans="1:2" x14ac:dyDescent="0.25">
      <c r="A1576" s="15"/>
      <c r="B1576" s="14"/>
    </row>
    <row r="1577" spans="1:2" x14ac:dyDescent="0.25">
      <c r="A1577" s="15"/>
      <c r="B1577" s="14"/>
    </row>
    <row r="1578" spans="1:2" x14ac:dyDescent="0.25">
      <c r="A1578" s="15"/>
      <c r="B1578" s="14"/>
    </row>
    <row r="1579" spans="1:2" x14ac:dyDescent="0.25">
      <c r="A1579" s="15"/>
      <c r="B1579" s="14"/>
    </row>
    <row r="1580" spans="1:2" x14ac:dyDescent="0.25">
      <c r="A1580" s="15"/>
      <c r="B1580" s="14"/>
    </row>
    <row r="1581" spans="1:2" x14ac:dyDescent="0.25">
      <c r="A1581" s="15"/>
      <c r="B1581" s="14"/>
    </row>
    <row r="1582" spans="1:2" x14ac:dyDescent="0.25">
      <c r="A1582" s="15"/>
      <c r="B1582" s="14"/>
    </row>
    <row r="1583" spans="1:2" x14ac:dyDescent="0.25">
      <c r="A1583" s="15"/>
      <c r="B1583" s="14"/>
    </row>
    <row r="1584" spans="1:2" x14ac:dyDescent="0.25">
      <c r="A1584" s="15"/>
      <c r="B1584" s="14"/>
    </row>
    <row r="1585" spans="1:2" x14ac:dyDescent="0.25">
      <c r="A1585" s="15"/>
      <c r="B1585" s="14"/>
    </row>
    <row r="1586" spans="1:2" x14ac:dyDescent="0.25">
      <c r="A1586" s="15"/>
      <c r="B1586" s="14"/>
    </row>
    <row r="1587" spans="1:2" x14ac:dyDescent="0.25">
      <c r="A1587" s="15"/>
      <c r="B1587" s="14"/>
    </row>
    <row r="1588" spans="1:2" x14ac:dyDescent="0.25">
      <c r="A1588" s="15"/>
      <c r="B1588" s="14"/>
    </row>
    <row r="1589" spans="1:2" x14ac:dyDescent="0.25">
      <c r="A1589" s="15"/>
      <c r="B1589" s="14"/>
    </row>
    <row r="1590" spans="1:2" x14ac:dyDescent="0.25">
      <c r="A1590" s="15"/>
      <c r="B1590" s="14"/>
    </row>
    <row r="1591" spans="1:2" x14ac:dyDescent="0.25">
      <c r="A1591" s="15"/>
      <c r="B1591" s="14"/>
    </row>
    <row r="1592" spans="1:2" x14ac:dyDescent="0.25">
      <c r="A1592" s="15"/>
      <c r="B1592" s="14"/>
    </row>
    <row r="1593" spans="1:2" x14ac:dyDescent="0.25">
      <c r="A1593" s="15"/>
      <c r="B1593" s="14"/>
    </row>
    <row r="1594" spans="1:2" x14ac:dyDescent="0.25">
      <c r="A1594" s="15"/>
      <c r="B1594" s="14"/>
    </row>
    <row r="1595" spans="1:2" x14ac:dyDescent="0.25">
      <c r="A1595" s="15"/>
      <c r="B1595" s="14"/>
    </row>
    <row r="1596" spans="1:2" x14ac:dyDescent="0.25">
      <c r="A1596" s="15"/>
      <c r="B1596" s="14"/>
    </row>
    <row r="1597" spans="1:2" x14ac:dyDescent="0.25">
      <c r="A1597" s="15"/>
      <c r="B1597" s="14"/>
    </row>
    <row r="1598" spans="1:2" x14ac:dyDescent="0.25">
      <c r="A1598" s="15"/>
      <c r="B1598" s="14"/>
    </row>
    <row r="1599" spans="1:2" x14ac:dyDescent="0.25">
      <c r="A1599" s="15"/>
      <c r="B1599" s="14"/>
    </row>
    <row r="1600" spans="1:2" x14ac:dyDescent="0.25">
      <c r="A1600" s="15"/>
      <c r="B1600" s="14"/>
    </row>
    <row r="1601" spans="1:2" x14ac:dyDescent="0.25">
      <c r="A1601" s="15"/>
      <c r="B1601" s="14"/>
    </row>
    <row r="1602" spans="1:2" x14ac:dyDescent="0.25">
      <c r="A1602" s="15"/>
      <c r="B1602" s="14"/>
    </row>
    <row r="1603" spans="1:2" x14ac:dyDescent="0.25">
      <c r="A1603" s="15"/>
      <c r="B1603" s="14"/>
    </row>
    <row r="1604" spans="1:2" x14ac:dyDescent="0.25">
      <c r="A1604" s="15"/>
      <c r="B1604" s="14"/>
    </row>
    <row r="1605" spans="1:2" x14ac:dyDescent="0.25">
      <c r="A1605" s="15">
        <v>45395.87096064815</v>
      </c>
      <c r="B1605" s="14">
        <v>0</v>
      </c>
    </row>
    <row r="1606" spans="1:2" x14ac:dyDescent="0.25">
      <c r="A1606" s="15"/>
      <c r="B1606" s="14"/>
    </row>
    <row r="1607" spans="1:2" x14ac:dyDescent="0.25">
      <c r="A1607" s="15"/>
      <c r="B1607" s="14"/>
    </row>
    <row r="1608" spans="1:2" x14ac:dyDescent="0.25">
      <c r="A1608" s="15"/>
      <c r="B1608" s="14"/>
    </row>
    <row r="1609" spans="1:2" x14ac:dyDescent="0.25">
      <c r="A1609" s="15"/>
      <c r="B1609" s="14"/>
    </row>
    <row r="1610" spans="1:2" x14ac:dyDescent="0.25">
      <c r="A1610" s="15"/>
      <c r="B1610" s="14"/>
    </row>
    <row r="1611" spans="1:2" x14ac:dyDescent="0.25">
      <c r="A1611" s="15"/>
      <c r="B1611" s="14"/>
    </row>
    <row r="1612" spans="1:2" x14ac:dyDescent="0.25">
      <c r="A1612" s="15"/>
      <c r="B1612" s="14"/>
    </row>
    <row r="1613" spans="1:2" x14ac:dyDescent="0.25">
      <c r="A1613" s="15"/>
      <c r="B1613" s="14"/>
    </row>
    <row r="1614" spans="1:2" x14ac:dyDescent="0.25">
      <c r="A1614" s="15"/>
      <c r="B1614" s="14"/>
    </row>
    <row r="1615" spans="1:2" x14ac:dyDescent="0.25">
      <c r="A1615" s="15"/>
      <c r="B1615" s="14"/>
    </row>
    <row r="1616" spans="1:2" x14ac:dyDescent="0.25">
      <c r="A1616" s="15"/>
      <c r="B1616" s="14"/>
    </row>
    <row r="1617" spans="1:2" x14ac:dyDescent="0.25">
      <c r="A1617" s="15"/>
      <c r="B1617" s="14"/>
    </row>
    <row r="1618" spans="1:2" x14ac:dyDescent="0.25">
      <c r="A1618" s="15"/>
      <c r="B1618" s="14"/>
    </row>
    <row r="1619" spans="1:2" x14ac:dyDescent="0.25">
      <c r="A1619" s="15"/>
      <c r="B1619" s="14"/>
    </row>
    <row r="1620" spans="1:2" x14ac:dyDescent="0.25">
      <c r="A1620" s="15"/>
      <c r="B1620" s="14"/>
    </row>
    <row r="1621" spans="1:2" x14ac:dyDescent="0.25">
      <c r="A1621" s="15"/>
      <c r="B1621" s="14"/>
    </row>
    <row r="1622" spans="1:2" x14ac:dyDescent="0.25">
      <c r="A1622" s="15"/>
      <c r="B1622" s="14"/>
    </row>
    <row r="1623" spans="1:2" x14ac:dyDescent="0.25">
      <c r="A1623" s="15"/>
      <c r="B1623" s="14"/>
    </row>
    <row r="1624" spans="1:2" x14ac:dyDescent="0.25">
      <c r="A1624" s="15"/>
      <c r="B1624" s="14"/>
    </row>
    <row r="1625" spans="1:2" x14ac:dyDescent="0.25">
      <c r="A1625" s="15"/>
      <c r="B1625" s="14"/>
    </row>
    <row r="1626" spans="1:2" x14ac:dyDescent="0.25">
      <c r="A1626" s="15"/>
      <c r="B1626" s="14"/>
    </row>
    <row r="1627" spans="1:2" x14ac:dyDescent="0.25">
      <c r="A1627" s="15"/>
      <c r="B1627" s="14"/>
    </row>
    <row r="1628" spans="1:2" x14ac:dyDescent="0.25">
      <c r="A1628" s="15"/>
      <c r="B1628" s="14"/>
    </row>
    <row r="1629" spans="1:2" x14ac:dyDescent="0.25">
      <c r="A1629" s="15"/>
      <c r="B1629" s="14"/>
    </row>
    <row r="1630" spans="1:2" x14ac:dyDescent="0.25">
      <c r="A1630" s="15"/>
      <c r="B1630" s="14"/>
    </row>
    <row r="1631" spans="1:2" x14ac:dyDescent="0.25">
      <c r="A1631" s="15"/>
      <c r="B1631" s="14"/>
    </row>
    <row r="1632" spans="1:2" x14ac:dyDescent="0.25">
      <c r="A1632" s="15"/>
      <c r="B1632" s="14"/>
    </row>
    <row r="1633" spans="1:2" x14ac:dyDescent="0.25">
      <c r="A1633" s="15"/>
      <c r="B1633" s="14"/>
    </row>
    <row r="1634" spans="1:2" x14ac:dyDescent="0.25">
      <c r="A1634" s="15"/>
      <c r="B1634" s="14"/>
    </row>
    <row r="1635" spans="1:2" x14ac:dyDescent="0.25">
      <c r="A1635" s="15"/>
      <c r="B1635" s="14"/>
    </row>
    <row r="1636" spans="1:2" x14ac:dyDescent="0.25">
      <c r="A1636" s="15"/>
      <c r="B1636" s="14"/>
    </row>
    <row r="1637" spans="1:2" x14ac:dyDescent="0.25">
      <c r="A1637" s="15"/>
      <c r="B1637" s="14"/>
    </row>
    <row r="1638" spans="1:2" x14ac:dyDescent="0.25">
      <c r="A1638" s="15"/>
      <c r="B1638" s="14"/>
    </row>
    <row r="1639" spans="1:2" x14ac:dyDescent="0.25">
      <c r="A1639" s="15"/>
      <c r="B1639" s="14"/>
    </row>
    <row r="1640" spans="1:2" x14ac:dyDescent="0.25">
      <c r="A1640" s="15"/>
      <c r="B1640" s="14"/>
    </row>
    <row r="1641" spans="1:2" x14ac:dyDescent="0.25">
      <c r="A1641" s="15"/>
      <c r="B1641" s="14"/>
    </row>
    <row r="1642" spans="1:2" x14ac:dyDescent="0.25">
      <c r="A1642" s="15"/>
      <c r="B1642" s="14"/>
    </row>
    <row r="1643" spans="1:2" x14ac:dyDescent="0.25">
      <c r="A1643" s="15"/>
      <c r="B1643" s="14"/>
    </row>
    <row r="1644" spans="1:2" x14ac:dyDescent="0.25">
      <c r="A1644" s="15"/>
      <c r="B1644" s="14"/>
    </row>
    <row r="1645" spans="1:2" x14ac:dyDescent="0.25">
      <c r="A1645" s="15"/>
      <c r="B1645" s="14"/>
    </row>
    <row r="1646" spans="1:2" x14ac:dyDescent="0.25">
      <c r="A1646" s="15"/>
      <c r="B1646" s="14"/>
    </row>
    <row r="1647" spans="1:2" x14ac:dyDescent="0.25">
      <c r="A1647" s="15"/>
      <c r="B1647" s="14"/>
    </row>
    <row r="1648" spans="1:2" x14ac:dyDescent="0.25">
      <c r="A1648" s="15"/>
      <c r="B1648" s="14"/>
    </row>
    <row r="1649" spans="1:2" x14ac:dyDescent="0.25">
      <c r="A1649" s="15"/>
      <c r="B1649" s="14"/>
    </row>
    <row r="1650" spans="1:2" x14ac:dyDescent="0.25">
      <c r="A1650" s="15"/>
      <c r="B1650" s="14"/>
    </row>
    <row r="1651" spans="1:2" x14ac:dyDescent="0.25">
      <c r="A1651" s="15"/>
      <c r="B1651" s="14"/>
    </row>
    <row r="1652" spans="1:2" x14ac:dyDescent="0.25">
      <c r="A1652" s="15"/>
      <c r="B1652" s="14"/>
    </row>
    <row r="1653" spans="1:2" x14ac:dyDescent="0.25">
      <c r="A1653" s="15"/>
      <c r="B1653" s="14"/>
    </row>
    <row r="1654" spans="1:2" x14ac:dyDescent="0.25">
      <c r="A1654" s="15"/>
      <c r="B1654" s="14"/>
    </row>
    <row r="1655" spans="1:2" x14ac:dyDescent="0.25">
      <c r="A1655" s="15"/>
      <c r="B1655" s="14"/>
    </row>
    <row r="1656" spans="1:2" x14ac:dyDescent="0.25">
      <c r="A1656" s="15"/>
      <c r="B1656" s="14"/>
    </row>
    <row r="1657" spans="1:2" x14ac:dyDescent="0.25">
      <c r="A1657" s="15"/>
      <c r="B1657" s="14"/>
    </row>
    <row r="1658" spans="1:2" x14ac:dyDescent="0.25">
      <c r="A1658" s="15"/>
      <c r="B1658" s="14"/>
    </row>
    <row r="1659" spans="1:2" x14ac:dyDescent="0.25">
      <c r="A1659" s="15"/>
      <c r="B1659" s="14"/>
    </row>
    <row r="1660" spans="1:2" x14ac:dyDescent="0.25">
      <c r="A1660" s="15"/>
      <c r="B1660" s="14"/>
    </row>
    <row r="1661" spans="1:2" x14ac:dyDescent="0.25">
      <c r="A1661" s="15"/>
      <c r="B1661" s="14"/>
    </row>
    <row r="1662" spans="1:2" x14ac:dyDescent="0.25">
      <c r="A1662" s="15"/>
      <c r="B1662" s="14"/>
    </row>
    <row r="1663" spans="1:2" x14ac:dyDescent="0.25">
      <c r="A1663" s="15"/>
      <c r="B1663" s="14"/>
    </row>
    <row r="1664" spans="1:2" x14ac:dyDescent="0.25">
      <c r="A1664" s="15"/>
      <c r="B1664" s="14"/>
    </row>
    <row r="1665" spans="1:2" x14ac:dyDescent="0.25">
      <c r="A1665" s="15"/>
      <c r="B1665" s="14"/>
    </row>
    <row r="1666" spans="1:2" x14ac:dyDescent="0.25">
      <c r="A1666" s="15"/>
      <c r="B1666" s="14"/>
    </row>
    <row r="1667" spans="1:2" x14ac:dyDescent="0.25">
      <c r="A1667" s="15"/>
      <c r="B1667" s="14"/>
    </row>
    <row r="1668" spans="1:2" x14ac:dyDescent="0.25">
      <c r="A1668" s="15"/>
      <c r="B1668" s="14"/>
    </row>
    <row r="1669" spans="1:2" x14ac:dyDescent="0.25">
      <c r="A1669" s="15"/>
      <c r="B1669" s="14"/>
    </row>
    <row r="1670" spans="1:2" x14ac:dyDescent="0.25">
      <c r="A1670" s="15"/>
      <c r="B1670" s="14"/>
    </row>
    <row r="1671" spans="1:2" x14ac:dyDescent="0.25">
      <c r="A1671" s="15"/>
      <c r="B1671" s="14"/>
    </row>
    <row r="1672" spans="1:2" x14ac:dyDescent="0.25">
      <c r="A1672" s="15"/>
      <c r="B1672" s="14"/>
    </row>
    <row r="1673" spans="1:2" x14ac:dyDescent="0.25">
      <c r="A1673" s="15"/>
      <c r="B1673" s="14"/>
    </row>
    <row r="1674" spans="1:2" x14ac:dyDescent="0.25">
      <c r="A1674" s="15"/>
      <c r="B1674" s="14"/>
    </row>
    <row r="1675" spans="1:2" x14ac:dyDescent="0.25">
      <c r="A1675" s="15"/>
      <c r="B1675" s="14"/>
    </row>
    <row r="1676" spans="1:2" x14ac:dyDescent="0.25">
      <c r="A1676" s="15"/>
      <c r="B1676" s="14"/>
    </row>
    <row r="1677" spans="1:2" x14ac:dyDescent="0.25">
      <c r="A1677" s="15"/>
      <c r="B1677" s="14"/>
    </row>
    <row r="1678" spans="1:2" x14ac:dyDescent="0.25">
      <c r="A1678" s="15"/>
      <c r="B1678" s="14"/>
    </row>
    <row r="1679" spans="1:2" x14ac:dyDescent="0.25">
      <c r="A1679" s="15"/>
      <c r="B1679" s="14"/>
    </row>
    <row r="1680" spans="1:2" x14ac:dyDescent="0.25">
      <c r="A1680" s="15"/>
      <c r="B1680" s="14"/>
    </row>
    <row r="1681" spans="1:2" x14ac:dyDescent="0.25">
      <c r="A1681" s="15"/>
      <c r="B1681" s="14"/>
    </row>
    <row r="1682" spans="1:2" x14ac:dyDescent="0.25">
      <c r="A1682" s="15"/>
      <c r="B1682" s="14"/>
    </row>
    <row r="1683" spans="1:2" x14ac:dyDescent="0.25">
      <c r="A1683" s="15"/>
      <c r="B1683" s="14"/>
    </row>
    <row r="1684" spans="1:2" x14ac:dyDescent="0.25">
      <c r="A1684" s="15"/>
      <c r="B1684" s="14"/>
    </row>
    <row r="1685" spans="1:2" x14ac:dyDescent="0.25">
      <c r="A1685" s="15"/>
      <c r="B1685" s="14"/>
    </row>
    <row r="1686" spans="1:2" x14ac:dyDescent="0.25">
      <c r="A1686" s="15"/>
      <c r="B1686" s="14"/>
    </row>
    <row r="1687" spans="1:2" x14ac:dyDescent="0.25">
      <c r="A1687" s="15"/>
      <c r="B1687" s="14"/>
    </row>
    <row r="1688" spans="1:2" x14ac:dyDescent="0.25">
      <c r="A1688" s="15"/>
      <c r="B1688" s="14"/>
    </row>
    <row r="1689" spans="1:2" x14ac:dyDescent="0.25">
      <c r="A1689" s="15"/>
      <c r="B1689" s="14"/>
    </row>
    <row r="1690" spans="1:2" x14ac:dyDescent="0.25">
      <c r="A1690" s="15"/>
      <c r="B1690" s="14"/>
    </row>
    <row r="1691" spans="1:2" x14ac:dyDescent="0.25">
      <c r="A1691" s="15"/>
      <c r="B1691" s="14"/>
    </row>
    <row r="1692" spans="1:2" x14ac:dyDescent="0.25">
      <c r="A1692" s="15"/>
      <c r="B1692" s="14"/>
    </row>
    <row r="1693" spans="1:2" x14ac:dyDescent="0.25">
      <c r="A1693" s="15"/>
      <c r="B1693" s="14"/>
    </row>
    <row r="1694" spans="1:2" x14ac:dyDescent="0.25">
      <c r="A1694" s="15"/>
      <c r="B1694" s="14"/>
    </row>
    <row r="1695" spans="1:2" x14ac:dyDescent="0.25">
      <c r="A1695" s="15"/>
      <c r="B1695" s="14"/>
    </row>
    <row r="1696" spans="1:2" x14ac:dyDescent="0.25">
      <c r="A1696" s="15"/>
      <c r="B1696" s="14"/>
    </row>
    <row r="1697" spans="1:2" x14ac:dyDescent="0.25">
      <c r="A1697" s="15"/>
      <c r="B1697" s="14"/>
    </row>
    <row r="1698" spans="1:2" x14ac:dyDescent="0.25">
      <c r="A1698" s="15"/>
      <c r="B1698" s="14"/>
    </row>
    <row r="1699" spans="1:2" x14ac:dyDescent="0.25">
      <c r="A1699" s="15"/>
      <c r="B1699" s="14"/>
    </row>
    <row r="1700" spans="1:2" x14ac:dyDescent="0.25">
      <c r="A1700" s="15"/>
      <c r="B1700" s="14"/>
    </row>
    <row r="1701" spans="1:2" x14ac:dyDescent="0.25">
      <c r="A1701" s="15"/>
      <c r="B1701" s="14"/>
    </row>
    <row r="1702" spans="1:2" x14ac:dyDescent="0.25">
      <c r="A1702" s="15"/>
      <c r="B1702" s="14"/>
    </row>
    <row r="1703" spans="1:2" x14ac:dyDescent="0.25">
      <c r="A1703" s="15"/>
      <c r="B1703" s="14"/>
    </row>
    <row r="1704" spans="1:2" x14ac:dyDescent="0.25">
      <c r="A1704" s="15"/>
      <c r="B1704" s="14"/>
    </row>
    <row r="1705" spans="1:2" x14ac:dyDescent="0.25">
      <c r="A1705" s="15"/>
      <c r="B1705" s="14"/>
    </row>
    <row r="1706" spans="1:2" x14ac:dyDescent="0.25">
      <c r="A1706" s="15"/>
      <c r="B1706" s="14"/>
    </row>
    <row r="1707" spans="1:2" x14ac:dyDescent="0.25">
      <c r="A1707" s="15"/>
      <c r="B1707" s="14"/>
    </row>
    <row r="1708" spans="1:2" x14ac:dyDescent="0.25">
      <c r="A1708" s="15"/>
      <c r="B1708" s="14"/>
    </row>
    <row r="1709" spans="1:2" x14ac:dyDescent="0.25">
      <c r="A1709" s="15"/>
      <c r="B1709" s="14"/>
    </row>
    <row r="1710" spans="1:2" x14ac:dyDescent="0.25">
      <c r="A1710" s="15"/>
      <c r="B1710" s="14"/>
    </row>
    <row r="1711" spans="1:2" x14ac:dyDescent="0.25">
      <c r="A1711" s="15"/>
      <c r="B1711" s="14"/>
    </row>
    <row r="1712" spans="1:2" x14ac:dyDescent="0.25">
      <c r="A1712" s="15"/>
      <c r="B1712" s="14"/>
    </row>
    <row r="1713" spans="1:2" x14ac:dyDescent="0.25">
      <c r="A1713" s="15"/>
      <c r="B1713" s="14"/>
    </row>
    <row r="1714" spans="1:2" x14ac:dyDescent="0.25">
      <c r="A1714" s="15"/>
      <c r="B1714" s="14"/>
    </row>
    <row r="1715" spans="1:2" x14ac:dyDescent="0.25">
      <c r="A1715" s="15"/>
      <c r="B1715" s="14"/>
    </row>
    <row r="1716" spans="1:2" x14ac:dyDescent="0.25">
      <c r="A1716" s="15"/>
      <c r="B1716" s="14"/>
    </row>
    <row r="1717" spans="1:2" x14ac:dyDescent="0.25">
      <c r="A1717" s="15"/>
      <c r="B1717" s="14"/>
    </row>
    <row r="1718" spans="1:2" x14ac:dyDescent="0.25">
      <c r="A1718" s="15"/>
      <c r="B1718" s="14"/>
    </row>
    <row r="1719" spans="1:2" x14ac:dyDescent="0.25">
      <c r="A1719" s="15"/>
      <c r="B1719" s="14"/>
    </row>
    <row r="1720" spans="1:2" x14ac:dyDescent="0.25">
      <c r="A1720" s="15"/>
      <c r="B1720" s="14"/>
    </row>
    <row r="1721" spans="1:2" x14ac:dyDescent="0.25">
      <c r="A1721" s="15"/>
      <c r="B1721" s="14"/>
    </row>
    <row r="1722" spans="1:2" x14ac:dyDescent="0.25">
      <c r="A1722" s="15"/>
      <c r="B1722" s="14"/>
    </row>
    <row r="1723" spans="1:2" x14ac:dyDescent="0.25">
      <c r="A1723" s="15"/>
      <c r="B1723" s="14"/>
    </row>
    <row r="1724" spans="1:2" x14ac:dyDescent="0.25">
      <c r="A1724" s="15"/>
      <c r="B1724" s="14"/>
    </row>
    <row r="1725" spans="1:2" x14ac:dyDescent="0.25">
      <c r="A1725" s="15"/>
      <c r="B1725" s="14"/>
    </row>
    <row r="1726" spans="1:2" x14ac:dyDescent="0.25">
      <c r="A1726" s="15"/>
      <c r="B1726" s="14"/>
    </row>
    <row r="1727" spans="1:2" x14ac:dyDescent="0.25">
      <c r="A1727" s="15"/>
      <c r="B1727" s="14"/>
    </row>
    <row r="1728" spans="1:2" x14ac:dyDescent="0.25">
      <c r="A1728" s="15"/>
      <c r="B1728" s="14"/>
    </row>
    <row r="1729" spans="1:2" x14ac:dyDescent="0.25">
      <c r="A1729" s="15"/>
      <c r="B1729" s="14"/>
    </row>
    <row r="1730" spans="1:2" x14ac:dyDescent="0.25">
      <c r="A1730" s="15"/>
      <c r="B1730" s="14"/>
    </row>
    <row r="1731" spans="1:2" x14ac:dyDescent="0.25">
      <c r="A1731" s="15"/>
      <c r="B1731" s="14"/>
    </row>
    <row r="1732" spans="1:2" x14ac:dyDescent="0.25">
      <c r="A1732" s="15"/>
      <c r="B1732" s="14"/>
    </row>
    <row r="1733" spans="1:2" x14ac:dyDescent="0.25">
      <c r="A1733" s="15"/>
      <c r="B1733" s="14"/>
    </row>
    <row r="1734" spans="1:2" x14ac:dyDescent="0.25">
      <c r="A1734" s="15"/>
      <c r="B1734" s="14"/>
    </row>
    <row r="1735" spans="1:2" x14ac:dyDescent="0.25">
      <c r="A1735" s="15"/>
      <c r="B1735" s="14"/>
    </row>
    <row r="1736" spans="1:2" x14ac:dyDescent="0.25">
      <c r="A1736" s="15"/>
      <c r="B1736" s="14"/>
    </row>
    <row r="1737" spans="1:2" x14ac:dyDescent="0.25">
      <c r="A1737" s="15"/>
      <c r="B1737" s="14"/>
    </row>
    <row r="1738" spans="1:2" x14ac:dyDescent="0.25">
      <c r="A1738" s="15"/>
      <c r="B1738" s="14"/>
    </row>
    <row r="1739" spans="1:2" x14ac:dyDescent="0.25">
      <c r="A1739" s="15"/>
      <c r="B1739" s="14"/>
    </row>
    <row r="1740" spans="1:2" x14ac:dyDescent="0.25">
      <c r="A1740" s="15"/>
      <c r="B1740" s="14"/>
    </row>
    <row r="1741" spans="1:2" x14ac:dyDescent="0.25">
      <c r="A1741" s="15"/>
      <c r="B1741" s="14"/>
    </row>
    <row r="1742" spans="1:2" x14ac:dyDescent="0.25">
      <c r="A1742" s="15"/>
      <c r="B1742" s="14"/>
    </row>
    <row r="1743" spans="1:2" x14ac:dyDescent="0.25">
      <c r="A1743" s="15"/>
      <c r="B1743" s="14"/>
    </row>
    <row r="1744" spans="1:2" x14ac:dyDescent="0.25">
      <c r="A1744" s="15"/>
      <c r="B1744" s="14"/>
    </row>
    <row r="1745" spans="1:2" x14ac:dyDescent="0.25">
      <c r="A1745" s="15"/>
      <c r="B1745" s="14"/>
    </row>
    <row r="1746" spans="1:2" x14ac:dyDescent="0.25">
      <c r="A1746" s="15"/>
      <c r="B1746" s="14"/>
    </row>
    <row r="1747" spans="1:2" x14ac:dyDescent="0.25">
      <c r="A1747" s="15"/>
      <c r="B1747" s="14"/>
    </row>
    <row r="1748" spans="1:2" x14ac:dyDescent="0.25">
      <c r="A1748" s="15"/>
      <c r="B1748" s="14"/>
    </row>
    <row r="1749" spans="1:2" x14ac:dyDescent="0.25">
      <c r="A1749" s="15"/>
      <c r="B1749" s="14"/>
    </row>
    <row r="1750" spans="1:2" x14ac:dyDescent="0.25">
      <c r="A1750" s="15"/>
      <c r="B1750" s="14"/>
    </row>
    <row r="1751" spans="1:2" hidden="1" x14ac:dyDescent="0.25">
      <c r="A1751" s="15"/>
      <c r="B1751" s="14"/>
    </row>
    <row r="1752" spans="1:2" hidden="1" x14ac:dyDescent="0.25">
      <c r="A1752" s="15"/>
      <c r="B1752" s="14"/>
    </row>
    <row r="1753" spans="1:2" hidden="1" x14ac:dyDescent="0.25">
      <c r="A1753" s="15"/>
      <c r="B1753" s="14"/>
    </row>
    <row r="1754" spans="1:2" hidden="1" x14ac:dyDescent="0.25">
      <c r="A1754" s="15"/>
      <c r="B1754" s="14"/>
    </row>
    <row r="1755" spans="1:2" hidden="1" x14ac:dyDescent="0.25">
      <c r="A1755" s="15"/>
      <c r="B1755" s="14"/>
    </row>
    <row r="1756" spans="1:2" hidden="1" x14ac:dyDescent="0.25">
      <c r="A1756" s="15"/>
      <c r="B1756" s="14"/>
    </row>
    <row r="1757" spans="1:2" hidden="1" x14ac:dyDescent="0.25">
      <c r="A1757" s="15"/>
      <c r="B1757" s="14"/>
    </row>
    <row r="1758" spans="1:2" hidden="1" x14ac:dyDescent="0.25">
      <c r="A1758" s="15"/>
      <c r="B1758" s="14"/>
    </row>
    <row r="1759" spans="1:2" hidden="1" x14ac:dyDescent="0.25">
      <c r="A1759" s="15"/>
      <c r="B1759" s="14"/>
    </row>
    <row r="1760" spans="1:2" hidden="1" x14ac:dyDescent="0.25">
      <c r="A1760" s="15"/>
      <c r="B1760" s="14"/>
    </row>
    <row r="1761" spans="1:2" hidden="1" x14ac:dyDescent="0.25">
      <c r="A1761" s="15"/>
      <c r="B1761" s="14"/>
    </row>
    <row r="1762" spans="1:2" hidden="1" x14ac:dyDescent="0.25">
      <c r="A1762" s="15"/>
      <c r="B1762" s="14"/>
    </row>
    <row r="1763" spans="1:2" hidden="1" x14ac:dyDescent="0.25">
      <c r="A1763" s="15"/>
      <c r="B1763" s="14"/>
    </row>
    <row r="1764" spans="1:2" hidden="1" x14ac:dyDescent="0.25">
      <c r="A1764" s="15"/>
      <c r="B1764" s="14"/>
    </row>
    <row r="1765" spans="1:2" hidden="1" x14ac:dyDescent="0.25">
      <c r="A1765" s="15"/>
      <c r="B1765" s="14"/>
    </row>
    <row r="1766" spans="1:2" hidden="1" x14ac:dyDescent="0.25">
      <c r="A1766" s="15"/>
      <c r="B1766" s="14"/>
    </row>
    <row r="1767" spans="1:2" hidden="1" x14ac:dyDescent="0.25">
      <c r="A1767" s="15"/>
      <c r="B1767" s="14"/>
    </row>
    <row r="1768" spans="1:2" hidden="1" x14ac:dyDescent="0.25">
      <c r="A1768" s="15"/>
      <c r="B1768" s="14"/>
    </row>
    <row r="1769" spans="1:2" hidden="1" x14ac:dyDescent="0.25">
      <c r="A1769" s="15"/>
      <c r="B1769" s="14"/>
    </row>
    <row r="1770" spans="1:2" hidden="1" x14ac:dyDescent="0.25">
      <c r="A1770" s="15"/>
      <c r="B1770" s="14"/>
    </row>
    <row r="1771" spans="1:2" hidden="1" x14ac:dyDescent="0.25">
      <c r="A1771" s="15"/>
      <c r="B1771" s="14"/>
    </row>
    <row r="1772" spans="1:2" hidden="1" x14ac:dyDescent="0.25">
      <c r="A1772" s="15"/>
      <c r="B1772" s="14"/>
    </row>
    <row r="1773" spans="1:2" hidden="1" x14ac:dyDescent="0.25">
      <c r="A1773" s="15"/>
      <c r="B1773" s="14"/>
    </row>
    <row r="1774" spans="1:2" hidden="1" x14ac:dyDescent="0.25">
      <c r="A1774" s="15"/>
      <c r="B1774" s="14"/>
    </row>
    <row r="1775" spans="1:2" hidden="1" x14ac:dyDescent="0.25">
      <c r="A1775" s="15"/>
      <c r="B1775" s="14"/>
    </row>
    <row r="1776" spans="1:2" hidden="1" x14ac:dyDescent="0.25">
      <c r="A1776" s="15"/>
      <c r="B1776" s="14"/>
    </row>
    <row r="1777" spans="1:2" hidden="1" x14ac:dyDescent="0.25">
      <c r="A1777" s="15"/>
      <c r="B1777" s="14"/>
    </row>
    <row r="1778" spans="1:2" hidden="1" x14ac:dyDescent="0.25">
      <c r="A1778" s="15"/>
      <c r="B1778" s="14"/>
    </row>
    <row r="1779" spans="1:2" hidden="1" x14ac:dyDescent="0.25">
      <c r="A1779" s="15"/>
      <c r="B1779" s="14"/>
    </row>
    <row r="1780" spans="1:2" hidden="1" x14ac:dyDescent="0.25">
      <c r="A1780" s="15"/>
      <c r="B1780" s="14"/>
    </row>
    <row r="1781" spans="1:2" hidden="1" x14ac:dyDescent="0.25">
      <c r="A1781" s="15"/>
      <c r="B1781" s="14"/>
    </row>
    <row r="1782" spans="1:2" hidden="1" x14ac:dyDescent="0.25">
      <c r="A1782" s="15"/>
      <c r="B1782" s="14"/>
    </row>
    <row r="1783" spans="1:2" hidden="1" x14ac:dyDescent="0.25">
      <c r="A1783" s="15"/>
      <c r="B1783" s="14"/>
    </row>
    <row r="1784" spans="1:2" hidden="1" x14ac:dyDescent="0.25">
      <c r="A1784" s="15"/>
      <c r="B1784" s="14"/>
    </row>
    <row r="1785" spans="1:2" hidden="1" x14ac:dyDescent="0.25">
      <c r="A1785" s="15"/>
      <c r="B1785" s="14"/>
    </row>
    <row r="1786" spans="1:2" hidden="1" x14ac:dyDescent="0.25">
      <c r="A1786" s="15"/>
      <c r="B1786" s="14"/>
    </row>
    <row r="1787" spans="1:2" hidden="1" x14ac:dyDescent="0.25">
      <c r="A1787" s="15"/>
      <c r="B1787" s="14"/>
    </row>
    <row r="1788" spans="1:2" hidden="1" x14ac:dyDescent="0.25">
      <c r="A1788" s="15"/>
      <c r="B1788" s="14"/>
    </row>
    <row r="1789" spans="1:2" hidden="1" x14ac:dyDescent="0.25">
      <c r="A1789" s="15"/>
      <c r="B1789" s="14"/>
    </row>
    <row r="1790" spans="1:2" hidden="1" x14ac:dyDescent="0.25">
      <c r="A1790" s="15"/>
      <c r="B1790" s="14"/>
    </row>
    <row r="1791" spans="1:2" hidden="1" x14ac:dyDescent="0.25">
      <c r="A1791" s="15"/>
      <c r="B1791" s="14"/>
    </row>
    <row r="1792" spans="1:2" hidden="1" x14ac:dyDescent="0.25">
      <c r="A1792" s="15"/>
      <c r="B1792" s="14"/>
    </row>
    <row r="1793" spans="1:2" hidden="1" x14ac:dyDescent="0.25">
      <c r="A1793" s="15"/>
      <c r="B1793" s="14"/>
    </row>
    <row r="1794" spans="1:2" hidden="1" x14ac:dyDescent="0.25">
      <c r="A1794" s="15"/>
      <c r="B1794" s="14"/>
    </row>
    <row r="1795" spans="1:2" hidden="1" x14ac:dyDescent="0.25">
      <c r="A1795" s="15"/>
      <c r="B1795" s="14"/>
    </row>
    <row r="1796" spans="1:2" hidden="1" x14ac:dyDescent="0.25">
      <c r="A1796" s="15"/>
      <c r="B1796" s="14"/>
    </row>
    <row r="1797" spans="1:2" hidden="1" x14ac:dyDescent="0.25">
      <c r="A1797" s="15"/>
      <c r="B1797" s="14"/>
    </row>
    <row r="1798" spans="1:2" hidden="1" x14ac:dyDescent="0.25">
      <c r="A1798" s="15"/>
      <c r="B1798" s="14"/>
    </row>
    <row r="1799" spans="1:2" hidden="1" x14ac:dyDescent="0.25">
      <c r="A1799" s="15"/>
      <c r="B1799" s="14"/>
    </row>
    <row r="1800" spans="1:2" hidden="1" x14ac:dyDescent="0.25">
      <c r="A1800" s="15"/>
      <c r="B1800" s="14"/>
    </row>
    <row r="1801" spans="1:2" hidden="1" x14ac:dyDescent="0.25">
      <c r="A1801" s="15"/>
      <c r="B1801" s="14"/>
    </row>
    <row r="1802" spans="1:2" hidden="1" x14ac:dyDescent="0.25">
      <c r="A1802" s="15"/>
      <c r="B1802" s="14"/>
    </row>
    <row r="1803" spans="1:2" hidden="1" x14ac:dyDescent="0.25">
      <c r="A1803" s="15"/>
      <c r="B1803" s="14"/>
    </row>
    <row r="1804" spans="1:2" hidden="1" x14ac:dyDescent="0.25">
      <c r="A1804" s="15"/>
      <c r="B1804" s="14"/>
    </row>
    <row r="1805" spans="1:2" hidden="1" x14ac:dyDescent="0.25">
      <c r="A1805" s="15"/>
      <c r="B1805" s="14"/>
    </row>
    <row r="1806" spans="1:2" hidden="1" x14ac:dyDescent="0.25">
      <c r="A1806" s="15"/>
      <c r="B1806" s="14"/>
    </row>
    <row r="1807" spans="1:2" hidden="1" x14ac:dyDescent="0.25">
      <c r="A1807" s="15"/>
      <c r="B1807" s="14"/>
    </row>
    <row r="1808" spans="1:2" hidden="1" x14ac:dyDescent="0.25">
      <c r="A1808" s="15"/>
      <c r="B1808" s="14"/>
    </row>
    <row r="1809" spans="1:2" hidden="1" x14ac:dyDescent="0.25">
      <c r="A1809" s="15"/>
      <c r="B1809" s="14"/>
    </row>
    <row r="1810" spans="1:2" hidden="1" x14ac:dyDescent="0.25">
      <c r="A1810" s="15"/>
      <c r="B1810" s="14"/>
    </row>
    <row r="1811" spans="1:2" hidden="1" x14ac:dyDescent="0.25">
      <c r="A1811" s="15"/>
      <c r="B1811" s="14"/>
    </row>
    <row r="1812" spans="1:2" hidden="1" x14ac:dyDescent="0.25">
      <c r="A1812" s="15"/>
      <c r="B1812" s="14"/>
    </row>
    <row r="1813" spans="1:2" hidden="1" x14ac:dyDescent="0.25">
      <c r="A1813" s="15"/>
      <c r="B1813" s="14"/>
    </row>
    <row r="1814" spans="1:2" hidden="1" x14ac:dyDescent="0.25">
      <c r="A1814" s="15"/>
      <c r="B1814" s="14"/>
    </row>
    <row r="1815" spans="1:2" hidden="1" x14ac:dyDescent="0.25">
      <c r="A1815" s="15"/>
      <c r="B1815" s="14"/>
    </row>
    <row r="1816" spans="1:2" hidden="1" x14ac:dyDescent="0.25">
      <c r="A1816" s="15"/>
      <c r="B1816" s="14"/>
    </row>
    <row r="1817" spans="1:2" hidden="1" x14ac:dyDescent="0.25">
      <c r="A1817" s="15"/>
      <c r="B1817" s="14"/>
    </row>
    <row r="1818" spans="1:2" hidden="1" x14ac:dyDescent="0.25">
      <c r="A1818" s="15"/>
      <c r="B1818" s="14"/>
    </row>
    <row r="1819" spans="1:2" hidden="1" x14ac:dyDescent="0.25">
      <c r="A1819" s="15"/>
      <c r="B1819" s="14"/>
    </row>
    <row r="1820" spans="1:2" hidden="1" x14ac:dyDescent="0.25">
      <c r="A1820" s="15"/>
      <c r="B1820" s="14"/>
    </row>
    <row r="1821" spans="1:2" hidden="1" x14ac:dyDescent="0.25">
      <c r="A1821" s="15"/>
      <c r="B1821" s="14"/>
    </row>
    <row r="1822" spans="1:2" hidden="1" x14ac:dyDescent="0.25">
      <c r="A1822" s="15"/>
      <c r="B1822" s="14"/>
    </row>
    <row r="1823" spans="1:2" hidden="1" x14ac:dyDescent="0.25">
      <c r="A1823" s="15"/>
      <c r="B1823" s="14"/>
    </row>
    <row r="1824" spans="1:2" hidden="1" x14ac:dyDescent="0.25">
      <c r="A1824" s="15"/>
      <c r="B1824" s="14"/>
    </row>
    <row r="1825" spans="1:2" hidden="1" x14ac:dyDescent="0.25">
      <c r="A1825" s="15"/>
      <c r="B1825" s="14"/>
    </row>
    <row r="1826" spans="1:2" hidden="1" x14ac:dyDescent="0.25">
      <c r="A1826" s="15"/>
      <c r="B1826" s="14"/>
    </row>
    <row r="1827" spans="1:2" hidden="1" x14ac:dyDescent="0.25">
      <c r="A1827" s="15"/>
      <c r="B1827" s="14"/>
    </row>
    <row r="1828" spans="1:2" hidden="1" x14ac:dyDescent="0.25">
      <c r="A1828" s="15"/>
      <c r="B1828" s="14"/>
    </row>
    <row r="1829" spans="1:2" hidden="1" x14ac:dyDescent="0.25">
      <c r="A1829" s="15"/>
      <c r="B1829" s="14"/>
    </row>
    <row r="1830" spans="1:2" hidden="1" x14ac:dyDescent="0.25">
      <c r="A1830" s="15"/>
      <c r="B1830" s="14"/>
    </row>
    <row r="1831" spans="1:2" hidden="1" x14ac:dyDescent="0.25">
      <c r="A1831" s="15"/>
      <c r="B1831" s="14"/>
    </row>
    <row r="1832" spans="1:2" hidden="1" x14ac:dyDescent="0.25">
      <c r="A1832" s="15"/>
      <c r="B1832" s="14"/>
    </row>
    <row r="1833" spans="1:2" hidden="1" x14ac:dyDescent="0.25">
      <c r="A1833" s="15"/>
      <c r="B1833" s="14"/>
    </row>
    <row r="1834" spans="1:2" hidden="1" x14ac:dyDescent="0.25">
      <c r="A1834" s="15"/>
      <c r="B1834" s="14"/>
    </row>
    <row r="1835" spans="1:2" hidden="1" x14ac:dyDescent="0.25">
      <c r="A1835" s="15"/>
      <c r="B1835" s="14"/>
    </row>
    <row r="1836" spans="1:2" hidden="1" x14ac:dyDescent="0.25">
      <c r="A1836" s="15"/>
      <c r="B1836" s="14"/>
    </row>
    <row r="1837" spans="1:2" hidden="1" x14ac:dyDescent="0.25">
      <c r="A1837" s="15"/>
      <c r="B1837" s="14"/>
    </row>
    <row r="1838" spans="1:2" hidden="1" x14ac:dyDescent="0.25">
      <c r="A1838" s="15"/>
      <c r="B1838" s="14"/>
    </row>
    <row r="1839" spans="1:2" hidden="1" x14ac:dyDescent="0.25">
      <c r="A1839" s="15"/>
      <c r="B1839" s="14"/>
    </row>
    <row r="1840" spans="1:2" hidden="1" x14ac:dyDescent="0.25">
      <c r="A1840" s="15"/>
      <c r="B1840" s="14"/>
    </row>
    <row r="1841" spans="1:2" hidden="1" x14ac:dyDescent="0.25">
      <c r="A1841" s="15"/>
      <c r="B1841" s="14"/>
    </row>
    <row r="1842" spans="1:2" hidden="1" x14ac:dyDescent="0.25">
      <c r="A1842" s="15"/>
      <c r="B1842" s="14"/>
    </row>
    <row r="1843" spans="1:2" hidden="1" x14ac:dyDescent="0.25">
      <c r="A1843" s="15"/>
      <c r="B1843" s="14"/>
    </row>
    <row r="1844" spans="1:2" hidden="1" x14ac:dyDescent="0.25">
      <c r="A1844" s="15"/>
      <c r="B1844" s="14"/>
    </row>
    <row r="1845" spans="1:2" hidden="1" x14ac:dyDescent="0.25">
      <c r="A1845" s="15"/>
      <c r="B1845" s="14"/>
    </row>
    <row r="1846" spans="1:2" hidden="1" x14ac:dyDescent="0.25">
      <c r="A1846" s="15"/>
      <c r="B1846" s="14"/>
    </row>
    <row r="1847" spans="1:2" hidden="1" x14ac:dyDescent="0.25">
      <c r="A1847" s="15"/>
      <c r="B1847" s="14"/>
    </row>
    <row r="1848" spans="1:2" hidden="1" x14ac:dyDescent="0.25">
      <c r="A1848" s="15"/>
      <c r="B1848" s="14"/>
    </row>
    <row r="1849" spans="1:2" hidden="1" x14ac:dyDescent="0.25">
      <c r="A1849" s="15"/>
      <c r="B1849" s="14"/>
    </row>
    <row r="1850" spans="1:2" hidden="1" x14ac:dyDescent="0.25">
      <c r="A1850" s="15"/>
      <c r="B1850" s="14"/>
    </row>
    <row r="1851" spans="1:2" hidden="1" x14ac:dyDescent="0.25">
      <c r="A1851" s="15"/>
      <c r="B1851" s="14"/>
    </row>
    <row r="1852" spans="1:2" hidden="1" x14ac:dyDescent="0.25">
      <c r="A1852" s="15"/>
      <c r="B1852" s="14"/>
    </row>
    <row r="1853" spans="1:2" hidden="1" x14ac:dyDescent="0.25">
      <c r="A1853" s="15"/>
      <c r="B1853" s="14"/>
    </row>
    <row r="1854" spans="1:2" hidden="1" x14ac:dyDescent="0.25">
      <c r="A1854" s="15"/>
      <c r="B1854" s="14"/>
    </row>
    <row r="1855" spans="1:2" hidden="1" x14ac:dyDescent="0.25">
      <c r="A1855" s="15"/>
      <c r="B1855" s="14"/>
    </row>
    <row r="1856" spans="1:2" hidden="1" x14ac:dyDescent="0.25">
      <c r="A1856" s="15"/>
      <c r="B1856" s="14"/>
    </row>
    <row r="1857" spans="1:2" hidden="1" x14ac:dyDescent="0.25">
      <c r="A1857" s="15"/>
      <c r="B1857" s="14"/>
    </row>
    <row r="1858" spans="1:2" hidden="1" x14ac:dyDescent="0.25">
      <c r="A1858" s="15"/>
      <c r="B1858" s="14"/>
    </row>
    <row r="1859" spans="1:2" hidden="1" x14ac:dyDescent="0.25">
      <c r="A1859" s="15"/>
      <c r="B1859" s="14"/>
    </row>
    <row r="1860" spans="1:2" hidden="1" x14ac:dyDescent="0.25">
      <c r="A1860" s="15"/>
      <c r="B1860" s="14"/>
    </row>
    <row r="1861" spans="1:2" hidden="1" x14ac:dyDescent="0.25">
      <c r="A1861" s="15"/>
      <c r="B1861" s="14"/>
    </row>
    <row r="1862" spans="1:2" hidden="1" x14ac:dyDescent="0.25">
      <c r="A1862" s="15"/>
      <c r="B1862" s="14"/>
    </row>
    <row r="1863" spans="1:2" hidden="1" x14ac:dyDescent="0.25">
      <c r="A1863" s="15"/>
      <c r="B1863" s="14"/>
    </row>
    <row r="1864" spans="1:2" hidden="1" x14ac:dyDescent="0.25">
      <c r="A1864" s="15"/>
      <c r="B1864" s="14"/>
    </row>
    <row r="1865" spans="1:2" hidden="1" x14ac:dyDescent="0.25">
      <c r="A1865" s="15"/>
      <c r="B1865" s="14"/>
    </row>
    <row r="1866" spans="1:2" hidden="1" x14ac:dyDescent="0.25">
      <c r="A1866" s="15"/>
      <c r="B1866" s="14"/>
    </row>
    <row r="1867" spans="1:2" hidden="1" x14ac:dyDescent="0.25">
      <c r="A1867" s="15"/>
      <c r="B1867" s="14"/>
    </row>
    <row r="1868" spans="1:2" hidden="1" x14ac:dyDescent="0.25">
      <c r="A1868" s="15"/>
      <c r="B1868" s="14"/>
    </row>
    <row r="1869" spans="1:2" hidden="1" x14ac:dyDescent="0.25">
      <c r="A1869" s="15"/>
      <c r="B1869" s="14"/>
    </row>
    <row r="1870" spans="1:2" hidden="1" x14ac:dyDescent="0.25">
      <c r="A1870" s="15"/>
      <c r="B1870" s="14"/>
    </row>
    <row r="1871" spans="1:2" hidden="1" x14ac:dyDescent="0.25">
      <c r="A1871" s="15"/>
      <c r="B1871" s="14"/>
    </row>
    <row r="1872" spans="1:2" hidden="1" x14ac:dyDescent="0.25">
      <c r="A1872" s="15"/>
      <c r="B1872" s="14"/>
    </row>
    <row r="1873" spans="1:2" hidden="1" x14ac:dyDescent="0.25">
      <c r="A1873" s="15"/>
      <c r="B1873" s="14"/>
    </row>
    <row r="1874" spans="1:2" hidden="1" x14ac:dyDescent="0.25">
      <c r="A1874" s="15"/>
      <c r="B1874" s="14"/>
    </row>
    <row r="1875" spans="1:2" hidden="1" x14ac:dyDescent="0.25">
      <c r="A1875" s="15"/>
      <c r="B1875" s="14"/>
    </row>
    <row r="1876" spans="1:2" hidden="1" x14ac:dyDescent="0.25">
      <c r="A1876" s="15"/>
      <c r="B1876" s="14"/>
    </row>
    <row r="1877" spans="1:2" hidden="1" x14ac:dyDescent="0.25">
      <c r="A1877" s="15"/>
      <c r="B1877" s="14"/>
    </row>
    <row r="1878" spans="1:2" hidden="1" x14ac:dyDescent="0.25">
      <c r="A1878" s="15"/>
      <c r="B1878" s="14"/>
    </row>
    <row r="1879" spans="1:2" hidden="1" x14ac:dyDescent="0.25">
      <c r="A1879" s="15"/>
      <c r="B1879" s="14"/>
    </row>
    <row r="1880" spans="1:2" hidden="1" x14ac:dyDescent="0.25">
      <c r="A1880" s="15"/>
      <c r="B1880" s="14"/>
    </row>
    <row r="1881" spans="1:2" hidden="1" x14ac:dyDescent="0.25">
      <c r="A1881" s="15"/>
      <c r="B1881" s="14"/>
    </row>
    <row r="1882" spans="1:2" hidden="1" x14ac:dyDescent="0.25">
      <c r="A1882" s="15"/>
      <c r="B1882" s="14"/>
    </row>
    <row r="1883" spans="1:2" hidden="1" x14ac:dyDescent="0.25">
      <c r="A1883" s="15"/>
      <c r="B1883" s="14"/>
    </row>
    <row r="1884" spans="1:2" hidden="1" x14ac:dyDescent="0.25">
      <c r="A1884" s="15"/>
      <c r="B1884" s="14"/>
    </row>
    <row r="1885" spans="1:2" hidden="1" x14ac:dyDescent="0.25">
      <c r="A1885" s="15"/>
      <c r="B1885" s="14"/>
    </row>
    <row r="1886" spans="1:2" hidden="1" x14ac:dyDescent="0.25">
      <c r="A1886" s="15"/>
      <c r="B1886" s="14"/>
    </row>
    <row r="1887" spans="1:2" hidden="1" x14ac:dyDescent="0.25">
      <c r="A1887" s="15"/>
      <c r="B1887" s="14"/>
    </row>
    <row r="1888" spans="1:2" hidden="1" x14ac:dyDescent="0.25">
      <c r="A1888" s="15"/>
      <c r="B1888" s="14"/>
    </row>
    <row r="1889" spans="1:2" hidden="1" x14ac:dyDescent="0.25">
      <c r="A1889" s="15"/>
      <c r="B1889" s="14"/>
    </row>
    <row r="1890" spans="1:2" hidden="1" x14ac:dyDescent="0.25">
      <c r="A1890" s="15"/>
      <c r="B1890" s="14"/>
    </row>
    <row r="1891" spans="1:2" hidden="1" x14ac:dyDescent="0.25">
      <c r="A1891" s="15"/>
      <c r="B1891" s="14"/>
    </row>
    <row r="1892" spans="1:2" hidden="1" x14ac:dyDescent="0.25">
      <c r="A1892" s="15"/>
      <c r="B1892" s="14"/>
    </row>
    <row r="1893" spans="1:2" hidden="1" x14ac:dyDescent="0.25">
      <c r="A1893" s="15"/>
      <c r="B1893" s="14"/>
    </row>
    <row r="1894" spans="1:2" hidden="1" x14ac:dyDescent="0.25">
      <c r="A1894" s="15"/>
      <c r="B1894" s="14"/>
    </row>
    <row r="1895" spans="1:2" hidden="1" x14ac:dyDescent="0.25">
      <c r="A1895" s="15"/>
      <c r="B1895" s="14"/>
    </row>
    <row r="1896" spans="1:2" hidden="1" x14ac:dyDescent="0.25">
      <c r="A1896" s="15"/>
      <c r="B1896" s="14"/>
    </row>
    <row r="1897" spans="1:2" hidden="1" x14ac:dyDescent="0.25">
      <c r="A1897" s="15"/>
      <c r="B1897" s="14"/>
    </row>
    <row r="1898" spans="1:2" hidden="1" x14ac:dyDescent="0.25">
      <c r="A1898" s="15"/>
      <c r="B1898" s="14"/>
    </row>
    <row r="1899" spans="1:2" hidden="1" x14ac:dyDescent="0.25">
      <c r="A1899" s="15"/>
      <c r="B1899" s="14"/>
    </row>
    <row r="1900" spans="1:2" hidden="1" x14ac:dyDescent="0.25">
      <c r="A1900" s="15"/>
      <c r="B1900" s="14"/>
    </row>
    <row r="1901" spans="1:2" hidden="1" x14ac:dyDescent="0.25">
      <c r="A1901" s="15"/>
      <c r="B1901" s="14"/>
    </row>
    <row r="1902" spans="1:2" hidden="1" x14ac:dyDescent="0.25">
      <c r="A1902" s="15"/>
      <c r="B1902" s="14"/>
    </row>
    <row r="1903" spans="1:2" hidden="1" x14ac:dyDescent="0.25">
      <c r="A1903" s="15"/>
      <c r="B1903" s="14"/>
    </row>
    <row r="1904" spans="1:2" hidden="1" x14ac:dyDescent="0.25">
      <c r="A1904" s="15"/>
      <c r="B1904" s="14"/>
    </row>
    <row r="1905" spans="1:2" hidden="1" x14ac:dyDescent="0.25">
      <c r="A1905" s="15"/>
      <c r="B1905" s="14"/>
    </row>
    <row r="1906" spans="1:2" hidden="1" x14ac:dyDescent="0.25">
      <c r="A1906" s="15"/>
      <c r="B1906" s="14"/>
    </row>
    <row r="1907" spans="1:2" hidden="1" x14ac:dyDescent="0.25">
      <c r="A1907" s="15"/>
      <c r="B1907" s="14"/>
    </row>
    <row r="1908" spans="1:2" hidden="1" x14ac:dyDescent="0.25">
      <c r="A1908" s="15"/>
      <c r="B1908" s="14"/>
    </row>
    <row r="1909" spans="1:2" hidden="1" x14ac:dyDescent="0.25">
      <c r="A1909" s="15"/>
      <c r="B1909" s="14"/>
    </row>
    <row r="1910" spans="1:2" hidden="1" x14ac:dyDescent="0.25">
      <c r="A1910" s="15"/>
      <c r="B1910" s="14"/>
    </row>
    <row r="1911" spans="1:2" hidden="1" x14ac:dyDescent="0.25">
      <c r="A1911" s="15"/>
      <c r="B1911" s="14"/>
    </row>
    <row r="1912" spans="1:2" hidden="1" x14ac:dyDescent="0.25">
      <c r="A1912" s="15"/>
      <c r="B1912" s="14"/>
    </row>
    <row r="1913" spans="1:2" hidden="1" x14ac:dyDescent="0.25">
      <c r="A1913" s="15"/>
      <c r="B1913" s="14"/>
    </row>
    <row r="1914" spans="1:2" hidden="1" x14ac:dyDescent="0.25">
      <c r="A1914" s="15"/>
      <c r="B1914" s="14"/>
    </row>
    <row r="1915" spans="1:2" hidden="1" x14ac:dyDescent="0.25">
      <c r="A1915" s="15"/>
      <c r="B1915" s="14"/>
    </row>
    <row r="1916" spans="1:2" hidden="1" x14ac:dyDescent="0.25">
      <c r="A1916" s="15"/>
      <c r="B1916" s="14"/>
    </row>
    <row r="1917" spans="1:2" hidden="1" x14ac:dyDescent="0.25">
      <c r="A1917" s="15"/>
      <c r="B1917" s="14"/>
    </row>
    <row r="1918" spans="1:2" hidden="1" x14ac:dyDescent="0.25">
      <c r="A1918" s="15"/>
      <c r="B1918" s="14"/>
    </row>
    <row r="1919" spans="1:2" hidden="1" x14ac:dyDescent="0.25">
      <c r="A1919" s="15"/>
      <c r="B1919" s="14"/>
    </row>
    <row r="1920" spans="1:2" hidden="1" x14ac:dyDescent="0.25">
      <c r="A1920" s="15"/>
      <c r="B1920" s="14"/>
    </row>
    <row r="1921" spans="1:2" hidden="1" x14ac:dyDescent="0.25">
      <c r="A1921" s="15"/>
      <c r="B1921" s="14"/>
    </row>
    <row r="1922" spans="1:2" hidden="1" x14ac:dyDescent="0.25">
      <c r="A1922" s="15"/>
      <c r="B1922" s="14"/>
    </row>
    <row r="1923" spans="1:2" hidden="1" x14ac:dyDescent="0.25">
      <c r="A1923" s="15"/>
      <c r="B1923" s="14"/>
    </row>
    <row r="1924" spans="1:2" hidden="1" x14ac:dyDescent="0.25">
      <c r="A1924" s="15"/>
      <c r="B1924" s="14"/>
    </row>
    <row r="1925" spans="1:2" hidden="1" x14ac:dyDescent="0.25">
      <c r="A1925" s="15"/>
      <c r="B1925" s="14"/>
    </row>
    <row r="1926" spans="1:2" hidden="1" x14ac:dyDescent="0.25">
      <c r="A1926" s="15"/>
      <c r="B1926" s="14"/>
    </row>
    <row r="1927" spans="1:2" hidden="1" x14ac:dyDescent="0.25">
      <c r="A1927" s="15"/>
      <c r="B1927" s="14"/>
    </row>
    <row r="1928" spans="1:2" hidden="1" x14ac:dyDescent="0.25">
      <c r="A1928" s="15"/>
      <c r="B1928" s="14"/>
    </row>
    <row r="1929" spans="1:2" hidden="1" x14ac:dyDescent="0.25">
      <c r="A1929" s="15"/>
      <c r="B1929" s="14"/>
    </row>
    <row r="1930" spans="1:2" hidden="1" x14ac:dyDescent="0.25">
      <c r="A1930" s="15"/>
      <c r="B1930" s="14"/>
    </row>
    <row r="1931" spans="1:2" hidden="1" x14ac:dyDescent="0.25">
      <c r="A1931" s="15"/>
      <c r="B1931" s="14"/>
    </row>
    <row r="1932" spans="1:2" hidden="1" x14ac:dyDescent="0.25">
      <c r="A1932" s="15"/>
      <c r="B1932" s="14"/>
    </row>
    <row r="1933" spans="1:2" hidden="1" x14ac:dyDescent="0.25">
      <c r="A1933" s="15"/>
      <c r="B1933" s="14"/>
    </row>
    <row r="1934" spans="1:2" hidden="1" x14ac:dyDescent="0.25">
      <c r="A1934" s="15"/>
      <c r="B1934" s="14"/>
    </row>
    <row r="1935" spans="1:2" hidden="1" x14ac:dyDescent="0.25">
      <c r="A1935" s="15"/>
      <c r="B1935" s="14"/>
    </row>
    <row r="1936" spans="1:2" hidden="1" x14ac:dyDescent="0.25">
      <c r="A1936" s="15"/>
      <c r="B1936" s="14"/>
    </row>
    <row r="1937" spans="1:2" hidden="1" x14ac:dyDescent="0.25">
      <c r="A1937" s="15"/>
      <c r="B1937" s="14"/>
    </row>
    <row r="1938" spans="1:2" hidden="1" x14ac:dyDescent="0.25">
      <c r="A1938" s="15"/>
      <c r="B1938" s="14"/>
    </row>
    <row r="1939" spans="1:2" hidden="1" x14ac:dyDescent="0.25">
      <c r="A1939" s="15"/>
      <c r="B1939" s="14"/>
    </row>
    <row r="1940" spans="1:2" hidden="1" x14ac:dyDescent="0.25">
      <c r="A1940" s="15"/>
      <c r="B1940" s="14"/>
    </row>
    <row r="1941" spans="1:2" hidden="1" x14ac:dyDescent="0.25">
      <c r="A1941" s="15"/>
      <c r="B1941" s="14"/>
    </row>
    <row r="1942" spans="1:2" hidden="1" x14ac:dyDescent="0.25">
      <c r="A1942" s="15"/>
      <c r="B1942" s="14"/>
    </row>
    <row r="1943" spans="1:2" hidden="1" x14ac:dyDescent="0.25">
      <c r="A1943" s="15"/>
      <c r="B1943" s="14"/>
    </row>
    <row r="1944" spans="1:2" hidden="1" x14ac:dyDescent="0.25">
      <c r="A1944" s="15"/>
      <c r="B1944" s="14"/>
    </row>
    <row r="1945" spans="1:2" hidden="1" x14ac:dyDescent="0.25">
      <c r="A1945" s="15"/>
      <c r="B1945" s="14"/>
    </row>
    <row r="1946" spans="1:2" hidden="1" x14ac:dyDescent="0.25">
      <c r="A1946" s="15"/>
      <c r="B1946" s="14"/>
    </row>
    <row r="1947" spans="1:2" hidden="1" x14ac:dyDescent="0.25">
      <c r="A1947" s="15"/>
      <c r="B1947" s="14"/>
    </row>
    <row r="1948" spans="1:2" hidden="1" x14ac:dyDescent="0.25">
      <c r="A1948" s="15"/>
      <c r="B1948" s="14"/>
    </row>
    <row r="1949" spans="1:2" hidden="1" x14ac:dyDescent="0.25">
      <c r="A1949" s="15"/>
      <c r="B1949" s="14"/>
    </row>
    <row r="1950" spans="1:2" hidden="1" x14ac:dyDescent="0.25">
      <c r="A1950" s="15"/>
      <c r="B1950" s="14"/>
    </row>
    <row r="1951" spans="1:2" hidden="1" x14ac:dyDescent="0.25">
      <c r="A1951" s="15"/>
      <c r="B1951" s="14"/>
    </row>
    <row r="1952" spans="1:2" hidden="1" x14ac:dyDescent="0.25">
      <c r="A1952" s="15"/>
      <c r="B1952" s="14"/>
    </row>
    <row r="1953" spans="1:2" hidden="1" x14ac:dyDescent="0.25">
      <c r="A1953" s="15"/>
      <c r="B1953" s="14"/>
    </row>
    <row r="1954" spans="1:2" hidden="1" x14ac:dyDescent="0.25">
      <c r="A1954" s="15"/>
      <c r="B1954" s="14"/>
    </row>
    <row r="1955" spans="1:2" hidden="1" x14ac:dyDescent="0.25">
      <c r="A1955" s="15"/>
      <c r="B1955" s="14"/>
    </row>
    <row r="1956" spans="1:2" hidden="1" x14ac:dyDescent="0.25">
      <c r="A1956" s="15"/>
      <c r="B1956" s="14"/>
    </row>
    <row r="1957" spans="1:2" hidden="1" x14ac:dyDescent="0.25">
      <c r="A1957" s="15"/>
      <c r="B1957" s="14"/>
    </row>
    <row r="1958" spans="1:2" hidden="1" x14ac:dyDescent="0.25">
      <c r="A1958" s="15"/>
      <c r="B1958" s="14"/>
    </row>
    <row r="1959" spans="1:2" hidden="1" x14ac:dyDescent="0.25">
      <c r="A1959" s="15"/>
      <c r="B1959" s="14"/>
    </row>
    <row r="1960" spans="1:2" hidden="1" x14ac:dyDescent="0.25">
      <c r="A1960" s="15"/>
      <c r="B1960" s="14"/>
    </row>
    <row r="1961" spans="1:2" hidden="1" x14ac:dyDescent="0.25">
      <c r="A1961" s="15"/>
      <c r="B1961" s="14"/>
    </row>
    <row r="1962" spans="1:2" hidden="1" x14ac:dyDescent="0.25">
      <c r="A1962" s="15"/>
      <c r="B1962" s="14"/>
    </row>
    <row r="1963" spans="1:2" hidden="1" x14ac:dyDescent="0.25">
      <c r="A1963" s="15"/>
      <c r="B1963" s="14"/>
    </row>
    <row r="1964" spans="1:2" hidden="1" x14ac:dyDescent="0.25">
      <c r="A1964" s="15"/>
      <c r="B1964" s="14"/>
    </row>
    <row r="1965" spans="1:2" hidden="1" x14ac:dyDescent="0.25">
      <c r="A1965" s="15"/>
      <c r="B1965" s="14"/>
    </row>
    <row r="1966" spans="1:2" hidden="1" x14ac:dyDescent="0.25">
      <c r="A1966" s="15"/>
      <c r="B1966" s="14"/>
    </row>
    <row r="1967" spans="1:2" hidden="1" x14ac:dyDescent="0.25">
      <c r="A1967" s="15"/>
      <c r="B1967" s="14"/>
    </row>
    <row r="1968" spans="1:2" hidden="1" x14ac:dyDescent="0.25">
      <c r="A1968" s="15"/>
      <c r="B1968" s="14"/>
    </row>
    <row r="1969" spans="1:2" hidden="1" x14ac:dyDescent="0.25">
      <c r="A1969" s="15"/>
      <c r="B1969" s="14"/>
    </row>
    <row r="1970" spans="1:2" hidden="1" x14ac:dyDescent="0.25">
      <c r="A1970" s="15"/>
      <c r="B1970" s="14"/>
    </row>
    <row r="1971" spans="1:2" hidden="1" x14ac:dyDescent="0.25">
      <c r="A1971" s="15"/>
      <c r="B1971" s="14"/>
    </row>
    <row r="1972" spans="1:2" hidden="1" x14ac:dyDescent="0.25">
      <c r="A1972" s="15"/>
      <c r="B1972" s="14"/>
    </row>
    <row r="1973" spans="1:2" hidden="1" x14ac:dyDescent="0.25">
      <c r="A1973" s="15"/>
      <c r="B1973" s="14"/>
    </row>
    <row r="1974" spans="1:2" hidden="1" x14ac:dyDescent="0.25">
      <c r="A1974" s="15"/>
      <c r="B1974" s="14"/>
    </row>
    <row r="1975" spans="1:2" hidden="1" x14ac:dyDescent="0.25">
      <c r="A1975" s="15"/>
      <c r="B1975" s="14"/>
    </row>
    <row r="1976" spans="1:2" hidden="1" x14ac:dyDescent="0.25">
      <c r="A1976" s="15"/>
      <c r="B1976" s="14"/>
    </row>
    <row r="1977" spans="1:2" hidden="1" x14ac:dyDescent="0.25">
      <c r="A1977" s="15"/>
      <c r="B1977" s="14"/>
    </row>
    <row r="1978" spans="1:2" hidden="1" x14ac:dyDescent="0.25">
      <c r="A1978" s="15"/>
      <c r="B1978" s="14"/>
    </row>
    <row r="1979" spans="1:2" hidden="1" x14ac:dyDescent="0.25">
      <c r="A1979" s="15"/>
      <c r="B1979" s="14"/>
    </row>
    <row r="1980" spans="1:2" hidden="1" x14ac:dyDescent="0.25">
      <c r="A1980" s="15"/>
      <c r="B1980" s="14"/>
    </row>
    <row r="1981" spans="1:2" hidden="1" x14ac:dyDescent="0.25">
      <c r="A1981" s="15"/>
      <c r="B1981" s="14"/>
    </row>
    <row r="1982" spans="1:2" hidden="1" x14ac:dyDescent="0.25">
      <c r="A1982" s="15"/>
      <c r="B1982" s="14"/>
    </row>
    <row r="1983" spans="1:2" hidden="1" x14ac:dyDescent="0.25">
      <c r="A1983" s="15"/>
      <c r="B1983" s="14"/>
    </row>
    <row r="1984" spans="1:2" hidden="1" x14ac:dyDescent="0.25">
      <c r="A1984" s="15"/>
      <c r="B1984" s="14"/>
    </row>
    <row r="1985" spans="1:2" hidden="1" x14ac:dyDescent="0.25">
      <c r="A1985" s="15"/>
      <c r="B1985" s="14"/>
    </row>
    <row r="1986" spans="1:2" hidden="1" x14ac:dyDescent="0.25">
      <c r="A1986" s="15"/>
      <c r="B1986" s="14"/>
    </row>
    <row r="1987" spans="1:2" hidden="1" x14ac:dyDescent="0.25">
      <c r="A1987" s="15"/>
      <c r="B1987" s="14"/>
    </row>
    <row r="1988" spans="1:2" hidden="1" x14ac:dyDescent="0.25">
      <c r="A1988" s="15"/>
      <c r="B1988" s="14"/>
    </row>
    <row r="1989" spans="1:2" hidden="1" x14ac:dyDescent="0.25">
      <c r="A1989" s="15"/>
      <c r="B1989" s="14"/>
    </row>
    <row r="1990" spans="1:2" hidden="1" x14ac:dyDescent="0.25">
      <c r="A1990" s="15"/>
      <c r="B1990" s="14"/>
    </row>
    <row r="1991" spans="1:2" hidden="1" x14ac:dyDescent="0.25">
      <c r="A1991" s="15"/>
      <c r="B1991" s="14"/>
    </row>
    <row r="1992" spans="1:2" hidden="1" x14ac:dyDescent="0.25">
      <c r="A1992" s="15"/>
      <c r="B1992" s="14"/>
    </row>
    <row r="1993" spans="1:2" hidden="1" x14ac:dyDescent="0.25">
      <c r="A1993" s="15"/>
      <c r="B1993" s="14"/>
    </row>
    <row r="1994" spans="1:2" hidden="1" x14ac:dyDescent="0.25">
      <c r="A1994" s="15"/>
      <c r="B1994" s="14"/>
    </row>
    <row r="1995" spans="1:2" hidden="1" x14ac:dyDescent="0.25">
      <c r="A1995" s="15"/>
      <c r="B1995" s="14"/>
    </row>
    <row r="1996" spans="1:2" hidden="1" x14ac:dyDescent="0.25">
      <c r="A1996" s="15"/>
      <c r="B1996" s="14"/>
    </row>
    <row r="1997" spans="1:2" hidden="1" x14ac:dyDescent="0.25">
      <c r="A1997" s="15"/>
      <c r="B1997" s="14"/>
    </row>
    <row r="1998" spans="1:2" hidden="1" x14ac:dyDescent="0.25">
      <c r="A1998" s="15"/>
      <c r="B1998" s="14"/>
    </row>
    <row r="1999" spans="1:2" hidden="1" x14ac:dyDescent="0.25">
      <c r="A1999" s="15"/>
      <c r="B1999" s="14"/>
    </row>
    <row r="2000" spans="1:2" hidden="1" x14ac:dyDescent="0.25">
      <c r="A2000" s="15"/>
      <c r="B2000" s="14"/>
    </row>
    <row r="2001" spans="1:2" hidden="1" x14ac:dyDescent="0.25">
      <c r="A2001" s="15"/>
      <c r="B2001" s="14"/>
    </row>
    <row r="2002" spans="1:2" hidden="1" x14ac:dyDescent="0.25">
      <c r="A2002" s="15"/>
      <c r="B2002" s="14"/>
    </row>
    <row r="2003" spans="1:2" hidden="1" x14ac:dyDescent="0.25">
      <c r="A2003" s="15"/>
      <c r="B2003" s="14"/>
    </row>
    <row r="2004" spans="1:2" hidden="1" x14ac:dyDescent="0.25">
      <c r="A2004" s="15"/>
      <c r="B2004" s="14"/>
    </row>
    <row r="2005" spans="1:2" hidden="1" x14ac:dyDescent="0.25">
      <c r="A2005" s="15"/>
      <c r="B2005" s="14"/>
    </row>
    <row r="2006" spans="1:2" hidden="1" x14ac:dyDescent="0.25">
      <c r="A2006" s="15"/>
      <c r="B2006" s="14"/>
    </row>
    <row r="2007" spans="1:2" hidden="1" x14ac:dyDescent="0.25">
      <c r="A2007" s="15"/>
      <c r="B2007" s="14"/>
    </row>
    <row r="2008" spans="1:2" hidden="1" x14ac:dyDescent="0.25">
      <c r="A2008" s="15"/>
      <c r="B2008" s="14"/>
    </row>
    <row r="2009" spans="1:2" hidden="1" x14ac:dyDescent="0.25">
      <c r="A2009" s="15"/>
      <c r="B2009" s="14"/>
    </row>
    <row r="2010" spans="1:2" hidden="1" x14ac:dyDescent="0.25">
      <c r="A2010" s="15"/>
      <c r="B2010" s="14"/>
    </row>
    <row r="2011" spans="1:2" hidden="1" x14ac:dyDescent="0.25">
      <c r="A2011" s="15"/>
      <c r="B2011" s="14"/>
    </row>
    <row r="2012" spans="1:2" hidden="1" x14ac:dyDescent="0.25">
      <c r="A2012" s="15"/>
      <c r="B2012" s="14"/>
    </row>
    <row r="2013" spans="1:2" hidden="1" x14ac:dyDescent="0.25">
      <c r="A2013" s="15"/>
      <c r="B2013" s="14"/>
    </row>
    <row r="2014" spans="1:2" hidden="1" x14ac:dyDescent="0.25">
      <c r="A2014" s="15"/>
      <c r="B2014" s="14"/>
    </row>
    <row r="2015" spans="1:2" hidden="1" x14ac:dyDescent="0.25">
      <c r="A2015" s="15"/>
      <c r="B2015" s="14"/>
    </row>
    <row r="2016" spans="1:2" hidden="1" x14ac:dyDescent="0.25">
      <c r="A2016" s="15"/>
      <c r="B2016" s="14"/>
    </row>
    <row r="2017" spans="1:2" hidden="1" x14ac:dyDescent="0.25">
      <c r="A2017" s="15"/>
      <c r="B2017" s="14"/>
    </row>
    <row r="2018" spans="1:2" hidden="1" x14ac:dyDescent="0.25">
      <c r="A2018" s="15"/>
      <c r="B2018" s="14"/>
    </row>
    <row r="2019" spans="1:2" hidden="1" x14ac:dyDescent="0.25">
      <c r="A2019" s="15"/>
      <c r="B2019" s="14"/>
    </row>
    <row r="2020" spans="1:2" hidden="1" x14ac:dyDescent="0.25">
      <c r="A2020" s="15"/>
      <c r="B2020" s="14"/>
    </row>
    <row r="2021" spans="1:2" hidden="1" x14ac:dyDescent="0.25">
      <c r="A2021" s="15"/>
      <c r="B2021" s="14"/>
    </row>
    <row r="2022" spans="1:2" hidden="1" x14ac:dyDescent="0.25">
      <c r="A2022" s="15"/>
      <c r="B2022" s="14"/>
    </row>
    <row r="2023" spans="1:2" hidden="1" x14ac:dyDescent="0.25">
      <c r="A2023" s="15"/>
      <c r="B2023" s="14"/>
    </row>
    <row r="2024" spans="1:2" hidden="1" x14ac:dyDescent="0.25">
      <c r="A2024" s="15"/>
      <c r="B2024" s="14"/>
    </row>
    <row r="2025" spans="1:2" hidden="1" x14ac:dyDescent="0.25">
      <c r="A2025" s="15"/>
      <c r="B2025" s="14"/>
    </row>
    <row r="2026" spans="1:2" hidden="1" x14ac:dyDescent="0.25">
      <c r="A2026" s="15"/>
      <c r="B2026" s="14"/>
    </row>
    <row r="2027" spans="1:2" hidden="1" x14ac:dyDescent="0.25">
      <c r="A2027" s="15"/>
      <c r="B2027" s="14"/>
    </row>
    <row r="2028" spans="1:2" hidden="1" x14ac:dyDescent="0.25">
      <c r="A2028" s="15"/>
      <c r="B2028" s="14"/>
    </row>
    <row r="2029" spans="1:2" hidden="1" x14ac:dyDescent="0.25">
      <c r="A2029" s="15"/>
      <c r="B2029" s="14"/>
    </row>
    <row r="2030" spans="1:2" hidden="1" x14ac:dyDescent="0.25">
      <c r="A2030" s="15"/>
      <c r="B2030" s="14"/>
    </row>
    <row r="2031" spans="1:2" hidden="1" x14ac:dyDescent="0.25">
      <c r="A2031" s="15"/>
      <c r="B2031" s="14"/>
    </row>
    <row r="2032" spans="1:2" hidden="1" x14ac:dyDescent="0.25">
      <c r="A2032" s="15"/>
      <c r="B2032" s="14"/>
    </row>
    <row r="2033" spans="1:2" hidden="1" x14ac:dyDescent="0.25">
      <c r="A2033" s="15"/>
      <c r="B2033" s="14"/>
    </row>
    <row r="2034" spans="1:2" hidden="1" x14ac:dyDescent="0.25">
      <c r="A2034" s="15"/>
      <c r="B2034" s="14"/>
    </row>
    <row r="2035" spans="1:2" hidden="1" x14ac:dyDescent="0.25">
      <c r="A2035" s="15"/>
      <c r="B2035" s="14"/>
    </row>
    <row r="2036" spans="1:2" hidden="1" x14ac:dyDescent="0.25">
      <c r="A2036" s="15"/>
      <c r="B2036" s="14"/>
    </row>
    <row r="2037" spans="1:2" hidden="1" x14ac:dyDescent="0.25">
      <c r="A2037" s="15"/>
      <c r="B2037" s="14"/>
    </row>
    <row r="2038" spans="1:2" hidden="1" x14ac:dyDescent="0.25">
      <c r="A2038" s="15"/>
      <c r="B2038" s="14"/>
    </row>
    <row r="2039" spans="1:2" hidden="1" x14ac:dyDescent="0.25">
      <c r="A2039" s="15"/>
      <c r="B2039" s="14"/>
    </row>
    <row r="2040" spans="1:2" hidden="1" x14ac:dyDescent="0.25">
      <c r="A2040" s="15"/>
      <c r="B2040" s="14"/>
    </row>
    <row r="2041" spans="1:2" hidden="1" x14ac:dyDescent="0.25">
      <c r="A2041" s="15"/>
      <c r="B2041" s="14"/>
    </row>
    <row r="2042" spans="1:2" hidden="1" x14ac:dyDescent="0.25">
      <c r="A2042" s="15"/>
      <c r="B2042" s="14"/>
    </row>
    <row r="2043" spans="1:2" hidden="1" x14ac:dyDescent="0.25">
      <c r="A2043" s="15"/>
      <c r="B2043" s="14"/>
    </row>
    <row r="2044" spans="1:2" hidden="1" x14ac:dyDescent="0.25">
      <c r="A2044" s="15"/>
      <c r="B2044" s="14"/>
    </row>
    <row r="2045" spans="1:2" hidden="1" x14ac:dyDescent="0.25">
      <c r="A2045" s="15"/>
      <c r="B2045" s="14"/>
    </row>
    <row r="2046" spans="1:2" hidden="1" x14ac:dyDescent="0.25">
      <c r="A2046" s="15"/>
      <c r="B2046" s="14"/>
    </row>
    <row r="2047" spans="1:2" hidden="1" x14ac:dyDescent="0.25">
      <c r="A2047" s="15"/>
      <c r="B2047" s="14"/>
    </row>
    <row r="2048" spans="1:2" hidden="1" x14ac:dyDescent="0.25">
      <c r="A2048" s="15"/>
      <c r="B2048" s="14"/>
    </row>
    <row r="2049" spans="1:2" hidden="1" x14ac:dyDescent="0.25">
      <c r="A2049" s="15"/>
      <c r="B2049" s="14"/>
    </row>
    <row r="2050" spans="1:2" hidden="1" x14ac:dyDescent="0.25">
      <c r="A2050" s="15"/>
      <c r="B2050" s="14"/>
    </row>
    <row r="2051" spans="1:2" hidden="1" x14ac:dyDescent="0.25">
      <c r="A2051" s="15"/>
      <c r="B2051" s="14"/>
    </row>
    <row r="2052" spans="1:2" hidden="1" x14ac:dyDescent="0.25">
      <c r="A2052" s="15"/>
      <c r="B2052" s="14"/>
    </row>
    <row r="2053" spans="1:2" hidden="1" x14ac:dyDescent="0.25">
      <c r="A2053" s="15"/>
      <c r="B2053" s="14"/>
    </row>
    <row r="2054" spans="1:2" hidden="1" x14ac:dyDescent="0.25">
      <c r="A2054" s="15"/>
      <c r="B2054" s="14"/>
    </row>
    <row r="2055" spans="1:2" hidden="1" x14ac:dyDescent="0.25">
      <c r="A2055" s="15"/>
      <c r="B2055" s="14"/>
    </row>
    <row r="2056" spans="1:2" hidden="1" x14ac:dyDescent="0.25">
      <c r="A2056" s="15"/>
      <c r="B2056" s="14"/>
    </row>
    <row r="2057" spans="1:2" hidden="1" x14ac:dyDescent="0.25">
      <c r="A2057" s="15"/>
      <c r="B2057" s="14"/>
    </row>
    <row r="2058" spans="1:2" hidden="1" x14ac:dyDescent="0.25">
      <c r="A2058" s="15"/>
      <c r="B2058" s="14"/>
    </row>
    <row r="2059" spans="1:2" hidden="1" x14ac:dyDescent="0.25">
      <c r="A2059" s="15"/>
      <c r="B2059" s="14"/>
    </row>
    <row r="2060" spans="1:2" hidden="1" x14ac:dyDescent="0.25">
      <c r="A2060" s="15"/>
      <c r="B2060" s="14"/>
    </row>
    <row r="2061" spans="1:2" hidden="1" x14ac:dyDescent="0.25">
      <c r="A2061" s="15"/>
      <c r="B2061" s="14"/>
    </row>
    <row r="2062" spans="1:2" hidden="1" x14ac:dyDescent="0.25">
      <c r="A2062" s="15"/>
      <c r="B2062" s="14"/>
    </row>
    <row r="2063" spans="1:2" hidden="1" x14ac:dyDescent="0.25">
      <c r="A2063" s="15"/>
      <c r="B2063" s="14"/>
    </row>
    <row r="2064" spans="1:2" hidden="1" x14ac:dyDescent="0.25">
      <c r="A2064" s="15"/>
      <c r="B2064" s="14"/>
    </row>
    <row r="2065" spans="1:2" hidden="1" x14ac:dyDescent="0.25">
      <c r="A2065" s="15"/>
      <c r="B2065" s="14"/>
    </row>
    <row r="2066" spans="1:2" hidden="1" x14ac:dyDescent="0.25">
      <c r="A2066" s="15"/>
      <c r="B2066" s="14"/>
    </row>
    <row r="2067" spans="1:2" hidden="1" x14ac:dyDescent="0.25">
      <c r="A2067" s="15"/>
      <c r="B2067" s="14"/>
    </row>
    <row r="2068" spans="1:2" hidden="1" x14ac:dyDescent="0.25">
      <c r="A2068" s="15"/>
      <c r="B2068" s="14"/>
    </row>
    <row r="2069" spans="1:2" hidden="1" x14ac:dyDescent="0.25">
      <c r="A2069" s="15"/>
      <c r="B2069" s="14"/>
    </row>
    <row r="2070" spans="1:2" hidden="1" x14ac:dyDescent="0.25">
      <c r="A2070" s="15"/>
      <c r="B2070" s="14"/>
    </row>
    <row r="2071" spans="1:2" hidden="1" x14ac:dyDescent="0.25">
      <c r="A2071" s="15"/>
      <c r="B2071" s="14"/>
    </row>
    <row r="2072" spans="1:2" hidden="1" x14ac:dyDescent="0.25">
      <c r="A2072" s="15"/>
      <c r="B2072" s="14"/>
    </row>
    <row r="2073" spans="1:2" hidden="1" x14ac:dyDescent="0.25">
      <c r="A2073" s="15"/>
      <c r="B2073" s="14"/>
    </row>
    <row r="2074" spans="1:2" hidden="1" x14ac:dyDescent="0.25">
      <c r="A2074" s="15"/>
      <c r="B2074" s="14"/>
    </row>
    <row r="2075" spans="1:2" hidden="1" x14ac:dyDescent="0.25">
      <c r="A2075" s="15"/>
      <c r="B2075" s="14"/>
    </row>
    <row r="2076" spans="1:2" hidden="1" x14ac:dyDescent="0.25">
      <c r="A2076" s="15"/>
      <c r="B2076" s="14"/>
    </row>
    <row r="2077" spans="1:2" hidden="1" x14ac:dyDescent="0.25">
      <c r="A2077" s="15"/>
      <c r="B2077" s="14"/>
    </row>
    <row r="2078" spans="1:2" hidden="1" x14ac:dyDescent="0.25">
      <c r="A2078" s="15"/>
      <c r="B2078" s="14"/>
    </row>
    <row r="2079" spans="1:2" hidden="1" x14ac:dyDescent="0.25">
      <c r="A2079" s="15"/>
      <c r="B2079" s="14"/>
    </row>
    <row r="2080" spans="1:2" hidden="1" x14ac:dyDescent="0.25">
      <c r="A2080" s="15"/>
      <c r="B2080" s="14"/>
    </row>
    <row r="2081" spans="1:2" hidden="1" x14ac:dyDescent="0.25">
      <c r="A2081" s="15"/>
      <c r="B2081" s="14"/>
    </row>
    <row r="2082" spans="1:2" hidden="1" x14ac:dyDescent="0.25">
      <c r="A2082" s="15"/>
      <c r="B2082" s="14"/>
    </row>
    <row r="2083" spans="1:2" hidden="1" x14ac:dyDescent="0.25">
      <c r="A2083" s="15"/>
      <c r="B2083" s="14"/>
    </row>
    <row r="2084" spans="1:2" hidden="1" x14ac:dyDescent="0.25">
      <c r="A2084" s="15"/>
      <c r="B2084" s="14"/>
    </row>
    <row r="2085" spans="1:2" hidden="1" x14ac:dyDescent="0.25">
      <c r="A2085" s="15"/>
      <c r="B2085" s="14"/>
    </row>
    <row r="2086" spans="1:2" hidden="1" x14ac:dyDescent="0.25">
      <c r="A2086" s="15"/>
      <c r="B2086" s="14"/>
    </row>
    <row r="2087" spans="1:2" hidden="1" x14ac:dyDescent="0.25">
      <c r="A2087" s="15"/>
      <c r="B2087" s="14"/>
    </row>
    <row r="2088" spans="1:2" hidden="1" x14ac:dyDescent="0.25">
      <c r="A2088" s="15"/>
      <c r="B2088" s="14"/>
    </row>
    <row r="2089" spans="1:2" hidden="1" x14ac:dyDescent="0.25">
      <c r="A2089" s="15"/>
      <c r="B2089" s="14"/>
    </row>
    <row r="2090" spans="1:2" hidden="1" x14ac:dyDescent="0.25">
      <c r="A2090" s="15"/>
      <c r="B2090" s="14"/>
    </row>
    <row r="2091" spans="1:2" hidden="1" x14ac:dyDescent="0.25">
      <c r="A2091" s="15"/>
      <c r="B2091" s="14"/>
    </row>
    <row r="2092" spans="1:2" hidden="1" x14ac:dyDescent="0.25">
      <c r="A2092" s="15"/>
      <c r="B2092" s="14"/>
    </row>
    <row r="2093" spans="1:2" hidden="1" x14ac:dyDescent="0.25">
      <c r="A2093" s="15"/>
      <c r="B2093" s="14"/>
    </row>
    <row r="2094" spans="1:2" hidden="1" x14ac:dyDescent="0.25">
      <c r="A2094" s="15"/>
      <c r="B2094" s="14"/>
    </row>
    <row r="2095" spans="1:2" hidden="1" x14ac:dyDescent="0.25">
      <c r="A2095" s="15"/>
      <c r="B2095" s="14"/>
    </row>
    <row r="2096" spans="1:2" hidden="1" x14ac:dyDescent="0.25">
      <c r="A2096" s="15"/>
      <c r="B2096" s="14"/>
    </row>
    <row r="2097" spans="1:2" hidden="1" x14ac:dyDescent="0.25">
      <c r="A2097" s="15"/>
      <c r="B2097" s="14"/>
    </row>
    <row r="2098" spans="1:2" hidden="1" x14ac:dyDescent="0.25">
      <c r="A2098" s="15"/>
      <c r="B2098" s="14"/>
    </row>
    <row r="2099" spans="1:2" hidden="1" x14ac:dyDescent="0.25">
      <c r="A2099" s="15"/>
      <c r="B2099" s="14"/>
    </row>
    <row r="2100" spans="1:2" hidden="1" x14ac:dyDescent="0.25">
      <c r="A2100" s="15"/>
      <c r="B2100" s="14"/>
    </row>
    <row r="2101" spans="1:2" hidden="1" x14ac:dyDescent="0.25">
      <c r="A2101" s="15"/>
      <c r="B2101" s="14"/>
    </row>
    <row r="2102" spans="1:2" hidden="1" x14ac:dyDescent="0.25">
      <c r="A2102" s="15"/>
      <c r="B2102" s="14"/>
    </row>
    <row r="2103" spans="1:2" hidden="1" x14ac:dyDescent="0.25">
      <c r="A2103" s="15"/>
      <c r="B2103" s="14"/>
    </row>
    <row r="2104" spans="1:2" hidden="1" x14ac:dyDescent="0.25">
      <c r="A2104" s="15"/>
      <c r="B2104" s="14"/>
    </row>
    <row r="2105" spans="1:2" hidden="1" x14ac:dyDescent="0.25">
      <c r="A2105" s="15"/>
      <c r="B2105" s="14"/>
    </row>
    <row r="2106" spans="1:2" hidden="1" x14ac:dyDescent="0.25">
      <c r="A2106" s="15"/>
      <c r="B2106" s="14"/>
    </row>
    <row r="2107" spans="1:2" hidden="1" x14ac:dyDescent="0.25">
      <c r="A2107" s="15"/>
      <c r="B2107" s="14"/>
    </row>
    <row r="2108" spans="1:2" hidden="1" x14ac:dyDescent="0.25">
      <c r="A2108" s="15"/>
      <c r="B2108" s="14"/>
    </row>
    <row r="2109" spans="1:2" hidden="1" x14ac:dyDescent="0.25">
      <c r="A2109" s="15"/>
      <c r="B2109" s="14"/>
    </row>
    <row r="2110" spans="1:2" hidden="1" x14ac:dyDescent="0.25">
      <c r="A2110" s="15"/>
      <c r="B2110" s="14"/>
    </row>
    <row r="2111" spans="1:2" hidden="1" x14ac:dyDescent="0.25">
      <c r="A2111" s="15"/>
      <c r="B2111" s="14"/>
    </row>
    <row r="2112" spans="1:2" hidden="1" x14ac:dyDescent="0.25">
      <c r="A2112" s="15"/>
      <c r="B2112" s="14"/>
    </row>
    <row r="2113" spans="1:2" hidden="1" x14ac:dyDescent="0.25">
      <c r="A2113" s="15"/>
      <c r="B2113" s="14"/>
    </row>
    <row r="2114" spans="1:2" hidden="1" x14ac:dyDescent="0.25">
      <c r="A2114" s="15"/>
      <c r="B2114" s="14"/>
    </row>
    <row r="2115" spans="1:2" hidden="1" x14ac:dyDescent="0.25">
      <c r="A2115" s="15"/>
      <c r="B2115" s="14"/>
    </row>
    <row r="2116" spans="1:2" hidden="1" x14ac:dyDescent="0.25">
      <c r="A2116" s="15"/>
      <c r="B2116" s="14"/>
    </row>
    <row r="2117" spans="1:2" hidden="1" x14ac:dyDescent="0.25">
      <c r="A2117" s="15"/>
      <c r="B2117" s="14"/>
    </row>
    <row r="2118" spans="1:2" hidden="1" x14ac:dyDescent="0.25">
      <c r="A2118" s="15"/>
      <c r="B2118" s="14"/>
    </row>
    <row r="2119" spans="1:2" hidden="1" x14ac:dyDescent="0.25">
      <c r="A2119" s="15"/>
      <c r="B2119" s="14"/>
    </row>
    <row r="2120" spans="1:2" hidden="1" x14ac:dyDescent="0.25">
      <c r="A2120" s="15"/>
      <c r="B2120" s="14"/>
    </row>
    <row r="2121" spans="1:2" hidden="1" x14ac:dyDescent="0.25">
      <c r="A2121" s="15"/>
      <c r="B2121" s="14"/>
    </row>
    <row r="2122" spans="1:2" hidden="1" x14ac:dyDescent="0.25">
      <c r="A2122" s="15"/>
      <c r="B2122" s="14"/>
    </row>
    <row r="2123" spans="1:2" hidden="1" x14ac:dyDescent="0.25">
      <c r="A2123" s="15"/>
      <c r="B2123" s="14"/>
    </row>
    <row r="2124" spans="1:2" hidden="1" x14ac:dyDescent="0.25">
      <c r="A2124" s="15"/>
      <c r="B2124" s="14"/>
    </row>
    <row r="2125" spans="1:2" hidden="1" x14ac:dyDescent="0.25">
      <c r="A2125" s="15"/>
      <c r="B2125" s="14"/>
    </row>
    <row r="2126" spans="1:2" hidden="1" x14ac:dyDescent="0.25">
      <c r="A2126" s="15"/>
      <c r="B2126" s="14"/>
    </row>
    <row r="2127" spans="1:2" hidden="1" x14ac:dyDescent="0.25">
      <c r="A2127" s="15"/>
      <c r="B2127" s="14"/>
    </row>
    <row r="2128" spans="1:2" hidden="1" x14ac:dyDescent="0.25">
      <c r="A2128" s="15"/>
      <c r="B2128" s="14"/>
    </row>
    <row r="2129" spans="1:2" hidden="1" x14ac:dyDescent="0.25">
      <c r="A2129" s="15"/>
      <c r="B2129" s="14"/>
    </row>
    <row r="2130" spans="1:2" hidden="1" x14ac:dyDescent="0.25">
      <c r="A2130" s="15"/>
      <c r="B2130" s="14"/>
    </row>
    <row r="2131" spans="1:2" hidden="1" x14ac:dyDescent="0.25">
      <c r="A2131" s="15"/>
      <c r="B2131" s="14"/>
    </row>
    <row r="2132" spans="1:2" hidden="1" x14ac:dyDescent="0.25">
      <c r="A2132" s="15"/>
      <c r="B2132" s="14"/>
    </row>
    <row r="2133" spans="1:2" hidden="1" x14ac:dyDescent="0.25">
      <c r="A2133" s="15"/>
      <c r="B2133" s="14"/>
    </row>
    <row r="2134" spans="1:2" hidden="1" x14ac:dyDescent="0.25">
      <c r="A2134" s="15"/>
      <c r="B2134" s="14"/>
    </row>
    <row r="2135" spans="1:2" hidden="1" x14ac:dyDescent="0.25">
      <c r="A2135" s="15"/>
      <c r="B2135" s="14"/>
    </row>
    <row r="2136" spans="1:2" hidden="1" x14ac:dyDescent="0.25">
      <c r="A2136" s="15"/>
      <c r="B2136" s="14"/>
    </row>
    <row r="2137" spans="1:2" hidden="1" x14ac:dyDescent="0.25">
      <c r="A2137" s="15"/>
      <c r="B2137" s="14"/>
    </row>
    <row r="2138" spans="1:2" hidden="1" x14ac:dyDescent="0.25">
      <c r="A2138" s="15"/>
      <c r="B2138" s="14"/>
    </row>
    <row r="2139" spans="1:2" hidden="1" x14ac:dyDescent="0.25">
      <c r="A2139" s="15"/>
      <c r="B2139" s="14"/>
    </row>
    <row r="2140" spans="1:2" hidden="1" x14ac:dyDescent="0.25">
      <c r="A2140" s="15"/>
      <c r="B2140" s="14"/>
    </row>
    <row r="2141" spans="1:2" hidden="1" x14ac:dyDescent="0.25">
      <c r="A2141" s="15"/>
      <c r="B2141" s="14"/>
    </row>
    <row r="2142" spans="1:2" hidden="1" x14ac:dyDescent="0.25">
      <c r="A2142" s="15"/>
      <c r="B2142" s="14"/>
    </row>
    <row r="2143" spans="1:2" hidden="1" x14ac:dyDescent="0.25">
      <c r="A2143" s="15"/>
      <c r="B2143" s="14"/>
    </row>
    <row r="2144" spans="1:2" hidden="1" x14ac:dyDescent="0.25">
      <c r="A2144" s="15"/>
      <c r="B2144" s="14"/>
    </row>
    <row r="2145" spans="1:2" hidden="1" x14ac:dyDescent="0.25">
      <c r="A2145" s="15"/>
      <c r="B2145" s="14"/>
    </row>
    <row r="2146" spans="1:2" hidden="1" x14ac:dyDescent="0.25">
      <c r="A2146" s="15"/>
      <c r="B2146" s="14"/>
    </row>
    <row r="2147" spans="1:2" hidden="1" x14ac:dyDescent="0.25">
      <c r="A2147" s="15"/>
      <c r="B2147" s="14"/>
    </row>
    <row r="2148" spans="1:2" hidden="1" x14ac:dyDescent="0.25">
      <c r="A2148" s="15"/>
      <c r="B2148" s="14"/>
    </row>
    <row r="2149" spans="1:2" hidden="1" x14ac:dyDescent="0.25">
      <c r="A2149" s="15"/>
      <c r="B2149" s="14"/>
    </row>
    <row r="2150" spans="1:2" hidden="1" x14ac:dyDescent="0.25">
      <c r="A2150" s="15"/>
      <c r="B2150" s="14"/>
    </row>
    <row r="2151" spans="1:2" hidden="1" x14ac:dyDescent="0.25">
      <c r="A2151" s="15"/>
      <c r="B2151" s="14"/>
    </row>
    <row r="2152" spans="1:2" hidden="1" x14ac:dyDescent="0.25">
      <c r="A2152" s="15"/>
      <c r="B2152" s="14"/>
    </row>
    <row r="2153" spans="1:2" hidden="1" x14ac:dyDescent="0.25">
      <c r="A2153" s="15"/>
      <c r="B2153" s="14"/>
    </row>
    <row r="2154" spans="1:2" hidden="1" x14ac:dyDescent="0.25">
      <c r="A2154" s="15"/>
      <c r="B2154" s="14"/>
    </row>
    <row r="2155" spans="1:2" hidden="1" x14ac:dyDescent="0.25">
      <c r="A2155" s="15"/>
      <c r="B2155" s="14"/>
    </row>
    <row r="2156" spans="1:2" hidden="1" x14ac:dyDescent="0.25">
      <c r="A2156" s="15"/>
      <c r="B2156" s="14"/>
    </row>
    <row r="2157" spans="1:2" hidden="1" x14ac:dyDescent="0.25">
      <c r="A2157" s="15"/>
      <c r="B2157" s="14"/>
    </row>
    <row r="2158" spans="1:2" hidden="1" x14ac:dyDescent="0.25">
      <c r="A2158" s="15"/>
      <c r="B2158" s="14"/>
    </row>
    <row r="2159" spans="1:2" hidden="1" x14ac:dyDescent="0.25">
      <c r="A2159" s="15"/>
      <c r="B2159" s="14"/>
    </row>
    <row r="2160" spans="1:2" hidden="1" x14ac:dyDescent="0.25">
      <c r="A2160" s="15"/>
      <c r="B2160" s="14"/>
    </row>
    <row r="2161" spans="1:2" hidden="1" x14ac:dyDescent="0.25">
      <c r="A2161" s="15"/>
      <c r="B2161" s="14"/>
    </row>
    <row r="2162" spans="1:2" hidden="1" x14ac:dyDescent="0.25">
      <c r="A2162" s="15"/>
      <c r="B2162" s="14"/>
    </row>
    <row r="2163" spans="1:2" hidden="1" x14ac:dyDescent="0.25">
      <c r="A2163" s="15"/>
      <c r="B2163" s="14"/>
    </row>
    <row r="2164" spans="1:2" hidden="1" x14ac:dyDescent="0.25">
      <c r="A2164" s="15"/>
      <c r="B2164" s="14"/>
    </row>
    <row r="2165" spans="1:2" hidden="1" x14ac:dyDescent="0.25">
      <c r="A2165" s="15"/>
      <c r="B2165" s="14"/>
    </row>
    <row r="2166" spans="1:2" hidden="1" x14ac:dyDescent="0.25">
      <c r="A2166" s="15"/>
      <c r="B2166" s="14"/>
    </row>
    <row r="2167" spans="1:2" hidden="1" x14ac:dyDescent="0.25">
      <c r="A2167" s="15"/>
      <c r="B2167" s="14"/>
    </row>
    <row r="2168" spans="1:2" hidden="1" x14ac:dyDescent="0.25">
      <c r="A2168" s="15"/>
      <c r="B2168" s="14"/>
    </row>
    <row r="2169" spans="1:2" hidden="1" x14ac:dyDescent="0.25">
      <c r="A2169" s="15"/>
      <c r="B2169" s="14"/>
    </row>
    <row r="2170" spans="1:2" hidden="1" x14ac:dyDescent="0.25">
      <c r="A2170" s="15"/>
      <c r="B2170" s="14"/>
    </row>
    <row r="2171" spans="1:2" hidden="1" x14ac:dyDescent="0.25">
      <c r="A2171" s="15"/>
      <c r="B2171" s="14"/>
    </row>
    <row r="2172" spans="1:2" hidden="1" x14ac:dyDescent="0.25">
      <c r="A2172" s="15"/>
      <c r="B2172" s="14"/>
    </row>
    <row r="2173" spans="1:2" hidden="1" x14ac:dyDescent="0.25">
      <c r="A2173" s="15"/>
      <c r="B2173" s="14"/>
    </row>
    <row r="2174" spans="1:2" hidden="1" x14ac:dyDescent="0.25">
      <c r="A2174" s="15"/>
      <c r="B2174" s="14"/>
    </row>
    <row r="2175" spans="1:2" hidden="1" x14ac:dyDescent="0.25">
      <c r="A2175" s="15"/>
      <c r="B2175" s="14"/>
    </row>
    <row r="2176" spans="1:2" hidden="1" x14ac:dyDescent="0.25">
      <c r="A2176" s="15"/>
      <c r="B2176" s="14"/>
    </row>
    <row r="2177" spans="1:2" hidden="1" x14ac:dyDescent="0.25">
      <c r="A2177" s="15"/>
      <c r="B2177" s="14"/>
    </row>
    <row r="2178" spans="1:2" hidden="1" x14ac:dyDescent="0.25">
      <c r="A2178" s="15"/>
      <c r="B2178" s="14"/>
    </row>
    <row r="2179" spans="1:2" hidden="1" x14ac:dyDescent="0.25">
      <c r="A2179" s="15"/>
      <c r="B2179" s="14"/>
    </row>
    <row r="2180" spans="1:2" hidden="1" x14ac:dyDescent="0.25">
      <c r="A2180" s="15"/>
      <c r="B2180" s="14"/>
    </row>
    <row r="2181" spans="1:2" hidden="1" x14ac:dyDescent="0.25">
      <c r="A2181" s="15"/>
      <c r="B2181" s="14"/>
    </row>
    <row r="2182" spans="1:2" hidden="1" x14ac:dyDescent="0.25">
      <c r="A2182" s="15"/>
      <c r="B2182" s="14"/>
    </row>
    <row r="2183" spans="1:2" hidden="1" x14ac:dyDescent="0.25">
      <c r="A2183" s="15"/>
      <c r="B2183" s="14"/>
    </row>
    <row r="2184" spans="1:2" hidden="1" x14ac:dyDescent="0.25">
      <c r="A2184" s="15"/>
      <c r="B2184" s="14"/>
    </row>
    <row r="2185" spans="1:2" hidden="1" x14ac:dyDescent="0.25">
      <c r="A2185" s="15"/>
      <c r="B2185" s="14"/>
    </row>
    <row r="2186" spans="1:2" hidden="1" x14ac:dyDescent="0.25">
      <c r="A2186" s="15"/>
      <c r="B2186" s="14"/>
    </row>
    <row r="2187" spans="1:2" hidden="1" x14ac:dyDescent="0.25">
      <c r="A2187" s="15"/>
      <c r="B2187" s="14"/>
    </row>
    <row r="2188" spans="1:2" hidden="1" x14ac:dyDescent="0.25">
      <c r="A2188" s="15"/>
      <c r="B2188" s="14"/>
    </row>
    <row r="2189" spans="1:2" hidden="1" x14ac:dyDescent="0.25">
      <c r="A2189" s="15"/>
      <c r="B2189" s="14"/>
    </row>
    <row r="2190" spans="1:2" hidden="1" x14ac:dyDescent="0.25">
      <c r="A2190" s="15"/>
      <c r="B2190" s="14"/>
    </row>
    <row r="2191" spans="1:2" hidden="1" x14ac:dyDescent="0.25">
      <c r="A2191" s="15"/>
      <c r="B2191" s="14"/>
    </row>
    <row r="2192" spans="1:2" hidden="1" x14ac:dyDescent="0.25">
      <c r="A2192" s="15"/>
      <c r="B2192" s="14"/>
    </row>
    <row r="2193" spans="1:2" hidden="1" x14ac:dyDescent="0.25">
      <c r="A2193" s="15"/>
      <c r="B2193" s="14"/>
    </row>
    <row r="2194" spans="1:2" hidden="1" x14ac:dyDescent="0.25">
      <c r="A2194" s="15"/>
      <c r="B2194" s="14"/>
    </row>
    <row r="2195" spans="1:2" hidden="1" x14ac:dyDescent="0.25">
      <c r="A2195" s="15"/>
      <c r="B2195" s="14"/>
    </row>
    <row r="2196" spans="1:2" hidden="1" x14ac:dyDescent="0.25">
      <c r="A2196" s="15"/>
      <c r="B2196" s="14"/>
    </row>
    <row r="2197" spans="1:2" hidden="1" x14ac:dyDescent="0.25">
      <c r="A2197" s="15"/>
      <c r="B2197" s="14"/>
    </row>
    <row r="2198" spans="1:2" hidden="1" x14ac:dyDescent="0.25">
      <c r="A2198" s="15"/>
      <c r="B2198" s="14"/>
    </row>
    <row r="2199" spans="1:2" hidden="1" x14ac:dyDescent="0.25">
      <c r="A2199" s="15"/>
      <c r="B2199" s="14"/>
    </row>
    <row r="2200" spans="1:2" hidden="1" x14ac:dyDescent="0.25">
      <c r="A2200" s="15"/>
      <c r="B2200" s="14"/>
    </row>
    <row r="2201" spans="1:2" hidden="1" x14ac:dyDescent="0.25">
      <c r="A2201" s="15"/>
      <c r="B2201" s="14"/>
    </row>
    <row r="2202" spans="1:2" hidden="1" x14ac:dyDescent="0.25">
      <c r="A2202" s="15"/>
      <c r="B2202" s="14"/>
    </row>
    <row r="2203" spans="1:2" hidden="1" x14ac:dyDescent="0.25">
      <c r="A2203" s="15"/>
      <c r="B2203" s="14"/>
    </row>
    <row r="2204" spans="1:2" hidden="1" x14ac:dyDescent="0.25">
      <c r="A2204" s="15"/>
      <c r="B2204" s="14"/>
    </row>
    <row r="2205" spans="1:2" hidden="1" x14ac:dyDescent="0.25">
      <c r="A2205" s="15"/>
      <c r="B2205" s="14"/>
    </row>
    <row r="2206" spans="1:2" hidden="1" x14ac:dyDescent="0.25">
      <c r="A2206" s="15"/>
      <c r="B2206" s="14"/>
    </row>
    <row r="2207" spans="1:2" hidden="1" x14ac:dyDescent="0.25">
      <c r="A2207" s="15"/>
      <c r="B2207" s="14"/>
    </row>
    <row r="2208" spans="1:2" hidden="1" x14ac:dyDescent="0.25">
      <c r="A2208" s="15"/>
      <c r="B2208" s="14"/>
    </row>
    <row r="2209" spans="1:2" hidden="1" x14ac:dyDescent="0.25">
      <c r="A2209" s="15"/>
      <c r="B2209" s="14"/>
    </row>
    <row r="2210" spans="1:2" hidden="1" x14ac:dyDescent="0.25">
      <c r="A2210" s="15"/>
      <c r="B2210" s="14"/>
    </row>
    <row r="2211" spans="1:2" hidden="1" x14ac:dyDescent="0.25">
      <c r="A2211" s="15"/>
      <c r="B2211" s="14"/>
    </row>
    <row r="2212" spans="1:2" hidden="1" x14ac:dyDescent="0.25">
      <c r="A2212" s="15"/>
      <c r="B2212" s="14"/>
    </row>
    <row r="2213" spans="1:2" hidden="1" x14ac:dyDescent="0.25">
      <c r="A2213" s="15"/>
      <c r="B2213" s="14"/>
    </row>
    <row r="2214" spans="1:2" hidden="1" x14ac:dyDescent="0.25">
      <c r="A2214" s="15"/>
      <c r="B2214" s="14"/>
    </row>
    <row r="2215" spans="1:2" hidden="1" x14ac:dyDescent="0.25">
      <c r="A2215" s="15"/>
      <c r="B2215" s="14"/>
    </row>
    <row r="2216" spans="1:2" hidden="1" x14ac:dyDescent="0.25">
      <c r="A2216" s="15"/>
      <c r="B2216" s="14"/>
    </row>
    <row r="2217" spans="1:2" hidden="1" x14ac:dyDescent="0.25">
      <c r="A2217" s="15"/>
      <c r="B2217" s="14"/>
    </row>
    <row r="2218" spans="1:2" hidden="1" x14ac:dyDescent="0.25">
      <c r="A2218" s="15"/>
      <c r="B2218" s="14"/>
    </row>
    <row r="2219" spans="1:2" hidden="1" x14ac:dyDescent="0.25">
      <c r="A2219" s="15"/>
      <c r="B2219" s="14"/>
    </row>
    <row r="2220" spans="1:2" hidden="1" x14ac:dyDescent="0.25">
      <c r="A2220" s="15"/>
      <c r="B2220" s="14"/>
    </row>
    <row r="2221" spans="1:2" hidden="1" x14ac:dyDescent="0.25">
      <c r="A2221" s="15"/>
      <c r="B2221" s="14"/>
    </row>
    <row r="2222" spans="1:2" hidden="1" x14ac:dyDescent="0.25">
      <c r="A2222" s="15"/>
      <c r="B2222" s="14"/>
    </row>
    <row r="2223" spans="1:2" hidden="1" x14ac:dyDescent="0.25">
      <c r="A2223" s="15"/>
      <c r="B2223" s="14"/>
    </row>
    <row r="2224" spans="1:2" hidden="1" x14ac:dyDescent="0.25">
      <c r="A2224" s="15"/>
      <c r="B2224" s="14"/>
    </row>
    <row r="2225" spans="1:2" hidden="1" x14ac:dyDescent="0.25">
      <c r="A2225" s="15"/>
      <c r="B2225" s="14"/>
    </row>
    <row r="2226" spans="1:2" hidden="1" x14ac:dyDescent="0.25">
      <c r="A2226" s="15"/>
      <c r="B2226" s="14"/>
    </row>
    <row r="2227" spans="1:2" hidden="1" x14ac:dyDescent="0.25">
      <c r="A2227" s="15"/>
      <c r="B2227" s="14"/>
    </row>
    <row r="2228" spans="1:2" hidden="1" x14ac:dyDescent="0.25">
      <c r="A2228" s="15"/>
      <c r="B2228" s="14"/>
    </row>
    <row r="2229" spans="1:2" hidden="1" x14ac:dyDescent="0.25">
      <c r="A2229" s="15"/>
      <c r="B2229" s="14"/>
    </row>
    <row r="2230" spans="1:2" hidden="1" x14ac:dyDescent="0.25">
      <c r="A2230" s="15"/>
      <c r="B2230" s="14"/>
    </row>
    <row r="2231" spans="1:2" hidden="1" x14ac:dyDescent="0.25">
      <c r="A2231" s="15"/>
      <c r="B2231" s="14"/>
    </row>
    <row r="2232" spans="1:2" hidden="1" x14ac:dyDescent="0.25">
      <c r="A2232" s="15"/>
      <c r="B2232" s="14"/>
    </row>
    <row r="2233" spans="1:2" hidden="1" x14ac:dyDescent="0.25">
      <c r="A2233" s="15"/>
      <c r="B2233" s="14"/>
    </row>
    <row r="2234" spans="1:2" hidden="1" x14ac:dyDescent="0.25">
      <c r="A2234" s="15"/>
      <c r="B2234" s="14"/>
    </row>
    <row r="2235" spans="1:2" hidden="1" x14ac:dyDescent="0.25">
      <c r="A2235" s="15"/>
      <c r="B2235" s="14"/>
    </row>
    <row r="2236" spans="1:2" hidden="1" x14ac:dyDescent="0.25">
      <c r="A2236" s="15"/>
      <c r="B2236" s="14"/>
    </row>
    <row r="2237" spans="1:2" hidden="1" x14ac:dyDescent="0.25">
      <c r="A2237" s="15"/>
      <c r="B2237" s="14"/>
    </row>
    <row r="2238" spans="1:2" hidden="1" x14ac:dyDescent="0.25">
      <c r="A2238" s="15"/>
      <c r="B2238" s="14"/>
    </row>
    <row r="2239" spans="1:2" hidden="1" x14ac:dyDescent="0.25">
      <c r="A2239" s="15"/>
      <c r="B2239" s="14"/>
    </row>
    <row r="2240" spans="1:2" hidden="1" x14ac:dyDescent="0.25">
      <c r="A2240" s="15"/>
      <c r="B2240" s="14"/>
    </row>
    <row r="2241" spans="1:2" hidden="1" x14ac:dyDescent="0.25">
      <c r="A2241" s="15"/>
      <c r="B2241" s="14"/>
    </row>
    <row r="2242" spans="1:2" hidden="1" x14ac:dyDescent="0.25">
      <c r="A2242" s="15"/>
      <c r="B2242" s="14"/>
    </row>
    <row r="2243" spans="1:2" hidden="1" x14ac:dyDescent="0.25">
      <c r="A2243" s="15"/>
      <c r="B2243" s="14"/>
    </row>
    <row r="2244" spans="1:2" hidden="1" x14ac:dyDescent="0.25">
      <c r="A2244" s="15"/>
      <c r="B2244" s="14"/>
    </row>
    <row r="2245" spans="1:2" hidden="1" x14ac:dyDescent="0.25">
      <c r="A2245" s="15"/>
      <c r="B2245" s="14"/>
    </row>
    <row r="2246" spans="1:2" hidden="1" x14ac:dyDescent="0.25">
      <c r="A2246" s="15"/>
      <c r="B2246" s="14"/>
    </row>
    <row r="2247" spans="1:2" hidden="1" x14ac:dyDescent="0.25">
      <c r="A2247" s="15"/>
      <c r="B2247" s="14"/>
    </row>
    <row r="2248" spans="1:2" hidden="1" x14ac:dyDescent="0.25">
      <c r="A2248" s="15"/>
      <c r="B2248" s="14"/>
    </row>
    <row r="2249" spans="1:2" hidden="1" x14ac:dyDescent="0.25">
      <c r="A2249" s="15"/>
      <c r="B2249" s="14"/>
    </row>
    <row r="2250" spans="1:2" hidden="1" x14ac:dyDescent="0.25">
      <c r="A2250" s="15"/>
      <c r="B2250" s="14"/>
    </row>
    <row r="2251" spans="1:2" hidden="1" x14ac:dyDescent="0.25">
      <c r="A2251" s="15"/>
      <c r="B2251" s="14"/>
    </row>
    <row r="2252" spans="1:2" hidden="1" x14ac:dyDescent="0.25">
      <c r="A2252" s="15"/>
      <c r="B2252" s="14"/>
    </row>
    <row r="2253" spans="1:2" hidden="1" x14ac:dyDescent="0.25">
      <c r="A2253" s="15"/>
      <c r="B2253" s="14"/>
    </row>
    <row r="2254" spans="1:2" hidden="1" x14ac:dyDescent="0.25">
      <c r="A2254" s="15"/>
      <c r="B2254" s="14"/>
    </row>
    <row r="2255" spans="1:2" hidden="1" x14ac:dyDescent="0.25">
      <c r="A2255" s="15"/>
      <c r="B2255" s="14"/>
    </row>
    <row r="2256" spans="1:2" hidden="1" x14ac:dyDescent="0.25">
      <c r="A2256" s="15"/>
      <c r="B2256" s="14"/>
    </row>
    <row r="2257" spans="1:2" hidden="1" x14ac:dyDescent="0.25">
      <c r="A2257" s="15"/>
      <c r="B2257" s="14"/>
    </row>
    <row r="2258" spans="1:2" hidden="1" x14ac:dyDescent="0.25">
      <c r="A2258" s="15"/>
      <c r="B2258" s="14"/>
    </row>
    <row r="2259" spans="1:2" hidden="1" x14ac:dyDescent="0.25">
      <c r="A2259" s="15"/>
      <c r="B2259" s="14"/>
    </row>
    <row r="2260" spans="1:2" hidden="1" x14ac:dyDescent="0.25">
      <c r="A2260" s="15"/>
      <c r="B2260" s="14"/>
    </row>
    <row r="2261" spans="1:2" hidden="1" x14ac:dyDescent="0.25">
      <c r="A2261" s="15"/>
      <c r="B2261" s="14"/>
    </row>
    <row r="2262" spans="1:2" hidden="1" x14ac:dyDescent="0.25">
      <c r="A2262" s="15"/>
      <c r="B2262" s="14"/>
    </row>
    <row r="2263" spans="1:2" hidden="1" x14ac:dyDescent="0.25">
      <c r="A2263" s="15"/>
      <c r="B2263" s="14"/>
    </row>
    <row r="2264" spans="1:2" hidden="1" x14ac:dyDescent="0.25">
      <c r="A2264" s="15"/>
      <c r="B2264" s="14"/>
    </row>
    <row r="2265" spans="1:2" hidden="1" x14ac:dyDescent="0.25">
      <c r="A2265" s="15"/>
      <c r="B2265" s="14"/>
    </row>
    <row r="2266" spans="1:2" hidden="1" x14ac:dyDescent="0.25">
      <c r="A2266" s="15"/>
      <c r="B2266" s="14"/>
    </row>
    <row r="2267" spans="1:2" hidden="1" x14ac:dyDescent="0.25">
      <c r="A2267" s="15"/>
      <c r="B2267" s="14"/>
    </row>
    <row r="2268" spans="1:2" hidden="1" x14ac:dyDescent="0.25">
      <c r="A2268" s="15"/>
      <c r="B2268" s="14"/>
    </row>
    <row r="2269" spans="1:2" hidden="1" x14ac:dyDescent="0.25">
      <c r="A2269" s="15"/>
      <c r="B2269" s="14"/>
    </row>
    <row r="2270" spans="1:2" hidden="1" x14ac:dyDescent="0.25">
      <c r="A2270" s="15"/>
      <c r="B2270" s="14"/>
    </row>
    <row r="2271" spans="1:2" hidden="1" x14ac:dyDescent="0.25">
      <c r="A2271" s="15"/>
      <c r="B2271" s="14"/>
    </row>
    <row r="2272" spans="1:2" hidden="1" x14ac:dyDescent="0.25">
      <c r="A2272" s="15"/>
      <c r="B2272" s="14"/>
    </row>
    <row r="2273" spans="1:2" hidden="1" x14ac:dyDescent="0.25">
      <c r="A2273" s="15"/>
      <c r="B2273" s="14"/>
    </row>
    <row r="2274" spans="1:2" hidden="1" x14ac:dyDescent="0.25">
      <c r="A2274" s="15"/>
      <c r="B2274" s="14"/>
    </row>
    <row r="2275" spans="1:2" hidden="1" x14ac:dyDescent="0.25">
      <c r="A2275" s="15"/>
      <c r="B2275" s="14"/>
    </row>
    <row r="2276" spans="1:2" hidden="1" x14ac:dyDescent="0.25">
      <c r="A2276" s="15"/>
      <c r="B2276" s="14"/>
    </row>
    <row r="2277" spans="1:2" hidden="1" x14ac:dyDescent="0.25">
      <c r="A2277" s="15"/>
      <c r="B2277" s="14"/>
    </row>
    <row r="2278" spans="1:2" hidden="1" x14ac:dyDescent="0.25">
      <c r="A2278" s="15"/>
      <c r="B2278" s="14"/>
    </row>
    <row r="2279" spans="1:2" hidden="1" x14ac:dyDescent="0.25">
      <c r="A2279" s="15"/>
      <c r="B2279" s="14"/>
    </row>
    <row r="2280" spans="1:2" hidden="1" x14ac:dyDescent="0.25">
      <c r="A2280" s="15"/>
      <c r="B2280" s="14"/>
    </row>
    <row r="2281" spans="1:2" hidden="1" x14ac:dyDescent="0.25">
      <c r="A2281" s="15"/>
      <c r="B2281" s="14"/>
    </row>
    <row r="2282" spans="1:2" hidden="1" x14ac:dyDescent="0.25">
      <c r="A2282" s="15"/>
      <c r="B2282" s="14"/>
    </row>
    <row r="2283" spans="1:2" hidden="1" x14ac:dyDescent="0.25">
      <c r="A2283" s="15"/>
      <c r="B2283" s="14"/>
    </row>
    <row r="2284" spans="1:2" hidden="1" x14ac:dyDescent="0.25">
      <c r="A2284" s="15"/>
      <c r="B2284" s="14"/>
    </row>
    <row r="2285" spans="1:2" hidden="1" x14ac:dyDescent="0.25">
      <c r="A2285" s="15"/>
      <c r="B2285" s="14"/>
    </row>
    <row r="2286" spans="1:2" hidden="1" x14ac:dyDescent="0.25">
      <c r="A2286" s="15"/>
      <c r="B2286" s="14"/>
    </row>
    <row r="2287" spans="1:2" hidden="1" x14ac:dyDescent="0.25">
      <c r="A2287" s="15"/>
      <c r="B2287" s="14"/>
    </row>
    <row r="2288" spans="1:2" hidden="1" x14ac:dyDescent="0.25">
      <c r="A2288" s="15"/>
      <c r="B2288" s="14"/>
    </row>
    <row r="2289" spans="1:2" hidden="1" x14ac:dyDescent="0.25">
      <c r="A2289" s="15"/>
      <c r="B2289" s="14"/>
    </row>
    <row r="2290" spans="1:2" hidden="1" x14ac:dyDescent="0.25">
      <c r="A2290" s="15"/>
      <c r="B2290" s="14"/>
    </row>
    <row r="2291" spans="1:2" hidden="1" x14ac:dyDescent="0.25">
      <c r="A2291" s="15"/>
      <c r="B2291" s="14"/>
    </row>
    <row r="2292" spans="1:2" hidden="1" x14ac:dyDescent="0.25">
      <c r="A2292" s="15"/>
      <c r="B2292" s="14"/>
    </row>
    <row r="2293" spans="1:2" hidden="1" x14ac:dyDescent="0.25">
      <c r="A2293" s="15"/>
      <c r="B2293" s="14"/>
    </row>
    <row r="2294" spans="1:2" hidden="1" x14ac:dyDescent="0.25">
      <c r="A2294" s="15"/>
      <c r="B2294" s="14"/>
    </row>
    <row r="2295" spans="1:2" hidden="1" x14ac:dyDescent="0.25">
      <c r="A2295" s="15"/>
      <c r="B2295" s="14"/>
    </row>
    <row r="2296" spans="1:2" hidden="1" x14ac:dyDescent="0.25">
      <c r="A2296" s="15"/>
      <c r="B2296" s="14"/>
    </row>
    <row r="2297" spans="1:2" hidden="1" x14ac:dyDescent="0.25">
      <c r="A2297" s="15"/>
      <c r="B2297" s="14"/>
    </row>
    <row r="2298" spans="1:2" hidden="1" x14ac:dyDescent="0.25">
      <c r="A2298" s="15"/>
      <c r="B2298" s="14"/>
    </row>
    <row r="2299" spans="1:2" hidden="1" x14ac:dyDescent="0.25">
      <c r="A2299" s="15"/>
      <c r="B2299" s="14"/>
    </row>
    <row r="2300" spans="1:2" hidden="1" x14ac:dyDescent="0.25">
      <c r="A2300" s="15"/>
      <c r="B2300" s="14"/>
    </row>
    <row r="2301" spans="1:2" hidden="1" x14ac:dyDescent="0.25">
      <c r="A2301" s="15"/>
      <c r="B2301" s="14"/>
    </row>
    <row r="2302" spans="1:2" hidden="1" x14ac:dyDescent="0.25">
      <c r="A2302" s="15"/>
      <c r="B2302" s="14"/>
    </row>
    <row r="2303" spans="1:2" hidden="1" x14ac:dyDescent="0.25">
      <c r="A2303" s="15"/>
      <c r="B2303" s="14"/>
    </row>
    <row r="2304" spans="1:2" hidden="1" x14ac:dyDescent="0.25">
      <c r="A2304" s="15"/>
      <c r="B2304" s="14"/>
    </row>
    <row r="2305" spans="1:2" hidden="1" x14ac:dyDescent="0.25">
      <c r="A2305" s="15"/>
      <c r="B2305" s="14"/>
    </row>
    <row r="2306" spans="1:2" hidden="1" x14ac:dyDescent="0.25">
      <c r="A2306" s="15"/>
      <c r="B2306" s="14"/>
    </row>
    <row r="2307" spans="1:2" hidden="1" x14ac:dyDescent="0.25">
      <c r="A2307" s="15"/>
      <c r="B2307" s="14"/>
    </row>
    <row r="2308" spans="1:2" hidden="1" x14ac:dyDescent="0.25">
      <c r="A2308" s="15"/>
      <c r="B2308" s="14"/>
    </row>
    <row r="2309" spans="1:2" hidden="1" x14ac:dyDescent="0.25">
      <c r="A2309" s="15"/>
      <c r="B2309" s="14"/>
    </row>
    <row r="2310" spans="1:2" hidden="1" x14ac:dyDescent="0.25">
      <c r="A2310" s="15"/>
      <c r="B2310" s="14"/>
    </row>
    <row r="2311" spans="1:2" hidden="1" x14ac:dyDescent="0.25">
      <c r="A2311" s="15"/>
      <c r="B2311" s="14"/>
    </row>
    <row r="2312" spans="1:2" hidden="1" x14ac:dyDescent="0.25">
      <c r="A2312" s="15"/>
      <c r="B2312" s="14"/>
    </row>
    <row r="2313" spans="1:2" hidden="1" x14ac:dyDescent="0.25">
      <c r="A2313" s="15"/>
      <c r="B2313" s="14"/>
    </row>
    <row r="2314" spans="1:2" hidden="1" x14ac:dyDescent="0.25">
      <c r="A2314" s="15"/>
      <c r="B2314" s="14"/>
    </row>
    <row r="2315" spans="1:2" hidden="1" x14ac:dyDescent="0.25">
      <c r="A2315" s="15"/>
      <c r="B2315" s="14"/>
    </row>
    <row r="2316" spans="1:2" hidden="1" x14ac:dyDescent="0.25">
      <c r="A2316" s="15"/>
      <c r="B2316" s="14"/>
    </row>
    <row r="2317" spans="1:2" hidden="1" x14ac:dyDescent="0.25">
      <c r="A2317" s="15"/>
      <c r="B2317" s="14"/>
    </row>
    <row r="2318" spans="1:2" hidden="1" x14ac:dyDescent="0.25">
      <c r="A2318" s="15"/>
      <c r="B2318" s="14"/>
    </row>
    <row r="2319" spans="1:2" hidden="1" x14ac:dyDescent="0.25">
      <c r="A2319" s="15"/>
      <c r="B2319" s="14"/>
    </row>
    <row r="2320" spans="1:2" hidden="1" x14ac:dyDescent="0.25">
      <c r="A2320" s="15"/>
      <c r="B2320" s="14"/>
    </row>
    <row r="2321" spans="1:2" hidden="1" x14ac:dyDescent="0.25">
      <c r="A2321" s="15"/>
      <c r="B2321" s="14"/>
    </row>
    <row r="2322" spans="1:2" hidden="1" x14ac:dyDescent="0.25">
      <c r="A2322" s="15"/>
      <c r="B2322" s="14"/>
    </row>
    <row r="2323" spans="1:2" hidden="1" x14ac:dyDescent="0.25">
      <c r="A2323" s="15"/>
      <c r="B2323" s="14"/>
    </row>
    <row r="2324" spans="1:2" hidden="1" x14ac:dyDescent="0.25">
      <c r="A2324" s="15"/>
      <c r="B2324" s="14"/>
    </row>
    <row r="2325" spans="1:2" hidden="1" x14ac:dyDescent="0.25">
      <c r="A2325" s="15"/>
      <c r="B2325" s="14"/>
    </row>
    <row r="2326" spans="1:2" hidden="1" x14ac:dyDescent="0.25">
      <c r="A2326" s="15"/>
      <c r="B2326" s="14"/>
    </row>
    <row r="2327" spans="1:2" hidden="1" x14ac:dyDescent="0.25">
      <c r="A2327" s="15"/>
      <c r="B2327" s="14"/>
    </row>
    <row r="2328" spans="1:2" hidden="1" x14ac:dyDescent="0.25">
      <c r="A2328" s="15"/>
      <c r="B2328" s="14"/>
    </row>
    <row r="2329" spans="1:2" hidden="1" x14ac:dyDescent="0.25">
      <c r="A2329" s="15"/>
      <c r="B2329" s="14"/>
    </row>
    <row r="2330" spans="1:2" hidden="1" x14ac:dyDescent="0.25">
      <c r="A2330" s="15"/>
      <c r="B2330" s="14"/>
    </row>
    <row r="2331" spans="1:2" hidden="1" x14ac:dyDescent="0.25">
      <c r="A2331" s="15"/>
      <c r="B2331" s="14"/>
    </row>
    <row r="2332" spans="1:2" hidden="1" x14ac:dyDescent="0.25">
      <c r="A2332" s="15"/>
      <c r="B2332" s="14"/>
    </row>
    <row r="2333" spans="1:2" hidden="1" x14ac:dyDescent="0.25">
      <c r="A2333" s="15"/>
      <c r="B2333" s="14"/>
    </row>
    <row r="2334" spans="1:2" hidden="1" x14ac:dyDescent="0.25">
      <c r="A2334" s="15"/>
      <c r="B2334" s="14"/>
    </row>
    <row r="2335" spans="1:2" hidden="1" x14ac:dyDescent="0.25">
      <c r="A2335" s="15"/>
      <c r="B2335" s="14"/>
    </row>
    <row r="2336" spans="1:2" hidden="1" x14ac:dyDescent="0.25">
      <c r="A2336" s="15"/>
      <c r="B2336" s="14"/>
    </row>
    <row r="2337" spans="1:2" hidden="1" x14ac:dyDescent="0.25">
      <c r="A2337" s="15"/>
      <c r="B2337" s="14"/>
    </row>
    <row r="2338" spans="1:2" hidden="1" x14ac:dyDescent="0.25">
      <c r="A2338" s="15"/>
      <c r="B2338" s="14"/>
    </row>
    <row r="2339" spans="1:2" hidden="1" x14ac:dyDescent="0.25">
      <c r="A2339" s="15"/>
      <c r="B2339" s="14"/>
    </row>
    <row r="2340" spans="1:2" hidden="1" x14ac:dyDescent="0.25">
      <c r="A2340" s="15"/>
      <c r="B2340" s="14"/>
    </row>
    <row r="2341" spans="1:2" hidden="1" x14ac:dyDescent="0.25">
      <c r="A2341" s="15"/>
      <c r="B2341" s="14"/>
    </row>
    <row r="2342" spans="1:2" hidden="1" x14ac:dyDescent="0.25">
      <c r="A2342" s="15"/>
      <c r="B2342" s="14"/>
    </row>
    <row r="2343" spans="1:2" hidden="1" x14ac:dyDescent="0.25">
      <c r="A2343" s="15"/>
      <c r="B2343" s="14"/>
    </row>
    <row r="2344" spans="1:2" hidden="1" x14ac:dyDescent="0.25">
      <c r="A2344" s="15"/>
      <c r="B2344" s="14"/>
    </row>
    <row r="2345" spans="1:2" hidden="1" x14ac:dyDescent="0.25">
      <c r="A2345" s="15"/>
      <c r="B2345" s="14"/>
    </row>
    <row r="2346" spans="1:2" hidden="1" x14ac:dyDescent="0.25">
      <c r="A2346" s="15"/>
      <c r="B2346" s="14"/>
    </row>
    <row r="2347" spans="1:2" hidden="1" x14ac:dyDescent="0.25">
      <c r="A2347" s="15"/>
      <c r="B2347" s="14"/>
    </row>
    <row r="2348" spans="1:2" hidden="1" x14ac:dyDescent="0.25">
      <c r="A2348" s="15"/>
      <c r="B2348" s="14"/>
    </row>
    <row r="2349" spans="1:2" hidden="1" x14ac:dyDescent="0.25">
      <c r="A2349" s="15"/>
      <c r="B2349" s="14"/>
    </row>
    <row r="2350" spans="1:2" hidden="1" x14ac:dyDescent="0.25">
      <c r="A2350" s="15"/>
      <c r="B2350" s="14"/>
    </row>
    <row r="2351" spans="1:2" hidden="1" x14ac:dyDescent="0.25">
      <c r="A2351" s="15"/>
      <c r="B2351" s="14"/>
    </row>
    <row r="2352" spans="1:2" hidden="1" x14ac:dyDescent="0.25">
      <c r="A2352" s="15"/>
      <c r="B2352" s="14"/>
    </row>
    <row r="2353" spans="1:2" hidden="1" x14ac:dyDescent="0.25">
      <c r="A2353" s="15"/>
      <c r="B2353" s="14"/>
    </row>
    <row r="2354" spans="1:2" hidden="1" x14ac:dyDescent="0.25">
      <c r="A2354" s="15"/>
      <c r="B2354" s="14"/>
    </row>
    <row r="2355" spans="1:2" hidden="1" x14ac:dyDescent="0.25">
      <c r="A2355" s="15"/>
      <c r="B2355" s="14"/>
    </row>
    <row r="2356" spans="1:2" hidden="1" x14ac:dyDescent="0.25">
      <c r="A2356" s="15"/>
      <c r="B2356" s="14"/>
    </row>
    <row r="2357" spans="1:2" hidden="1" x14ac:dyDescent="0.25">
      <c r="A2357" s="15"/>
      <c r="B2357" s="14"/>
    </row>
    <row r="2358" spans="1:2" hidden="1" x14ac:dyDescent="0.25">
      <c r="A2358" s="15"/>
      <c r="B2358" s="14"/>
    </row>
    <row r="2359" spans="1:2" hidden="1" x14ac:dyDescent="0.25">
      <c r="A2359" s="15"/>
      <c r="B2359" s="14"/>
    </row>
    <row r="2360" spans="1:2" hidden="1" x14ac:dyDescent="0.25">
      <c r="A2360" s="15"/>
      <c r="B2360" s="14"/>
    </row>
    <row r="2361" spans="1:2" hidden="1" x14ac:dyDescent="0.25">
      <c r="A2361" s="15"/>
      <c r="B2361" s="14"/>
    </row>
    <row r="2362" spans="1:2" hidden="1" x14ac:dyDescent="0.25">
      <c r="A2362" s="15"/>
      <c r="B2362" s="14"/>
    </row>
    <row r="2363" spans="1:2" hidden="1" x14ac:dyDescent="0.25">
      <c r="A2363" s="15"/>
      <c r="B2363" s="14"/>
    </row>
    <row r="2364" spans="1:2" hidden="1" x14ac:dyDescent="0.25">
      <c r="A2364" s="15"/>
      <c r="B2364" s="14"/>
    </row>
    <row r="2365" spans="1:2" hidden="1" x14ac:dyDescent="0.25">
      <c r="A2365" s="15"/>
      <c r="B2365" s="14"/>
    </row>
    <row r="2366" spans="1:2" hidden="1" x14ac:dyDescent="0.25">
      <c r="A2366" s="15"/>
      <c r="B2366" s="14"/>
    </row>
    <row r="2367" spans="1:2" hidden="1" x14ac:dyDescent="0.25">
      <c r="A2367" s="15"/>
      <c r="B2367" s="14"/>
    </row>
    <row r="2368" spans="1:2" hidden="1" x14ac:dyDescent="0.25">
      <c r="A2368" s="15"/>
      <c r="B2368" s="14"/>
    </row>
    <row r="2369" spans="1:2" hidden="1" x14ac:dyDescent="0.25">
      <c r="A2369" s="15"/>
      <c r="B2369" s="14"/>
    </row>
    <row r="2370" spans="1:2" hidden="1" x14ac:dyDescent="0.25">
      <c r="A2370" s="15"/>
      <c r="B2370" s="14"/>
    </row>
    <row r="2371" spans="1:2" hidden="1" x14ac:dyDescent="0.25">
      <c r="A2371" s="15"/>
      <c r="B2371" s="14"/>
    </row>
    <row r="2372" spans="1:2" hidden="1" x14ac:dyDescent="0.25">
      <c r="A2372" s="15"/>
      <c r="B2372" s="14"/>
    </row>
    <row r="2373" spans="1:2" hidden="1" x14ac:dyDescent="0.25">
      <c r="A2373" s="15"/>
      <c r="B2373" s="14"/>
    </row>
    <row r="2374" spans="1:2" hidden="1" x14ac:dyDescent="0.25">
      <c r="A2374" s="15"/>
      <c r="B2374" s="14"/>
    </row>
    <row r="2375" spans="1:2" hidden="1" x14ac:dyDescent="0.25">
      <c r="A2375" s="15"/>
      <c r="B2375" s="14"/>
    </row>
    <row r="2376" spans="1:2" hidden="1" x14ac:dyDescent="0.25">
      <c r="A2376" s="15"/>
      <c r="B2376" s="14"/>
    </row>
    <row r="2377" spans="1:2" hidden="1" x14ac:dyDescent="0.25">
      <c r="A2377" s="15"/>
      <c r="B2377" s="14"/>
    </row>
    <row r="2378" spans="1:2" hidden="1" x14ac:dyDescent="0.25">
      <c r="A2378" s="15"/>
      <c r="B2378" s="14"/>
    </row>
    <row r="2379" spans="1:2" hidden="1" x14ac:dyDescent="0.25">
      <c r="A2379" s="15"/>
      <c r="B2379" s="14"/>
    </row>
    <row r="2380" spans="1:2" hidden="1" x14ac:dyDescent="0.25">
      <c r="A2380" s="15"/>
      <c r="B2380" s="14"/>
    </row>
    <row r="2381" spans="1:2" hidden="1" x14ac:dyDescent="0.25">
      <c r="A2381" s="15"/>
      <c r="B2381" s="14"/>
    </row>
    <row r="2382" spans="1:2" hidden="1" x14ac:dyDescent="0.25">
      <c r="A2382" s="15"/>
      <c r="B2382" s="14"/>
    </row>
    <row r="2383" spans="1:2" hidden="1" x14ac:dyDescent="0.25">
      <c r="A2383" s="15"/>
      <c r="B2383" s="14"/>
    </row>
    <row r="2384" spans="1:2" hidden="1" x14ac:dyDescent="0.25">
      <c r="A2384" s="15"/>
      <c r="B2384" s="14"/>
    </row>
    <row r="2385" spans="1:2" hidden="1" x14ac:dyDescent="0.25">
      <c r="A2385" s="15"/>
      <c r="B2385" s="14"/>
    </row>
    <row r="2386" spans="1:2" hidden="1" x14ac:dyDescent="0.25">
      <c r="A2386" s="15"/>
      <c r="B2386" s="14"/>
    </row>
    <row r="2387" spans="1:2" hidden="1" x14ac:dyDescent="0.25">
      <c r="A2387" s="15"/>
      <c r="B2387" s="14"/>
    </row>
    <row r="2388" spans="1:2" hidden="1" x14ac:dyDescent="0.25">
      <c r="A2388" s="15"/>
      <c r="B2388" s="14"/>
    </row>
    <row r="2389" spans="1:2" hidden="1" x14ac:dyDescent="0.25">
      <c r="A2389" s="15"/>
      <c r="B2389" s="14"/>
    </row>
    <row r="2390" spans="1:2" hidden="1" x14ac:dyDescent="0.25">
      <c r="A2390" s="15"/>
      <c r="B2390" s="14"/>
    </row>
    <row r="2391" spans="1:2" hidden="1" x14ac:dyDescent="0.25">
      <c r="A2391" s="15"/>
      <c r="B2391" s="14"/>
    </row>
    <row r="2392" spans="1:2" hidden="1" x14ac:dyDescent="0.25">
      <c r="A2392" s="15"/>
      <c r="B2392" s="14"/>
    </row>
    <row r="2393" spans="1:2" hidden="1" x14ac:dyDescent="0.25">
      <c r="A2393" s="15"/>
      <c r="B2393" s="14"/>
    </row>
    <row r="2394" spans="1:2" hidden="1" x14ac:dyDescent="0.25">
      <c r="A2394" s="15"/>
      <c r="B2394" s="14"/>
    </row>
    <row r="2395" spans="1:2" hidden="1" x14ac:dyDescent="0.25">
      <c r="A2395" s="15"/>
      <c r="B2395" s="14"/>
    </row>
    <row r="2396" spans="1:2" hidden="1" x14ac:dyDescent="0.25">
      <c r="A2396" s="15"/>
      <c r="B2396" s="14"/>
    </row>
    <row r="2397" spans="1:2" hidden="1" x14ac:dyDescent="0.25">
      <c r="A2397" s="15"/>
      <c r="B2397" s="14"/>
    </row>
    <row r="2398" spans="1:2" hidden="1" x14ac:dyDescent="0.25">
      <c r="A2398" s="15"/>
      <c r="B2398" s="14"/>
    </row>
    <row r="2399" spans="1:2" hidden="1" x14ac:dyDescent="0.25">
      <c r="A2399" s="15"/>
      <c r="B2399" s="14"/>
    </row>
    <row r="2400" spans="1:2" hidden="1" x14ac:dyDescent="0.25">
      <c r="A2400" s="15"/>
      <c r="B2400" s="14"/>
    </row>
    <row r="2401" spans="1:2" hidden="1" x14ac:dyDescent="0.25">
      <c r="A2401" s="15"/>
      <c r="B2401" s="14"/>
    </row>
    <row r="2402" spans="1:2" hidden="1" x14ac:dyDescent="0.25">
      <c r="A2402" s="15"/>
      <c r="B2402" s="14"/>
    </row>
    <row r="2403" spans="1:2" hidden="1" x14ac:dyDescent="0.25">
      <c r="A2403" s="15"/>
      <c r="B2403" s="14"/>
    </row>
    <row r="2404" spans="1:2" hidden="1" x14ac:dyDescent="0.25">
      <c r="A2404" s="15"/>
      <c r="B2404" s="14"/>
    </row>
    <row r="2405" spans="1:2" hidden="1" x14ac:dyDescent="0.25">
      <c r="A2405" s="15"/>
      <c r="B2405" s="14"/>
    </row>
    <row r="2406" spans="1:2" hidden="1" x14ac:dyDescent="0.25">
      <c r="A2406" s="15"/>
      <c r="B2406" s="14"/>
    </row>
    <row r="2407" spans="1:2" hidden="1" x14ac:dyDescent="0.25">
      <c r="A2407" s="15"/>
      <c r="B2407" s="14"/>
    </row>
    <row r="2408" spans="1:2" hidden="1" x14ac:dyDescent="0.25">
      <c r="A2408" s="15"/>
      <c r="B2408" s="14"/>
    </row>
    <row r="2409" spans="1:2" hidden="1" x14ac:dyDescent="0.25">
      <c r="A2409" s="15"/>
      <c r="B2409" s="14"/>
    </row>
    <row r="2410" spans="1:2" hidden="1" x14ac:dyDescent="0.25">
      <c r="A2410" s="15"/>
      <c r="B2410" s="14"/>
    </row>
    <row r="2411" spans="1:2" hidden="1" x14ac:dyDescent="0.25">
      <c r="A2411" s="15"/>
      <c r="B2411" s="14"/>
    </row>
    <row r="2412" spans="1:2" hidden="1" x14ac:dyDescent="0.25">
      <c r="A2412" s="15"/>
      <c r="B2412" s="14"/>
    </row>
    <row r="2413" spans="1:2" hidden="1" x14ac:dyDescent="0.25">
      <c r="A2413" s="15"/>
      <c r="B2413" s="14"/>
    </row>
    <row r="2414" spans="1:2" hidden="1" x14ac:dyDescent="0.25">
      <c r="A2414" s="15"/>
      <c r="B2414" s="14"/>
    </row>
    <row r="2415" spans="1:2" hidden="1" x14ac:dyDescent="0.25">
      <c r="A2415" s="15"/>
      <c r="B2415" s="14"/>
    </row>
    <row r="2416" spans="1:2" hidden="1" x14ac:dyDescent="0.25">
      <c r="A2416" s="15"/>
      <c r="B2416" s="14"/>
    </row>
    <row r="2417" spans="1:2" hidden="1" x14ac:dyDescent="0.25">
      <c r="A2417" s="15"/>
      <c r="B2417" s="14"/>
    </row>
    <row r="2418" spans="1:2" hidden="1" x14ac:dyDescent="0.25">
      <c r="A2418" s="15"/>
      <c r="B2418" s="14"/>
    </row>
    <row r="2419" spans="1:2" hidden="1" x14ac:dyDescent="0.25">
      <c r="A2419" s="15"/>
      <c r="B2419" s="14"/>
    </row>
    <row r="2420" spans="1:2" hidden="1" x14ac:dyDescent="0.25">
      <c r="A2420" s="15"/>
      <c r="B2420" s="14"/>
    </row>
    <row r="2421" spans="1:2" hidden="1" x14ac:dyDescent="0.25">
      <c r="A2421" s="15"/>
      <c r="B2421" s="14"/>
    </row>
    <row r="2422" spans="1:2" hidden="1" x14ac:dyDescent="0.25">
      <c r="A2422" s="15"/>
      <c r="B2422" s="14"/>
    </row>
    <row r="2423" spans="1:2" hidden="1" x14ac:dyDescent="0.25">
      <c r="A2423" s="15"/>
      <c r="B2423" s="14"/>
    </row>
    <row r="2424" spans="1:2" hidden="1" x14ac:dyDescent="0.25">
      <c r="A2424" s="15"/>
      <c r="B2424" s="14"/>
    </row>
    <row r="2425" spans="1:2" hidden="1" x14ac:dyDescent="0.25">
      <c r="A2425" s="15"/>
      <c r="B2425" s="14"/>
    </row>
    <row r="2426" spans="1:2" hidden="1" x14ac:dyDescent="0.25">
      <c r="A2426" s="15"/>
      <c r="B2426" s="14"/>
    </row>
    <row r="2427" spans="1:2" hidden="1" x14ac:dyDescent="0.25">
      <c r="A2427" s="15"/>
      <c r="B2427" s="14"/>
    </row>
    <row r="2428" spans="1:2" hidden="1" x14ac:dyDescent="0.25">
      <c r="A2428" s="15"/>
      <c r="B2428" s="14"/>
    </row>
    <row r="2429" spans="1:2" hidden="1" x14ac:dyDescent="0.25">
      <c r="A2429" s="15"/>
      <c r="B2429" s="14"/>
    </row>
    <row r="2430" spans="1:2" hidden="1" x14ac:dyDescent="0.25">
      <c r="A2430" s="15"/>
      <c r="B2430" s="14"/>
    </row>
    <row r="2431" spans="1:2" hidden="1" x14ac:dyDescent="0.25">
      <c r="A2431" s="15"/>
      <c r="B2431" s="14"/>
    </row>
    <row r="2432" spans="1:2" hidden="1" x14ac:dyDescent="0.25">
      <c r="A2432" s="15"/>
      <c r="B2432" s="14"/>
    </row>
    <row r="2433" spans="1:2" hidden="1" x14ac:dyDescent="0.25">
      <c r="A2433" s="15"/>
      <c r="B2433" s="14"/>
    </row>
    <row r="2434" spans="1:2" hidden="1" x14ac:dyDescent="0.25">
      <c r="A2434" s="15"/>
      <c r="B2434" s="14"/>
    </row>
    <row r="2435" spans="1:2" hidden="1" x14ac:dyDescent="0.25">
      <c r="A2435" s="15"/>
      <c r="B2435" s="14"/>
    </row>
    <row r="2436" spans="1:2" hidden="1" x14ac:dyDescent="0.25">
      <c r="A2436" s="15"/>
      <c r="B2436" s="14"/>
    </row>
    <row r="2437" spans="1:2" hidden="1" x14ac:dyDescent="0.25">
      <c r="A2437" s="15"/>
      <c r="B2437" s="14"/>
    </row>
    <row r="2438" spans="1:2" hidden="1" x14ac:dyDescent="0.25">
      <c r="A2438" s="15"/>
      <c r="B2438" s="14"/>
    </row>
    <row r="2439" spans="1:2" hidden="1" x14ac:dyDescent="0.25">
      <c r="A2439" s="15"/>
      <c r="B2439" s="14"/>
    </row>
    <row r="2440" spans="1:2" hidden="1" x14ac:dyDescent="0.25">
      <c r="A2440" s="15"/>
      <c r="B2440" s="14"/>
    </row>
    <row r="2441" spans="1:2" hidden="1" x14ac:dyDescent="0.25">
      <c r="A2441" s="15"/>
      <c r="B2441" s="14"/>
    </row>
    <row r="2442" spans="1:2" hidden="1" x14ac:dyDescent="0.25">
      <c r="A2442" s="15"/>
      <c r="B2442" s="14"/>
    </row>
    <row r="2443" spans="1:2" hidden="1" x14ac:dyDescent="0.25">
      <c r="A2443" s="15"/>
      <c r="B2443" s="14"/>
    </row>
    <row r="2444" spans="1:2" hidden="1" x14ac:dyDescent="0.25">
      <c r="A2444" s="15"/>
      <c r="B2444" s="14"/>
    </row>
    <row r="2445" spans="1:2" hidden="1" x14ac:dyDescent="0.25">
      <c r="A2445" s="15"/>
      <c r="B2445" s="14"/>
    </row>
    <row r="2446" spans="1:2" hidden="1" x14ac:dyDescent="0.25">
      <c r="A2446" s="15"/>
      <c r="B2446" s="14"/>
    </row>
    <row r="2447" spans="1:2" hidden="1" x14ac:dyDescent="0.25">
      <c r="A2447" s="15"/>
      <c r="B2447" s="14"/>
    </row>
    <row r="2448" spans="1:2" hidden="1" x14ac:dyDescent="0.25">
      <c r="A2448" s="15"/>
      <c r="B2448" s="14"/>
    </row>
    <row r="2449" spans="1:2" hidden="1" x14ac:dyDescent="0.25">
      <c r="A2449" s="15"/>
      <c r="B2449" s="14"/>
    </row>
    <row r="2450" spans="1:2" hidden="1" x14ac:dyDescent="0.25">
      <c r="A2450" s="15"/>
      <c r="B2450" s="14"/>
    </row>
    <row r="2451" spans="1:2" hidden="1" x14ac:dyDescent="0.25">
      <c r="A2451" s="15"/>
      <c r="B2451" s="14"/>
    </row>
    <row r="2452" spans="1:2" hidden="1" x14ac:dyDescent="0.25">
      <c r="A2452" s="15"/>
      <c r="B2452" s="14"/>
    </row>
    <row r="2453" spans="1:2" hidden="1" x14ac:dyDescent="0.25">
      <c r="A2453" s="15"/>
      <c r="B2453" s="14"/>
    </row>
    <row r="2454" spans="1:2" hidden="1" x14ac:dyDescent="0.25">
      <c r="A2454" s="15"/>
      <c r="B2454" s="14"/>
    </row>
    <row r="2455" spans="1:2" hidden="1" x14ac:dyDescent="0.25">
      <c r="A2455" s="15"/>
      <c r="B2455" s="14"/>
    </row>
    <row r="2456" spans="1:2" hidden="1" x14ac:dyDescent="0.25">
      <c r="A2456" s="15"/>
      <c r="B2456" s="14"/>
    </row>
    <row r="2457" spans="1:2" hidden="1" x14ac:dyDescent="0.25">
      <c r="A2457" s="15"/>
      <c r="B2457" s="14"/>
    </row>
    <row r="2458" spans="1:2" hidden="1" x14ac:dyDescent="0.25">
      <c r="A2458" s="15"/>
      <c r="B2458" s="14"/>
    </row>
    <row r="2459" spans="1:2" hidden="1" x14ac:dyDescent="0.25">
      <c r="A2459" s="15"/>
      <c r="B2459" s="14"/>
    </row>
    <row r="2460" spans="1:2" hidden="1" x14ac:dyDescent="0.25">
      <c r="A2460" s="15"/>
      <c r="B2460" s="14"/>
    </row>
    <row r="2461" spans="1:2" hidden="1" x14ac:dyDescent="0.25">
      <c r="A2461" s="15"/>
      <c r="B2461" s="14"/>
    </row>
    <row r="2462" spans="1:2" hidden="1" x14ac:dyDescent="0.25">
      <c r="A2462" s="15"/>
      <c r="B2462" s="14"/>
    </row>
    <row r="2463" spans="1:2" hidden="1" x14ac:dyDescent="0.25">
      <c r="A2463" s="15"/>
      <c r="B2463" s="14"/>
    </row>
    <row r="2464" spans="1:2" hidden="1" x14ac:dyDescent="0.25">
      <c r="A2464" s="15"/>
      <c r="B2464" s="14"/>
    </row>
    <row r="2465" spans="1:2" hidden="1" x14ac:dyDescent="0.25">
      <c r="A2465" s="15"/>
      <c r="B2465" s="14"/>
    </row>
    <row r="2466" spans="1:2" hidden="1" x14ac:dyDescent="0.25">
      <c r="A2466" s="15"/>
      <c r="B2466" s="14"/>
    </row>
    <row r="2467" spans="1:2" hidden="1" x14ac:dyDescent="0.25">
      <c r="A2467" s="15"/>
      <c r="B2467" s="14"/>
    </row>
    <row r="2468" spans="1:2" hidden="1" x14ac:dyDescent="0.25">
      <c r="A2468" s="15"/>
      <c r="B2468" s="14"/>
    </row>
    <row r="2469" spans="1:2" hidden="1" x14ac:dyDescent="0.25">
      <c r="A2469" s="15"/>
      <c r="B2469" s="14"/>
    </row>
    <row r="2470" spans="1:2" hidden="1" x14ac:dyDescent="0.25">
      <c r="A2470" s="15"/>
      <c r="B2470" s="14"/>
    </row>
    <row r="2471" spans="1:2" hidden="1" x14ac:dyDescent="0.25">
      <c r="A2471" s="15"/>
      <c r="B2471" s="14"/>
    </row>
    <row r="2472" spans="1:2" hidden="1" x14ac:dyDescent="0.25">
      <c r="A2472" s="15"/>
      <c r="B2472" s="14"/>
    </row>
    <row r="2473" spans="1:2" hidden="1" x14ac:dyDescent="0.25">
      <c r="A2473" s="15"/>
      <c r="B2473" s="14"/>
    </row>
    <row r="2474" spans="1:2" hidden="1" x14ac:dyDescent="0.25">
      <c r="A2474" s="15"/>
      <c r="B2474" s="14"/>
    </row>
    <row r="2475" spans="1:2" hidden="1" x14ac:dyDescent="0.25">
      <c r="A2475" s="15"/>
      <c r="B2475" s="14"/>
    </row>
    <row r="2476" spans="1:2" hidden="1" x14ac:dyDescent="0.25">
      <c r="A2476" s="15"/>
      <c r="B2476" s="14"/>
    </row>
    <row r="2477" spans="1:2" hidden="1" x14ac:dyDescent="0.25">
      <c r="A2477" s="15"/>
      <c r="B2477" s="14"/>
    </row>
    <row r="2478" spans="1:2" hidden="1" x14ac:dyDescent="0.25">
      <c r="A2478" s="15"/>
      <c r="B2478" s="14"/>
    </row>
    <row r="2479" spans="1:2" hidden="1" x14ac:dyDescent="0.25">
      <c r="A2479" s="15"/>
      <c r="B2479" s="14"/>
    </row>
    <row r="2480" spans="1:2" hidden="1" x14ac:dyDescent="0.25">
      <c r="A2480" s="15"/>
      <c r="B2480" s="14"/>
    </row>
    <row r="2481" spans="1:2" hidden="1" x14ac:dyDescent="0.25">
      <c r="A2481" s="15"/>
      <c r="B2481" s="14"/>
    </row>
    <row r="2482" spans="1:2" hidden="1" x14ac:dyDescent="0.25">
      <c r="A2482" s="15"/>
      <c r="B2482" s="14"/>
    </row>
    <row r="2483" spans="1:2" hidden="1" x14ac:dyDescent="0.25">
      <c r="A2483" s="15"/>
      <c r="B2483" s="14"/>
    </row>
    <row r="2484" spans="1:2" hidden="1" x14ac:dyDescent="0.25">
      <c r="A2484" s="15"/>
      <c r="B2484" s="14"/>
    </row>
    <row r="2485" spans="1:2" hidden="1" x14ac:dyDescent="0.25">
      <c r="A2485" s="15"/>
      <c r="B2485" s="14"/>
    </row>
    <row r="2486" spans="1:2" hidden="1" x14ac:dyDescent="0.25">
      <c r="A2486" s="15"/>
      <c r="B2486" s="14"/>
    </row>
    <row r="2487" spans="1:2" hidden="1" x14ac:dyDescent="0.25">
      <c r="A2487" s="15"/>
      <c r="B2487" s="14"/>
    </row>
    <row r="2488" spans="1:2" hidden="1" x14ac:dyDescent="0.25">
      <c r="A2488" s="15"/>
      <c r="B2488" s="14"/>
    </row>
    <row r="2489" spans="1:2" hidden="1" x14ac:dyDescent="0.25">
      <c r="A2489" s="15"/>
      <c r="B2489" s="14"/>
    </row>
    <row r="2490" spans="1:2" hidden="1" x14ac:dyDescent="0.25">
      <c r="A2490" s="15"/>
      <c r="B2490" s="14"/>
    </row>
    <row r="2491" spans="1:2" hidden="1" x14ac:dyDescent="0.25">
      <c r="A2491" s="15"/>
      <c r="B2491" s="14"/>
    </row>
    <row r="2492" spans="1:2" hidden="1" x14ac:dyDescent="0.25">
      <c r="A2492" s="15"/>
      <c r="B2492" s="14"/>
    </row>
    <row r="2493" spans="1:2" hidden="1" x14ac:dyDescent="0.25">
      <c r="A2493" s="15"/>
      <c r="B2493" s="14"/>
    </row>
    <row r="2494" spans="1:2" hidden="1" x14ac:dyDescent="0.25">
      <c r="A2494" s="15"/>
      <c r="B2494" s="14"/>
    </row>
    <row r="2495" spans="1:2" hidden="1" x14ac:dyDescent="0.25">
      <c r="A2495" s="15"/>
      <c r="B2495" s="14"/>
    </row>
    <row r="2496" spans="1:2" hidden="1" x14ac:dyDescent="0.25">
      <c r="A2496" s="15"/>
      <c r="B2496" s="14"/>
    </row>
    <row r="2497" spans="1:2" hidden="1" x14ac:dyDescent="0.25">
      <c r="A2497" s="15"/>
      <c r="B2497" s="14"/>
    </row>
    <row r="2498" spans="1:2" hidden="1" x14ac:dyDescent="0.25">
      <c r="A2498" s="15"/>
      <c r="B2498" s="14"/>
    </row>
    <row r="2499" spans="1:2" hidden="1" x14ac:dyDescent="0.25">
      <c r="A2499" s="15"/>
      <c r="B2499" s="14"/>
    </row>
    <row r="2500" spans="1:2" hidden="1" x14ac:dyDescent="0.25">
      <c r="A2500" s="15"/>
      <c r="B2500" s="14"/>
    </row>
    <row r="2501" spans="1:2" hidden="1" x14ac:dyDescent="0.25">
      <c r="A2501" s="15"/>
      <c r="B2501" s="14"/>
    </row>
    <row r="2502" spans="1:2" hidden="1" x14ac:dyDescent="0.25">
      <c r="A2502" s="15"/>
      <c r="B2502" s="14"/>
    </row>
    <row r="2503" spans="1:2" hidden="1" x14ac:dyDescent="0.25">
      <c r="A2503" s="15"/>
      <c r="B2503" s="14"/>
    </row>
    <row r="2504" spans="1:2" hidden="1" x14ac:dyDescent="0.25">
      <c r="A2504" s="15"/>
      <c r="B2504" s="14"/>
    </row>
    <row r="2505" spans="1:2" hidden="1" x14ac:dyDescent="0.25">
      <c r="A2505" s="15"/>
      <c r="B2505" s="14"/>
    </row>
    <row r="2506" spans="1:2" hidden="1" x14ac:dyDescent="0.25">
      <c r="A2506" s="15"/>
      <c r="B2506" s="14"/>
    </row>
    <row r="2507" spans="1:2" hidden="1" x14ac:dyDescent="0.25">
      <c r="A2507" s="15"/>
      <c r="B2507" s="14"/>
    </row>
    <row r="2508" spans="1:2" hidden="1" x14ac:dyDescent="0.25">
      <c r="A2508" s="15"/>
      <c r="B2508" s="14"/>
    </row>
    <row r="2509" spans="1:2" hidden="1" x14ac:dyDescent="0.25">
      <c r="A2509" s="15"/>
      <c r="B2509" s="14"/>
    </row>
    <row r="2510" spans="1:2" hidden="1" x14ac:dyDescent="0.25">
      <c r="A2510" s="15"/>
      <c r="B2510" s="14"/>
    </row>
    <row r="2511" spans="1:2" hidden="1" x14ac:dyDescent="0.25">
      <c r="A2511" s="15"/>
      <c r="B2511" s="14"/>
    </row>
    <row r="2512" spans="1:2" hidden="1" x14ac:dyDescent="0.25">
      <c r="A2512" s="15"/>
      <c r="B2512" s="14"/>
    </row>
    <row r="2513" spans="1:2" hidden="1" x14ac:dyDescent="0.25">
      <c r="A2513" s="15"/>
      <c r="B2513" s="14"/>
    </row>
    <row r="2514" spans="1:2" hidden="1" x14ac:dyDescent="0.25">
      <c r="A2514" s="15"/>
      <c r="B2514" s="14"/>
    </row>
    <row r="2515" spans="1:2" hidden="1" x14ac:dyDescent="0.25">
      <c r="A2515" s="15"/>
      <c r="B2515" s="14"/>
    </row>
    <row r="2516" spans="1:2" hidden="1" x14ac:dyDescent="0.25">
      <c r="A2516" s="15"/>
      <c r="B2516" s="14"/>
    </row>
    <row r="2517" spans="1:2" hidden="1" x14ac:dyDescent="0.25">
      <c r="A2517" s="15"/>
      <c r="B2517" s="14"/>
    </row>
    <row r="2518" spans="1:2" hidden="1" x14ac:dyDescent="0.25">
      <c r="A2518" s="15"/>
      <c r="B2518" s="14"/>
    </row>
    <row r="2519" spans="1:2" hidden="1" x14ac:dyDescent="0.25">
      <c r="A2519" s="15"/>
      <c r="B2519" s="14"/>
    </row>
    <row r="2520" spans="1:2" hidden="1" x14ac:dyDescent="0.25">
      <c r="A2520" s="15"/>
      <c r="B2520" s="14"/>
    </row>
    <row r="2521" spans="1:2" hidden="1" x14ac:dyDescent="0.25">
      <c r="A2521" s="15"/>
      <c r="B2521" s="14"/>
    </row>
    <row r="2522" spans="1:2" hidden="1" x14ac:dyDescent="0.25">
      <c r="A2522" s="15"/>
      <c r="B2522" s="14"/>
    </row>
    <row r="2523" spans="1:2" hidden="1" x14ac:dyDescent="0.25">
      <c r="A2523" s="15"/>
      <c r="B2523" s="14"/>
    </row>
    <row r="2524" spans="1:2" hidden="1" x14ac:dyDescent="0.25">
      <c r="A2524" s="15"/>
      <c r="B2524" s="14"/>
    </row>
    <row r="2525" spans="1:2" hidden="1" x14ac:dyDescent="0.25">
      <c r="A2525" s="15"/>
      <c r="B2525" s="14"/>
    </row>
    <row r="2526" spans="1:2" hidden="1" x14ac:dyDescent="0.25">
      <c r="A2526" s="15"/>
      <c r="B2526" s="14"/>
    </row>
    <row r="2527" spans="1:2" hidden="1" x14ac:dyDescent="0.25">
      <c r="A2527" s="15"/>
      <c r="B2527" s="14"/>
    </row>
    <row r="2528" spans="1:2" hidden="1" x14ac:dyDescent="0.25">
      <c r="A2528" s="15"/>
      <c r="B2528" s="14"/>
    </row>
    <row r="2529" spans="1:2" hidden="1" x14ac:dyDescent="0.25">
      <c r="A2529" s="15"/>
      <c r="B2529" s="14"/>
    </row>
    <row r="2530" spans="1:2" hidden="1" x14ac:dyDescent="0.25">
      <c r="A2530" s="15"/>
      <c r="B2530" s="14"/>
    </row>
    <row r="2531" spans="1:2" hidden="1" x14ac:dyDescent="0.25">
      <c r="A2531" s="15"/>
      <c r="B2531" s="14"/>
    </row>
    <row r="2532" spans="1:2" hidden="1" x14ac:dyDescent="0.25">
      <c r="A2532" s="15"/>
      <c r="B2532" s="14"/>
    </row>
    <row r="2533" spans="1:2" hidden="1" x14ac:dyDescent="0.25">
      <c r="A2533" s="15"/>
      <c r="B2533" s="14"/>
    </row>
    <row r="2534" spans="1:2" hidden="1" x14ac:dyDescent="0.25">
      <c r="A2534" s="15"/>
      <c r="B2534" s="14"/>
    </row>
    <row r="2535" spans="1:2" hidden="1" x14ac:dyDescent="0.25">
      <c r="A2535" s="15"/>
      <c r="B2535" s="14"/>
    </row>
    <row r="2536" spans="1:2" hidden="1" x14ac:dyDescent="0.25">
      <c r="A2536" s="15"/>
      <c r="B2536" s="14"/>
    </row>
    <row r="2537" spans="1:2" hidden="1" x14ac:dyDescent="0.25">
      <c r="A2537" s="15"/>
      <c r="B2537" s="14"/>
    </row>
    <row r="2538" spans="1:2" hidden="1" x14ac:dyDescent="0.25">
      <c r="A2538" s="15"/>
      <c r="B2538" s="14"/>
    </row>
    <row r="2539" spans="1:2" hidden="1" x14ac:dyDescent="0.25">
      <c r="A2539" s="15"/>
      <c r="B2539" s="14"/>
    </row>
    <row r="2540" spans="1:2" hidden="1" x14ac:dyDescent="0.25">
      <c r="A2540" s="15"/>
      <c r="B2540" s="14"/>
    </row>
    <row r="2541" spans="1:2" hidden="1" x14ac:dyDescent="0.25">
      <c r="A2541" s="15"/>
      <c r="B2541" s="14"/>
    </row>
    <row r="2542" spans="1:2" hidden="1" x14ac:dyDescent="0.25">
      <c r="A2542" s="15"/>
      <c r="B2542" s="14"/>
    </row>
    <row r="2543" spans="1:2" hidden="1" x14ac:dyDescent="0.25">
      <c r="A2543" s="15"/>
      <c r="B2543" s="14"/>
    </row>
    <row r="2544" spans="1:2" hidden="1" x14ac:dyDescent="0.25">
      <c r="A2544" s="15"/>
      <c r="B2544" s="14"/>
    </row>
    <row r="2545" spans="1:2" hidden="1" x14ac:dyDescent="0.25">
      <c r="A2545" s="15"/>
      <c r="B2545" s="14"/>
    </row>
    <row r="2546" spans="1:2" hidden="1" x14ac:dyDescent="0.25">
      <c r="A2546" s="15"/>
      <c r="B2546" s="14"/>
    </row>
    <row r="2547" spans="1:2" hidden="1" x14ac:dyDescent="0.25">
      <c r="A2547" s="15"/>
      <c r="B2547" s="14"/>
    </row>
    <row r="2548" spans="1:2" hidden="1" x14ac:dyDescent="0.25">
      <c r="A2548" s="15"/>
      <c r="B2548" s="14"/>
    </row>
    <row r="2549" spans="1:2" hidden="1" x14ac:dyDescent="0.25">
      <c r="A2549" s="15"/>
      <c r="B2549" s="14"/>
    </row>
    <row r="2550" spans="1:2" hidden="1" x14ac:dyDescent="0.25">
      <c r="A2550" s="15"/>
      <c r="B2550" s="14"/>
    </row>
    <row r="2551" spans="1:2" hidden="1" x14ac:dyDescent="0.25">
      <c r="A2551" s="15"/>
      <c r="B2551" s="14"/>
    </row>
    <row r="2552" spans="1:2" hidden="1" x14ac:dyDescent="0.25">
      <c r="A2552" s="15"/>
      <c r="B2552" s="14"/>
    </row>
    <row r="2553" spans="1:2" hidden="1" x14ac:dyDescent="0.25">
      <c r="A2553" s="15"/>
      <c r="B2553" s="14"/>
    </row>
    <row r="2554" spans="1:2" hidden="1" x14ac:dyDescent="0.25">
      <c r="A2554" s="15"/>
      <c r="B2554" s="14"/>
    </row>
    <row r="2555" spans="1:2" hidden="1" x14ac:dyDescent="0.25">
      <c r="A2555" s="15"/>
      <c r="B2555" s="14"/>
    </row>
    <row r="2556" spans="1:2" hidden="1" x14ac:dyDescent="0.25">
      <c r="A2556" s="15"/>
      <c r="B2556" s="14"/>
    </row>
    <row r="2557" spans="1:2" hidden="1" x14ac:dyDescent="0.25">
      <c r="A2557" s="15"/>
      <c r="B2557" s="14"/>
    </row>
    <row r="2558" spans="1:2" hidden="1" x14ac:dyDescent="0.25">
      <c r="A2558" s="15"/>
      <c r="B2558" s="14"/>
    </row>
    <row r="2559" spans="1:2" hidden="1" x14ac:dyDescent="0.25">
      <c r="A2559" s="15"/>
      <c r="B2559" s="14"/>
    </row>
    <row r="2560" spans="1:2" hidden="1" x14ac:dyDescent="0.25">
      <c r="A2560" s="15"/>
      <c r="B2560" s="14"/>
    </row>
    <row r="2561" spans="1:2" hidden="1" x14ac:dyDescent="0.25">
      <c r="A2561" s="15"/>
      <c r="B2561" s="14"/>
    </row>
    <row r="2562" spans="1:2" hidden="1" x14ac:dyDescent="0.25">
      <c r="A2562" s="15"/>
      <c r="B2562" s="14"/>
    </row>
    <row r="2563" spans="1:2" hidden="1" x14ac:dyDescent="0.25">
      <c r="A2563" s="15"/>
      <c r="B2563" s="14"/>
    </row>
    <row r="2564" spans="1:2" hidden="1" x14ac:dyDescent="0.25">
      <c r="A2564" s="15"/>
      <c r="B2564" s="14"/>
    </row>
    <row r="2565" spans="1:2" hidden="1" x14ac:dyDescent="0.25">
      <c r="A2565" s="15"/>
      <c r="B2565" s="14"/>
    </row>
    <row r="2566" spans="1:2" hidden="1" x14ac:dyDescent="0.25">
      <c r="A2566" s="15"/>
      <c r="B2566" s="14"/>
    </row>
    <row r="2567" spans="1:2" hidden="1" x14ac:dyDescent="0.25">
      <c r="A2567" s="15"/>
      <c r="B2567" s="14"/>
    </row>
    <row r="2568" spans="1:2" hidden="1" x14ac:dyDescent="0.25">
      <c r="A2568" s="15"/>
      <c r="B2568" s="14"/>
    </row>
    <row r="2569" spans="1:2" hidden="1" x14ac:dyDescent="0.25">
      <c r="A2569" s="15"/>
      <c r="B2569" s="14"/>
    </row>
    <row r="2570" spans="1:2" hidden="1" x14ac:dyDescent="0.25">
      <c r="A2570" s="15"/>
      <c r="B2570" s="14"/>
    </row>
    <row r="2571" spans="1:2" hidden="1" x14ac:dyDescent="0.25">
      <c r="A2571" s="15"/>
      <c r="B2571" s="14"/>
    </row>
    <row r="2572" spans="1:2" hidden="1" x14ac:dyDescent="0.25">
      <c r="A2572" s="15"/>
      <c r="B2572" s="14"/>
    </row>
    <row r="2573" spans="1:2" hidden="1" x14ac:dyDescent="0.25">
      <c r="A2573" s="15"/>
      <c r="B2573" s="14"/>
    </row>
    <row r="2574" spans="1:2" hidden="1" x14ac:dyDescent="0.25">
      <c r="A2574" s="15"/>
      <c r="B2574" s="14"/>
    </row>
    <row r="2575" spans="1:2" hidden="1" x14ac:dyDescent="0.25">
      <c r="A2575" s="15"/>
      <c r="B2575" s="14"/>
    </row>
    <row r="2576" spans="1:2" hidden="1" x14ac:dyDescent="0.25">
      <c r="A2576" s="15"/>
      <c r="B2576" s="14"/>
    </row>
    <row r="2577" spans="1:2" hidden="1" x14ac:dyDescent="0.25">
      <c r="A2577" s="15"/>
      <c r="B2577" s="14"/>
    </row>
    <row r="2578" spans="1:2" hidden="1" x14ac:dyDescent="0.25">
      <c r="A2578" s="15"/>
      <c r="B2578" s="14"/>
    </row>
    <row r="2579" spans="1:2" hidden="1" x14ac:dyDescent="0.25">
      <c r="A2579" s="15"/>
      <c r="B2579" s="14"/>
    </row>
    <row r="2580" spans="1:2" hidden="1" x14ac:dyDescent="0.25">
      <c r="A2580" s="15"/>
      <c r="B2580" s="14"/>
    </row>
    <row r="2581" spans="1:2" hidden="1" x14ac:dyDescent="0.25">
      <c r="A2581" s="15"/>
      <c r="B2581" s="14"/>
    </row>
    <row r="2582" spans="1:2" hidden="1" x14ac:dyDescent="0.25">
      <c r="A2582" s="15"/>
      <c r="B2582" s="14"/>
    </row>
    <row r="2583" spans="1:2" hidden="1" x14ac:dyDescent="0.25">
      <c r="A2583" s="15"/>
      <c r="B2583" s="14"/>
    </row>
    <row r="2584" spans="1:2" hidden="1" x14ac:dyDescent="0.25">
      <c r="A2584" s="15"/>
      <c r="B2584" s="14"/>
    </row>
    <row r="2585" spans="1:2" hidden="1" x14ac:dyDescent="0.25">
      <c r="A2585" s="15"/>
      <c r="B2585" s="14"/>
    </row>
    <row r="2586" spans="1:2" hidden="1" x14ac:dyDescent="0.25">
      <c r="A2586" s="15"/>
      <c r="B2586" s="14"/>
    </row>
    <row r="2587" spans="1:2" hidden="1" x14ac:dyDescent="0.25">
      <c r="A2587" s="15"/>
      <c r="B2587" s="14"/>
    </row>
    <row r="2588" spans="1:2" hidden="1" x14ac:dyDescent="0.25">
      <c r="A2588" s="15"/>
      <c r="B2588" s="14"/>
    </row>
    <row r="2589" spans="1:2" hidden="1" x14ac:dyDescent="0.25">
      <c r="A2589" s="15"/>
      <c r="B2589" s="14"/>
    </row>
    <row r="2590" spans="1:2" hidden="1" x14ac:dyDescent="0.25">
      <c r="A2590" s="15"/>
      <c r="B2590" s="14"/>
    </row>
    <row r="2591" spans="1:2" hidden="1" x14ac:dyDescent="0.25">
      <c r="A2591" s="15"/>
      <c r="B2591" s="14"/>
    </row>
    <row r="2592" spans="1:2" hidden="1" x14ac:dyDescent="0.25">
      <c r="A2592" s="15"/>
      <c r="B2592" s="14"/>
    </row>
    <row r="2593" spans="1:2" hidden="1" x14ac:dyDescent="0.25">
      <c r="A2593" s="15"/>
      <c r="B2593" s="14"/>
    </row>
    <row r="2594" spans="1:2" hidden="1" x14ac:dyDescent="0.25">
      <c r="A2594" s="15"/>
      <c r="B2594" s="14"/>
    </row>
    <row r="2595" spans="1:2" hidden="1" x14ac:dyDescent="0.25">
      <c r="A2595" s="15"/>
      <c r="B2595" s="14"/>
    </row>
    <row r="2596" spans="1:2" hidden="1" x14ac:dyDescent="0.25">
      <c r="A2596" s="15"/>
      <c r="B2596" s="14"/>
    </row>
    <row r="2597" spans="1:2" hidden="1" x14ac:dyDescent="0.25">
      <c r="A2597" s="15"/>
      <c r="B2597" s="14"/>
    </row>
    <row r="2598" spans="1:2" hidden="1" x14ac:dyDescent="0.25">
      <c r="A2598" s="15"/>
      <c r="B2598" s="14"/>
    </row>
    <row r="2599" spans="1:2" hidden="1" x14ac:dyDescent="0.25">
      <c r="A2599" s="15"/>
      <c r="B2599" s="14"/>
    </row>
    <row r="2600" spans="1:2" hidden="1" x14ac:dyDescent="0.25">
      <c r="A2600" s="15"/>
      <c r="B2600" s="14"/>
    </row>
    <row r="2601" spans="1:2" hidden="1" x14ac:dyDescent="0.25">
      <c r="A2601" s="15"/>
      <c r="B2601" s="14"/>
    </row>
    <row r="2602" spans="1:2" hidden="1" x14ac:dyDescent="0.25">
      <c r="A2602" s="15"/>
      <c r="B2602" s="14"/>
    </row>
    <row r="2603" spans="1:2" hidden="1" x14ac:dyDescent="0.25">
      <c r="A2603" s="15"/>
      <c r="B2603" s="14"/>
    </row>
    <row r="2604" spans="1:2" hidden="1" x14ac:dyDescent="0.25">
      <c r="A2604" s="15"/>
      <c r="B2604" s="14"/>
    </row>
    <row r="2605" spans="1:2" hidden="1" x14ac:dyDescent="0.25">
      <c r="A2605" s="15"/>
      <c r="B2605" s="14"/>
    </row>
    <row r="2606" spans="1:2" hidden="1" x14ac:dyDescent="0.25">
      <c r="A2606" s="15"/>
      <c r="B2606" s="14"/>
    </row>
    <row r="2607" spans="1:2" hidden="1" x14ac:dyDescent="0.25">
      <c r="A2607" s="15"/>
      <c r="B2607" s="14"/>
    </row>
    <row r="2608" spans="1:2" hidden="1" x14ac:dyDescent="0.25">
      <c r="A2608" s="15"/>
      <c r="B2608" s="14"/>
    </row>
    <row r="2609" spans="1:2" hidden="1" x14ac:dyDescent="0.25">
      <c r="A2609" s="15"/>
      <c r="B2609" s="14"/>
    </row>
    <row r="2610" spans="1:2" hidden="1" x14ac:dyDescent="0.25">
      <c r="A2610" s="15"/>
      <c r="B2610" s="14"/>
    </row>
    <row r="2611" spans="1:2" hidden="1" x14ac:dyDescent="0.25">
      <c r="A2611" s="15"/>
      <c r="B2611" s="14"/>
    </row>
    <row r="2612" spans="1:2" hidden="1" x14ac:dyDescent="0.25">
      <c r="A2612" s="15"/>
      <c r="B2612" s="14"/>
    </row>
    <row r="2613" spans="1:2" hidden="1" x14ac:dyDescent="0.25">
      <c r="A2613" s="15"/>
      <c r="B2613" s="14"/>
    </row>
    <row r="2614" spans="1:2" hidden="1" x14ac:dyDescent="0.25">
      <c r="A2614" s="15"/>
      <c r="B2614" s="14"/>
    </row>
    <row r="2615" spans="1:2" hidden="1" x14ac:dyDescent="0.25">
      <c r="A2615" s="15"/>
      <c r="B2615" s="14"/>
    </row>
    <row r="2616" spans="1:2" hidden="1" x14ac:dyDescent="0.25">
      <c r="A2616" s="15"/>
      <c r="B2616" s="14"/>
    </row>
    <row r="2617" spans="1:2" hidden="1" x14ac:dyDescent="0.25">
      <c r="A2617" s="15"/>
      <c r="B2617" s="14"/>
    </row>
    <row r="2618" spans="1:2" hidden="1" x14ac:dyDescent="0.25">
      <c r="A2618" s="15"/>
      <c r="B2618" s="14"/>
    </row>
    <row r="2619" spans="1:2" hidden="1" x14ac:dyDescent="0.25">
      <c r="A2619" s="15"/>
      <c r="B2619" s="14"/>
    </row>
    <row r="2620" spans="1:2" hidden="1" x14ac:dyDescent="0.25">
      <c r="A2620" s="15"/>
      <c r="B2620" s="14"/>
    </row>
    <row r="2621" spans="1:2" hidden="1" x14ac:dyDescent="0.25">
      <c r="A2621" s="15"/>
      <c r="B2621" s="14"/>
    </row>
    <row r="2622" spans="1:2" hidden="1" x14ac:dyDescent="0.25">
      <c r="A2622" s="15"/>
      <c r="B2622" s="14"/>
    </row>
    <row r="2623" spans="1:2" hidden="1" x14ac:dyDescent="0.25">
      <c r="A2623" s="15"/>
      <c r="B2623" s="14"/>
    </row>
    <row r="2624" spans="1:2" hidden="1" x14ac:dyDescent="0.25">
      <c r="A2624" s="15"/>
      <c r="B2624" s="14"/>
    </row>
    <row r="2625" spans="1:2" hidden="1" x14ac:dyDescent="0.25">
      <c r="A2625" s="15"/>
      <c r="B2625" s="14"/>
    </row>
    <row r="2626" spans="1:2" hidden="1" x14ac:dyDescent="0.25">
      <c r="A2626" s="15"/>
      <c r="B2626" s="14"/>
    </row>
    <row r="2627" spans="1:2" hidden="1" x14ac:dyDescent="0.25">
      <c r="A2627" s="15"/>
      <c r="B2627" s="14"/>
    </row>
    <row r="2628" spans="1:2" hidden="1" x14ac:dyDescent="0.25">
      <c r="A2628" s="15"/>
      <c r="B2628" s="14"/>
    </row>
    <row r="2629" spans="1:2" hidden="1" x14ac:dyDescent="0.25">
      <c r="A2629" s="15"/>
      <c r="B2629" s="14"/>
    </row>
    <row r="2630" spans="1:2" hidden="1" x14ac:dyDescent="0.25">
      <c r="A2630" s="15"/>
      <c r="B2630" s="14"/>
    </row>
    <row r="2631" spans="1:2" hidden="1" x14ac:dyDescent="0.25">
      <c r="A2631" s="15"/>
      <c r="B2631" s="14"/>
    </row>
    <row r="2632" spans="1:2" hidden="1" x14ac:dyDescent="0.25">
      <c r="A2632" s="15"/>
      <c r="B2632" s="14"/>
    </row>
    <row r="2633" spans="1:2" hidden="1" x14ac:dyDescent="0.25">
      <c r="A2633" s="15"/>
      <c r="B2633" s="14"/>
    </row>
    <row r="2634" spans="1:2" hidden="1" x14ac:dyDescent="0.25">
      <c r="A2634" s="15"/>
      <c r="B2634" s="14"/>
    </row>
    <row r="2635" spans="1:2" hidden="1" x14ac:dyDescent="0.25">
      <c r="A2635" s="15"/>
      <c r="B2635" s="14"/>
    </row>
    <row r="2636" spans="1:2" hidden="1" x14ac:dyDescent="0.25">
      <c r="A2636" s="15"/>
      <c r="B2636" s="14"/>
    </row>
    <row r="2637" spans="1:2" hidden="1" x14ac:dyDescent="0.25">
      <c r="A2637" s="15"/>
      <c r="B2637" s="14"/>
    </row>
    <row r="2638" spans="1:2" hidden="1" x14ac:dyDescent="0.25">
      <c r="A2638" s="15"/>
      <c r="B2638" s="14"/>
    </row>
    <row r="2639" spans="1:2" hidden="1" x14ac:dyDescent="0.25">
      <c r="A2639" s="15"/>
      <c r="B2639" s="14"/>
    </row>
    <row r="2640" spans="1:2" hidden="1" x14ac:dyDescent="0.25">
      <c r="A2640" s="15"/>
      <c r="B2640" s="14"/>
    </row>
    <row r="2641" spans="1:2" hidden="1" x14ac:dyDescent="0.25">
      <c r="A2641" s="15"/>
      <c r="B2641" s="14"/>
    </row>
    <row r="2642" spans="1:2" hidden="1" x14ac:dyDescent="0.25">
      <c r="A2642" s="15"/>
      <c r="B2642" s="14"/>
    </row>
    <row r="2643" spans="1:2" hidden="1" x14ac:dyDescent="0.25">
      <c r="A2643" s="15"/>
      <c r="B2643" s="14"/>
    </row>
    <row r="2644" spans="1:2" hidden="1" x14ac:dyDescent="0.25">
      <c r="A2644" s="15"/>
      <c r="B2644" s="14"/>
    </row>
    <row r="2645" spans="1:2" hidden="1" x14ac:dyDescent="0.25">
      <c r="A2645" s="15"/>
      <c r="B2645" s="14"/>
    </row>
    <row r="2646" spans="1:2" hidden="1" x14ac:dyDescent="0.25">
      <c r="A2646" s="15"/>
      <c r="B2646" s="14"/>
    </row>
    <row r="2647" spans="1:2" hidden="1" x14ac:dyDescent="0.25">
      <c r="A2647" s="15"/>
      <c r="B2647" s="14"/>
    </row>
    <row r="2648" spans="1:2" hidden="1" x14ac:dyDescent="0.25">
      <c r="A2648" s="15"/>
      <c r="B2648" s="14"/>
    </row>
    <row r="2649" spans="1:2" hidden="1" x14ac:dyDescent="0.25">
      <c r="A2649" s="15"/>
      <c r="B2649" s="14"/>
    </row>
    <row r="2650" spans="1:2" hidden="1" x14ac:dyDescent="0.25">
      <c r="A2650" s="15"/>
      <c r="B2650" s="14"/>
    </row>
    <row r="2651" spans="1:2" hidden="1" x14ac:dyDescent="0.25">
      <c r="A2651" s="15"/>
      <c r="B2651" s="14"/>
    </row>
    <row r="2652" spans="1:2" hidden="1" x14ac:dyDescent="0.25">
      <c r="A2652" s="15"/>
      <c r="B2652" s="14"/>
    </row>
    <row r="2653" spans="1:2" hidden="1" x14ac:dyDescent="0.25">
      <c r="A2653" s="15"/>
      <c r="B2653" s="14"/>
    </row>
    <row r="2654" spans="1:2" hidden="1" x14ac:dyDescent="0.25">
      <c r="A2654" s="15"/>
      <c r="B2654" s="14"/>
    </row>
    <row r="2655" spans="1:2" hidden="1" x14ac:dyDescent="0.25">
      <c r="A2655" s="15"/>
      <c r="B2655" s="14"/>
    </row>
    <row r="2656" spans="1:2" hidden="1" x14ac:dyDescent="0.25">
      <c r="A2656" s="15"/>
      <c r="B2656" s="14"/>
    </row>
    <row r="2657" spans="1:2" hidden="1" x14ac:dyDescent="0.25">
      <c r="A2657" s="15"/>
      <c r="B2657" s="14"/>
    </row>
    <row r="2658" spans="1:2" hidden="1" x14ac:dyDescent="0.25">
      <c r="A2658" s="15"/>
      <c r="B2658" s="14"/>
    </row>
    <row r="2659" spans="1:2" hidden="1" x14ac:dyDescent="0.25">
      <c r="A2659" s="15"/>
      <c r="B2659" s="14"/>
    </row>
    <row r="2660" spans="1:2" hidden="1" x14ac:dyDescent="0.25">
      <c r="A2660" s="15"/>
      <c r="B2660" s="14"/>
    </row>
    <row r="2661" spans="1:2" hidden="1" x14ac:dyDescent="0.25">
      <c r="A2661" s="15"/>
      <c r="B2661" s="14"/>
    </row>
    <row r="2662" spans="1:2" hidden="1" x14ac:dyDescent="0.25">
      <c r="A2662" s="15"/>
      <c r="B2662" s="14"/>
    </row>
    <row r="2663" spans="1:2" hidden="1" x14ac:dyDescent="0.25">
      <c r="A2663" s="15"/>
      <c r="B2663" s="14"/>
    </row>
    <row r="2664" spans="1:2" hidden="1" x14ac:dyDescent="0.25">
      <c r="A2664" s="15"/>
      <c r="B2664" s="14"/>
    </row>
    <row r="2665" spans="1:2" hidden="1" x14ac:dyDescent="0.25">
      <c r="A2665" s="15"/>
      <c r="B2665" s="14"/>
    </row>
    <row r="2666" spans="1:2" hidden="1" x14ac:dyDescent="0.25">
      <c r="A2666" s="15"/>
      <c r="B2666" s="14"/>
    </row>
    <row r="2667" spans="1:2" hidden="1" x14ac:dyDescent="0.25">
      <c r="A2667" s="15"/>
      <c r="B2667" s="14"/>
    </row>
    <row r="2668" spans="1:2" hidden="1" x14ac:dyDescent="0.25">
      <c r="A2668" s="15"/>
      <c r="B2668" s="14"/>
    </row>
    <row r="2669" spans="1:2" hidden="1" x14ac:dyDescent="0.25">
      <c r="A2669" s="15"/>
      <c r="B2669" s="14"/>
    </row>
    <row r="2670" spans="1:2" hidden="1" x14ac:dyDescent="0.25">
      <c r="A2670" s="15"/>
      <c r="B2670" s="14"/>
    </row>
    <row r="2671" spans="1:2" hidden="1" x14ac:dyDescent="0.25">
      <c r="A2671" s="15"/>
      <c r="B2671" s="14"/>
    </row>
    <row r="2672" spans="1:2" hidden="1" x14ac:dyDescent="0.25">
      <c r="A2672" s="15"/>
      <c r="B2672" s="14"/>
    </row>
    <row r="2673" spans="1:2" hidden="1" x14ac:dyDescent="0.25">
      <c r="A2673" s="15"/>
      <c r="B2673" s="14"/>
    </row>
    <row r="2674" spans="1:2" hidden="1" x14ac:dyDescent="0.25">
      <c r="A2674" s="15"/>
      <c r="B2674" s="14"/>
    </row>
    <row r="2675" spans="1:2" hidden="1" x14ac:dyDescent="0.25">
      <c r="A2675" s="15"/>
      <c r="B2675" s="14"/>
    </row>
    <row r="2676" spans="1:2" hidden="1" x14ac:dyDescent="0.25">
      <c r="A2676" s="15"/>
      <c r="B2676" s="14"/>
    </row>
    <row r="2677" spans="1:2" hidden="1" x14ac:dyDescent="0.25">
      <c r="A2677" s="15"/>
      <c r="B2677" s="14"/>
    </row>
    <row r="2678" spans="1:2" hidden="1" x14ac:dyDescent="0.25">
      <c r="A2678" s="15"/>
      <c r="B2678" s="14"/>
    </row>
    <row r="2679" spans="1:2" hidden="1" x14ac:dyDescent="0.25">
      <c r="A2679" s="15"/>
      <c r="B2679" s="14"/>
    </row>
    <row r="2680" spans="1:2" hidden="1" x14ac:dyDescent="0.25">
      <c r="A2680" s="15"/>
      <c r="B2680" s="14"/>
    </row>
    <row r="2681" spans="1:2" hidden="1" x14ac:dyDescent="0.25">
      <c r="A2681" s="15"/>
      <c r="B2681" s="14"/>
    </row>
    <row r="2682" spans="1:2" hidden="1" x14ac:dyDescent="0.25">
      <c r="A2682" s="15"/>
      <c r="B2682" s="14"/>
    </row>
    <row r="2683" spans="1:2" hidden="1" x14ac:dyDescent="0.25">
      <c r="A2683" s="15"/>
      <c r="B2683" s="14"/>
    </row>
    <row r="2684" spans="1:2" hidden="1" x14ac:dyDescent="0.25">
      <c r="A2684" s="15"/>
      <c r="B2684" s="14"/>
    </row>
    <row r="2685" spans="1:2" hidden="1" x14ac:dyDescent="0.25">
      <c r="A2685" s="15"/>
      <c r="B2685" s="14"/>
    </row>
    <row r="2686" spans="1:2" hidden="1" x14ac:dyDescent="0.25">
      <c r="A2686" s="15"/>
      <c r="B2686" s="14"/>
    </row>
    <row r="2687" spans="1:2" hidden="1" x14ac:dyDescent="0.25">
      <c r="A2687" s="15"/>
      <c r="B2687" s="14"/>
    </row>
    <row r="2688" spans="1:2" hidden="1" x14ac:dyDescent="0.25">
      <c r="A2688" s="15"/>
      <c r="B2688" s="14"/>
    </row>
    <row r="2689" spans="1:2" hidden="1" x14ac:dyDescent="0.25">
      <c r="A2689" s="15"/>
      <c r="B2689" s="14"/>
    </row>
    <row r="2690" spans="1:2" hidden="1" x14ac:dyDescent="0.25">
      <c r="A2690" s="15"/>
      <c r="B2690" s="14"/>
    </row>
    <row r="2691" spans="1:2" hidden="1" x14ac:dyDescent="0.25">
      <c r="A2691" s="15"/>
      <c r="B2691" s="14"/>
    </row>
    <row r="2692" spans="1:2" hidden="1" x14ac:dyDescent="0.25">
      <c r="A2692" s="15"/>
      <c r="B2692" s="14"/>
    </row>
    <row r="2693" spans="1:2" hidden="1" x14ac:dyDescent="0.25">
      <c r="A2693" s="15"/>
      <c r="B2693" s="14"/>
    </row>
    <row r="2694" spans="1:2" hidden="1" x14ac:dyDescent="0.25">
      <c r="A2694" s="15"/>
      <c r="B2694" s="14"/>
    </row>
    <row r="2695" spans="1:2" hidden="1" x14ac:dyDescent="0.25">
      <c r="A2695" s="15"/>
      <c r="B2695" s="14"/>
    </row>
    <row r="2696" spans="1:2" hidden="1" x14ac:dyDescent="0.25">
      <c r="A2696" s="15"/>
      <c r="B2696" s="14"/>
    </row>
    <row r="2697" spans="1:2" hidden="1" x14ac:dyDescent="0.25">
      <c r="A2697" s="15"/>
      <c r="B2697" s="14"/>
    </row>
    <row r="2698" spans="1:2" hidden="1" x14ac:dyDescent="0.25">
      <c r="A2698" s="15"/>
      <c r="B2698" s="14"/>
    </row>
    <row r="2699" spans="1:2" hidden="1" x14ac:dyDescent="0.25">
      <c r="A2699" s="15"/>
      <c r="B2699" s="14"/>
    </row>
    <row r="2700" spans="1:2" hidden="1" x14ac:dyDescent="0.25">
      <c r="A2700" s="15"/>
      <c r="B2700" s="14"/>
    </row>
    <row r="2701" spans="1:2" hidden="1" x14ac:dyDescent="0.25">
      <c r="A2701" s="15"/>
      <c r="B2701" s="14"/>
    </row>
    <row r="2702" spans="1:2" hidden="1" x14ac:dyDescent="0.25">
      <c r="A2702" s="15"/>
      <c r="B2702" s="14"/>
    </row>
    <row r="2703" spans="1:2" hidden="1" x14ac:dyDescent="0.25">
      <c r="A2703" s="15"/>
      <c r="B2703" s="14"/>
    </row>
    <row r="2704" spans="1:2" hidden="1" x14ac:dyDescent="0.25">
      <c r="A2704" s="15"/>
      <c r="B2704" s="14"/>
    </row>
    <row r="2705" spans="1:2" hidden="1" x14ac:dyDescent="0.25">
      <c r="A2705" s="15"/>
      <c r="B2705" s="14"/>
    </row>
    <row r="2706" spans="1:2" hidden="1" x14ac:dyDescent="0.25">
      <c r="A2706" s="15"/>
      <c r="B2706" s="14"/>
    </row>
    <row r="2707" spans="1:2" hidden="1" x14ac:dyDescent="0.25">
      <c r="A2707" s="15"/>
      <c r="B2707" s="14"/>
    </row>
    <row r="2708" spans="1:2" hidden="1" x14ac:dyDescent="0.25">
      <c r="A2708" s="15"/>
      <c r="B2708" s="14"/>
    </row>
    <row r="2709" spans="1:2" hidden="1" x14ac:dyDescent="0.25">
      <c r="A2709" s="15"/>
      <c r="B2709" s="14"/>
    </row>
    <row r="2710" spans="1:2" hidden="1" x14ac:dyDescent="0.25">
      <c r="A2710" s="15"/>
      <c r="B2710" s="14"/>
    </row>
    <row r="2711" spans="1:2" hidden="1" x14ac:dyDescent="0.25">
      <c r="A2711" s="15"/>
      <c r="B2711" s="14"/>
    </row>
    <row r="2712" spans="1:2" hidden="1" x14ac:dyDescent="0.25">
      <c r="A2712" s="15"/>
      <c r="B2712" s="14"/>
    </row>
    <row r="2713" spans="1:2" hidden="1" x14ac:dyDescent="0.25">
      <c r="A2713" s="15"/>
      <c r="B2713" s="14"/>
    </row>
    <row r="2714" spans="1:2" hidden="1" x14ac:dyDescent="0.25">
      <c r="A2714" s="15"/>
      <c r="B2714" s="14"/>
    </row>
    <row r="2715" spans="1:2" hidden="1" x14ac:dyDescent="0.25">
      <c r="A2715" s="15"/>
      <c r="B2715" s="14"/>
    </row>
    <row r="2716" spans="1:2" hidden="1" x14ac:dyDescent="0.25">
      <c r="A2716" s="15"/>
      <c r="B2716" s="14"/>
    </row>
    <row r="2717" spans="1:2" hidden="1" x14ac:dyDescent="0.25">
      <c r="A2717" s="15"/>
      <c r="B2717" s="14"/>
    </row>
    <row r="2718" spans="1:2" hidden="1" x14ac:dyDescent="0.25">
      <c r="A2718" s="15"/>
      <c r="B2718" s="14"/>
    </row>
    <row r="2719" spans="1:2" hidden="1" x14ac:dyDescent="0.25">
      <c r="A2719" s="15"/>
      <c r="B2719" s="14"/>
    </row>
    <row r="2720" spans="1:2" hidden="1" x14ac:dyDescent="0.25">
      <c r="A2720" s="15"/>
      <c r="B2720" s="14"/>
    </row>
    <row r="2721" spans="1:2" hidden="1" x14ac:dyDescent="0.25">
      <c r="A2721" s="15"/>
      <c r="B2721" s="14"/>
    </row>
    <row r="2722" spans="1:2" hidden="1" x14ac:dyDescent="0.25">
      <c r="A2722" s="15"/>
      <c r="B2722" s="14"/>
    </row>
    <row r="2723" spans="1:2" hidden="1" x14ac:dyDescent="0.25">
      <c r="A2723" s="15"/>
      <c r="B2723" s="14"/>
    </row>
    <row r="2724" spans="1:2" hidden="1" x14ac:dyDescent="0.25">
      <c r="A2724" s="15"/>
      <c r="B2724" s="14"/>
    </row>
    <row r="2725" spans="1:2" hidden="1" x14ac:dyDescent="0.25">
      <c r="A2725" s="15"/>
      <c r="B2725" s="14"/>
    </row>
    <row r="2726" spans="1:2" hidden="1" x14ac:dyDescent="0.25">
      <c r="A2726" s="15"/>
      <c r="B2726" s="14"/>
    </row>
    <row r="2727" spans="1:2" hidden="1" x14ac:dyDescent="0.25">
      <c r="A2727" s="15"/>
      <c r="B2727" s="14"/>
    </row>
    <row r="2728" spans="1:2" hidden="1" x14ac:dyDescent="0.25">
      <c r="A2728" s="15"/>
      <c r="B2728" s="14"/>
    </row>
    <row r="2729" spans="1:2" hidden="1" x14ac:dyDescent="0.25">
      <c r="A2729" s="15"/>
      <c r="B2729" s="14"/>
    </row>
    <row r="2730" spans="1:2" hidden="1" x14ac:dyDescent="0.25">
      <c r="A2730" s="15"/>
      <c r="B2730" s="14"/>
    </row>
    <row r="2731" spans="1:2" hidden="1" x14ac:dyDescent="0.25">
      <c r="A2731" s="15"/>
      <c r="B2731" s="14"/>
    </row>
    <row r="2732" spans="1:2" hidden="1" x14ac:dyDescent="0.25">
      <c r="A2732" s="15"/>
      <c r="B2732" s="14"/>
    </row>
    <row r="2733" spans="1:2" hidden="1" x14ac:dyDescent="0.25">
      <c r="A2733" s="15"/>
      <c r="B2733" s="14"/>
    </row>
    <row r="2734" spans="1:2" hidden="1" x14ac:dyDescent="0.25">
      <c r="A2734" s="15"/>
      <c r="B2734" s="14"/>
    </row>
    <row r="2735" spans="1:2" hidden="1" x14ac:dyDescent="0.25">
      <c r="A2735" s="15"/>
      <c r="B2735" s="14"/>
    </row>
    <row r="2736" spans="1:2" hidden="1" x14ac:dyDescent="0.25">
      <c r="A2736" s="15"/>
      <c r="B2736" s="14"/>
    </row>
    <row r="2737" spans="1:2" hidden="1" x14ac:dyDescent="0.25">
      <c r="A2737" s="15"/>
      <c r="B2737" s="14"/>
    </row>
    <row r="2738" spans="1:2" hidden="1" x14ac:dyDescent="0.25">
      <c r="A2738" s="15"/>
      <c r="B2738" s="14"/>
    </row>
    <row r="2739" spans="1:2" hidden="1" x14ac:dyDescent="0.25">
      <c r="A2739" s="15"/>
      <c r="B2739" s="14"/>
    </row>
    <row r="2740" spans="1:2" hidden="1" x14ac:dyDescent="0.25">
      <c r="A2740" s="15"/>
      <c r="B2740" s="14"/>
    </row>
    <row r="2741" spans="1:2" hidden="1" x14ac:dyDescent="0.25">
      <c r="A2741" s="15"/>
      <c r="B2741" s="14"/>
    </row>
    <row r="2742" spans="1:2" hidden="1" x14ac:dyDescent="0.25">
      <c r="A2742" s="15"/>
      <c r="B2742" s="14"/>
    </row>
    <row r="2743" spans="1:2" hidden="1" x14ac:dyDescent="0.25">
      <c r="A2743" s="15"/>
      <c r="B2743" s="14"/>
    </row>
    <row r="2744" spans="1:2" hidden="1" x14ac:dyDescent="0.25">
      <c r="A2744" s="15"/>
      <c r="B2744" s="14"/>
    </row>
    <row r="2745" spans="1:2" hidden="1" x14ac:dyDescent="0.25">
      <c r="A2745" s="15"/>
      <c r="B2745" s="14"/>
    </row>
    <row r="2746" spans="1:2" hidden="1" x14ac:dyDescent="0.25">
      <c r="A2746" s="15"/>
      <c r="B2746" s="14"/>
    </row>
    <row r="2747" spans="1:2" hidden="1" x14ac:dyDescent="0.25">
      <c r="A2747" s="15"/>
      <c r="B2747" s="14"/>
    </row>
    <row r="2748" spans="1:2" hidden="1" x14ac:dyDescent="0.25">
      <c r="A2748" s="15"/>
      <c r="B2748" s="14"/>
    </row>
    <row r="2749" spans="1:2" hidden="1" x14ac:dyDescent="0.25">
      <c r="A2749" s="15"/>
      <c r="B2749" s="14"/>
    </row>
    <row r="2750" spans="1:2" hidden="1" x14ac:dyDescent="0.25">
      <c r="A2750" s="15"/>
      <c r="B2750" s="14"/>
    </row>
    <row r="2751" spans="1:2" hidden="1" x14ac:dyDescent="0.25">
      <c r="A2751" s="15"/>
      <c r="B2751" s="14"/>
    </row>
    <row r="2752" spans="1:2" hidden="1" x14ac:dyDescent="0.25">
      <c r="A2752" s="15"/>
      <c r="B2752" s="14"/>
    </row>
    <row r="2753" spans="1:2" hidden="1" x14ac:dyDescent="0.25">
      <c r="A2753" s="15"/>
      <c r="B2753" s="14"/>
    </row>
    <row r="2754" spans="1:2" hidden="1" x14ac:dyDescent="0.25">
      <c r="A2754" s="15"/>
      <c r="B2754" s="14"/>
    </row>
    <row r="2755" spans="1:2" hidden="1" x14ac:dyDescent="0.25">
      <c r="A2755" s="15"/>
      <c r="B2755" s="14"/>
    </row>
    <row r="2756" spans="1:2" hidden="1" x14ac:dyDescent="0.25">
      <c r="A2756" s="15"/>
      <c r="B2756" s="14"/>
    </row>
    <row r="2757" spans="1:2" hidden="1" x14ac:dyDescent="0.25">
      <c r="A2757" s="15"/>
      <c r="B2757" s="14"/>
    </row>
    <row r="2758" spans="1:2" hidden="1" x14ac:dyDescent="0.25">
      <c r="A2758" s="15"/>
      <c r="B2758" s="14"/>
    </row>
    <row r="2759" spans="1:2" hidden="1" x14ac:dyDescent="0.25">
      <c r="A2759" s="15"/>
      <c r="B2759" s="14"/>
    </row>
    <row r="2760" spans="1:2" hidden="1" x14ac:dyDescent="0.25">
      <c r="A2760" s="15"/>
      <c r="B2760" s="14"/>
    </row>
    <row r="2761" spans="1:2" hidden="1" x14ac:dyDescent="0.25">
      <c r="A2761" s="15"/>
      <c r="B2761" s="14"/>
    </row>
    <row r="2762" spans="1:2" hidden="1" x14ac:dyDescent="0.25">
      <c r="A2762" s="15"/>
      <c r="B2762" s="14"/>
    </row>
    <row r="2763" spans="1:2" hidden="1" x14ac:dyDescent="0.25">
      <c r="A2763" s="15"/>
      <c r="B2763" s="14"/>
    </row>
    <row r="2764" spans="1:2" hidden="1" x14ac:dyDescent="0.25">
      <c r="A2764" s="15"/>
      <c r="B2764" s="14"/>
    </row>
    <row r="2765" spans="1:2" hidden="1" x14ac:dyDescent="0.25">
      <c r="A2765" s="15"/>
      <c r="B2765" s="14"/>
    </row>
    <row r="2766" spans="1:2" hidden="1" x14ac:dyDescent="0.25">
      <c r="A2766" s="15"/>
      <c r="B2766" s="14"/>
    </row>
    <row r="2767" spans="1:2" hidden="1" x14ac:dyDescent="0.25">
      <c r="A2767" s="15"/>
      <c r="B2767" s="14"/>
    </row>
    <row r="2768" spans="1:2" hidden="1" x14ac:dyDescent="0.25">
      <c r="A2768" s="15"/>
      <c r="B2768" s="14"/>
    </row>
    <row r="2769" spans="1:2" hidden="1" x14ac:dyDescent="0.25">
      <c r="A2769" s="15"/>
      <c r="B2769" s="14"/>
    </row>
    <row r="2770" spans="1:2" hidden="1" x14ac:dyDescent="0.25">
      <c r="A2770" s="15"/>
      <c r="B2770" s="14"/>
    </row>
    <row r="2771" spans="1:2" hidden="1" x14ac:dyDescent="0.25">
      <c r="A2771" s="15"/>
      <c r="B2771" s="14"/>
    </row>
    <row r="2772" spans="1:2" hidden="1" x14ac:dyDescent="0.25">
      <c r="A2772" s="15"/>
      <c r="B2772" s="14"/>
    </row>
    <row r="2773" spans="1:2" hidden="1" x14ac:dyDescent="0.25">
      <c r="A2773" s="15"/>
      <c r="B2773" s="14"/>
    </row>
    <row r="2774" spans="1:2" hidden="1" x14ac:dyDescent="0.25">
      <c r="A2774" s="15"/>
      <c r="B2774" s="14"/>
    </row>
    <row r="2775" spans="1:2" hidden="1" x14ac:dyDescent="0.25">
      <c r="A2775" s="15"/>
      <c r="B2775" s="14"/>
    </row>
    <row r="2776" spans="1:2" hidden="1" x14ac:dyDescent="0.25">
      <c r="A2776" s="15"/>
      <c r="B2776" s="14"/>
    </row>
    <row r="2777" spans="1:2" hidden="1" x14ac:dyDescent="0.25">
      <c r="A2777" s="15"/>
      <c r="B2777" s="14"/>
    </row>
    <row r="2778" spans="1:2" hidden="1" x14ac:dyDescent="0.25">
      <c r="A2778" s="15"/>
      <c r="B2778" s="14"/>
    </row>
    <row r="2779" spans="1:2" hidden="1" x14ac:dyDescent="0.25">
      <c r="A2779" s="15"/>
      <c r="B2779" s="14"/>
    </row>
    <row r="2780" spans="1:2" hidden="1" x14ac:dyDescent="0.25">
      <c r="A2780" s="15"/>
      <c r="B2780" s="14"/>
    </row>
    <row r="2781" spans="1:2" hidden="1" x14ac:dyDescent="0.25">
      <c r="A2781" s="15"/>
      <c r="B2781" s="14"/>
    </row>
    <row r="2782" spans="1:2" hidden="1" x14ac:dyDescent="0.25">
      <c r="A2782" s="15"/>
      <c r="B2782" s="14"/>
    </row>
    <row r="2783" spans="1:2" hidden="1" x14ac:dyDescent="0.25">
      <c r="A2783" s="15"/>
      <c r="B2783" s="14"/>
    </row>
    <row r="2784" spans="1:2" hidden="1" x14ac:dyDescent="0.25">
      <c r="A2784" s="15"/>
      <c r="B2784" s="14"/>
    </row>
    <row r="2785" spans="1:2" hidden="1" x14ac:dyDescent="0.25">
      <c r="A2785" s="15"/>
      <c r="B2785" s="14"/>
    </row>
    <row r="2786" spans="1:2" hidden="1" x14ac:dyDescent="0.25">
      <c r="A2786" s="15"/>
      <c r="B2786" s="14"/>
    </row>
    <row r="2787" spans="1:2" hidden="1" x14ac:dyDescent="0.25">
      <c r="A2787" s="15"/>
      <c r="B2787" s="14"/>
    </row>
    <row r="2788" spans="1:2" hidden="1" x14ac:dyDescent="0.25">
      <c r="A2788" s="15"/>
      <c r="B2788" s="14"/>
    </row>
    <row r="2789" spans="1:2" hidden="1" x14ac:dyDescent="0.25">
      <c r="A2789" s="15"/>
      <c r="B2789" s="14"/>
    </row>
    <row r="2790" spans="1:2" hidden="1" x14ac:dyDescent="0.25">
      <c r="A2790" s="15"/>
      <c r="B2790" s="14"/>
    </row>
    <row r="2791" spans="1:2" hidden="1" x14ac:dyDescent="0.25">
      <c r="A2791" s="15"/>
      <c r="B2791" s="14"/>
    </row>
    <row r="2792" spans="1:2" hidden="1" x14ac:dyDescent="0.25">
      <c r="A2792" s="15"/>
      <c r="B2792" s="14"/>
    </row>
    <row r="2793" spans="1:2" hidden="1" x14ac:dyDescent="0.25">
      <c r="A2793" s="15"/>
      <c r="B2793" s="14"/>
    </row>
    <row r="2794" spans="1:2" hidden="1" x14ac:dyDescent="0.25">
      <c r="A2794" s="15"/>
      <c r="B2794" s="14"/>
    </row>
    <row r="2795" spans="1:2" hidden="1" x14ac:dyDescent="0.25">
      <c r="A2795" s="15"/>
      <c r="B2795" s="14"/>
    </row>
    <row r="2796" spans="1:2" hidden="1" x14ac:dyDescent="0.25">
      <c r="A2796" s="15"/>
      <c r="B2796" s="14"/>
    </row>
    <row r="2797" spans="1:2" hidden="1" x14ac:dyDescent="0.25">
      <c r="A2797" s="15"/>
      <c r="B2797" s="14"/>
    </row>
    <row r="2798" spans="1:2" hidden="1" x14ac:dyDescent="0.25">
      <c r="A2798" s="15"/>
      <c r="B2798" s="14"/>
    </row>
    <row r="2799" spans="1:2" hidden="1" x14ac:dyDescent="0.25">
      <c r="A2799" s="15"/>
      <c r="B2799" s="14"/>
    </row>
    <row r="2800" spans="1:2" hidden="1" x14ac:dyDescent="0.25">
      <c r="A2800" s="15"/>
      <c r="B2800" s="14"/>
    </row>
    <row r="2801" spans="1:2" hidden="1" x14ac:dyDescent="0.25">
      <c r="A2801" s="15"/>
      <c r="B2801" s="14"/>
    </row>
    <row r="2802" spans="1:2" hidden="1" x14ac:dyDescent="0.25">
      <c r="A2802" s="15"/>
      <c r="B2802" s="14"/>
    </row>
    <row r="2803" spans="1:2" hidden="1" x14ac:dyDescent="0.25">
      <c r="A2803" s="15"/>
      <c r="B2803" s="14"/>
    </row>
    <row r="2804" spans="1:2" hidden="1" x14ac:dyDescent="0.25">
      <c r="A2804" s="15"/>
      <c r="B2804" s="14"/>
    </row>
    <row r="2805" spans="1:2" hidden="1" x14ac:dyDescent="0.25">
      <c r="A2805" s="15"/>
      <c r="B2805" s="14"/>
    </row>
    <row r="2806" spans="1:2" hidden="1" x14ac:dyDescent="0.25">
      <c r="A2806" s="15"/>
      <c r="B2806" s="14"/>
    </row>
    <row r="2807" spans="1:2" hidden="1" x14ac:dyDescent="0.25">
      <c r="A2807" s="15"/>
      <c r="B2807" s="14"/>
    </row>
    <row r="2808" spans="1:2" hidden="1" x14ac:dyDescent="0.25">
      <c r="A2808" s="15"/>
      <c r="B2808" s="1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D96DE-4E82-437D-A0F8-24D41CE7868F}">
  <dimension ref="A1:D240"/>
  <sheetViews>
    <sheetView topLeftCell="A156" workbookViewId="0"/>
  </sheetViews>
  <sheetFormatPr defaultColWidth="0" defaultRowHeight="15" zeroHeight="1" x14ac:dyDescent="0.25"/>
  <cols>
    <col min="1" max="1" width="18.42578125" style="3" customWidth="1"/>
    <col min="2" max="2" width="25.7109375" customWidth="1"/>
    <col min="3" max="3" width="30.7109375" customWidth="1"/>
    <col min="4" max="4" width="0" hidden="1" customWidth="1"/>
    <col min="5" max="16384" width="9.140625" hidden="1"/>
  </cols>
  <sheetData>
    <row r="1" spans="1:3" ht="36" customHeight="1" x14ac:dyDescent="0.25">
      <c r="A1" s="13" t="s">
        <v>11</v>
      </c>
      <c r="B1" s="1" t="s">
        <v>12</v>
      </c>
      <c r="C1" s="1" t="s">
        <v>13</v>
      </c>
    </row>
    <row r="2" spans="1:3" x14ac:dyDescent="0.25">
      <c r="A2" s="3">
        <v>0</v>
      </c>
      <c r="B2">
        <v>15</v>
      </c>
      <c r="C2" s="4" t="str">
        <f>'[1]NB LRV Data'!E1</f>
        <v>ALG</v>
      </c>
    </row>
    <row r="3" spans="1:3" x14ac:dyDescent="0.25">
      <c r="A3" s="3">
        <v>6.0999999986961484</v>
      </c>
      <c r="B3">
        <v>15</v>
      </c>
      <c r="C3" s="4" t="str">
        <f>'[1]NB LRV Data'!E2</f>
        <v>15km / ALG Finish</v>
      </c>
    </row>
    <row r="4" spans="1:3" x14ac:dyDescent="0.25">
      <c r="A4" s="3">
        <v>46.940000000176951</v>
      </c>
      <c r="B4">
        <v>15</v>
      </c>
      <c r="C4" s="4" t="str">
        <f>'[1]NB LRV Data'!E3</f>
        <v>I27 Start</v>
      </c>
    </row>
    <row r="5" spans="1:3" x14ac:dyDescent="0.25">
      <c r="A5" s="5">
        <v>92.82</v>
      </c>
      <c r="B5" s="6">
        <v>15</v>
      </c>
      <c r="C5" s="7"/>
    </row>
    <row r="6" spans="1:3" x14ac:dyDescent="0.25">
      <c r="A6" s="3">
        <v>92.83000000868924</v>
      </c>
      <c r="B6">
        <v>40</v>
      </c>
      <c r="C6" s="4" t="str">
        <f>'[1]NB LRV Data'!E4</f>
        <v>40km / I27 Finish</v>
      </c>
    </row>
    <row r="7" spans="1:3" x14ac:dyDescent="0.25">
      <c r="A7" s="5">
        <v>192.32</v>
      </c>
      <c r="B7" s="6">
        <v>40</v>
      </c>
      <c r="C7" s="7"/>
    </row>
    <row r="8" spans="1:3" x14ac:dyDescent="0.25">
      <c r="A8" s="3">
        <v>192.32999999076128</v>
      </c>
      <c r="B8">
        <v>30</v>
      </c>
      <c r="C8" s="4" t="str">
        <f>'[1]NB LRV Data'!E5</f>
        <v>30km / I26 Start</v>
      </c>
    </row>
    <row r="9" spans="1:3" x14ac:dyDescent="0.25">
      <c r="A9" s="5">
        <v>251.09</v>
      </c>
      <c r="B9" s="6">
        <v>30</v>
      </c>
      <c r="C9" s="7"/>
    </row>
    <row r="10" spans="1:3" x14ac:dyDescent="0.25">
      <c r="A10" s="3">
        <v>251.09999999403954</v>
      </c>
      <c r="B10">
        <v>50</v>
      </c>
      <c r="C10" s="4" t="str">
        <f>'[1]NB LRV Data'!E6</f>
        <v>50km / I26 Finish</v>
      </c>
    </row>
    <row r="11" spans="1:3" x14ac:dyDescent="0.25">
      <c r="A11" s="3">
        <v>428.40000000433065</v>
      </c>
      <c r="B11">
        <v>50</v>
      </c>
      <c r="C11" s="4" t="str">
        <f>'[1]NB LRV Data'!E7</f>
        <v>Midblock Crossing</v>
      </c>
    </row>
    <row r="12" spans="1:3" x14ac:dyDescent="0.25">
      <c r="A12" s="5">
        <v>500.81</v>
      </c>
      <c r="B12" s="6">
        <v>50</v>
      </c>
      <c r="C12" s="7"/>
    </row>
    <row r="13" spans="1:3" x14ac:dyDescent="0.25">
      <c r="A13" s="3">
        <v>500.82000001566485</v>
      </c>
      <c r="B13">
        <v>40</v>
      </c>
      <c r="C13" s="4" t="str">
        <f>'[1]NB LRV Data'!E8</f>
        <v>40km / I25 Start</v>
      </c>
    </row>
    <row r="14" spans="1:3" x14ac:dyDescent="0.25">
      <c r="A14" s="5">
        <v>552.79999999999995</v>
      </c>
      <c r="B14" s="6">
        <v>40</v>
      </c>
      <c r="C14" s="7"/>
    </row>
    <row r="15" spans="1:3" x14ac:dyDescent="0.25">
      <c r="A15" s="3">
        <v>552.80999999376945</v>
      </c>
      <c r="B15">
        <v>30</v>
      </c>
      <c r="C15" s="4" t="str">
        <f>'[1]NB LRV Data'!E9</f>
        <v>ELA Start / I25 Finish</v>
      </c>
    </row>
    <row r="16" spans="1:3" x14ac:dyDescent="0.25">
      <c r="A16" s="5">
        <v>593.83000000000004</v>
      </c>
      <c r="B16" s="6">
        <v>30</v>
      </c>
      <c r="C16" s="7"/>
    </row>
    <row r="17" spans="1:3" x14ac:dyDescent="0.25">
      <c r="A17" s="3">
        <v>593.8400000159163</v>
      </c>
      <c r="B17">
        <v>60</v>
      </c>
      <c r="C17" s="4" t="str">
        <f>'[1]NB LRV Data'!E10</f>
        <v xml:space="preserve">60km / ELA Finish </v>
      </c>
    </row>
    <row r="18" spans="1:3" x14ac:dyDescent="0.25">
      <c r="A18" s="5">
        <v>768.42</v>
      </c>
      <c r="B18" s="6">
        <v>60</v>
      </c>
      <c r="C18" s="7"/>
    </row>
    <row r="19" spans="1:3" x14ac:dyDescent="0.25">
      <c r="A19" s="3">
        <v>768.42999999644235</v>
      </c>
      <c r="B19">
        <v>40</v>
      </c>
      <c r="C19" s="4" t="str">
        <f>'[1]NB LRV Data'!E11</f>
        <v>40km</v>
      </c>
    </row>
    <row r="20" spans="1:3" x14ac:dyDescent="0.25">
      <c r="A20" s="3">
        <v>805.22999999811873</v>
      </c>
      <c r="B20">
        <v>40</v>
      </c>
      <c r="C20" s="4" t="str">
        <f>'[1]NB LRV Data'!E12</f>
        <v>I24 Start</v>
      </c>
    </row>
    <row r="21" spans="1:3" x14ac:dyDescent="0.25">
      <c r="A21" s="3">
        <v>859.45000001811422</v>
      </c>
      <c r="B21">
        <v>40</v>
      </c>
      <c r="C21" s="4" t="str">
        <f>'[1]NB LRV Data'!E13</f>
        <v>I24 Finish</v>
      </c>
    </row>
    <row r="22" spans="1:3" x14ac:dyDescent="0.25">
      <c r="A22" s="5">
        <v>906.35</v>
      </c>
      <c r="B22" s="6">
        <v>40</v>
      </c>
      <c r="C22" s="7"/>
    </row>
    <row r="23" spans="1:3" x14ac:dyDescent="0.25">
      <c r="A23" s="3">
        <v>906.35999999358319</v>
      </c>
      <c r="B23">
        <v>60</v>
      </c>
      <c r="C23" s="4" t="str">
        <f>'[1]NB LRV Data'!E14</f>
        <v>60km</v>
      </c>
    </row>
    <row r="24" spans="1:3" x14ac:dyDescent="0.25">
      <c r="A24" s="3">
        <v>1001.2400000123307</v>
      </c>
      <c r="B24">
        <v>60</v>
      </c>
      <c r="C24" s="4" t="str">
        <f>'[1]NB LRV Data'!E15</f>
        <v>Midblock Crossing</v>
      </c>
    </row>
    <row r="25" spans="1:3" x14ac:dyDescent="0.25">
      <c r="A25" s="3">
        <v>1115.6499999924563</v>
      </c>
      <c r="B25">
        <v>60</v>
      </c>
      <c r="C25" s="4" t="str">
        <f>'[1]NB LRV Data'!E16</f>
        <v>Midblock Crossing</v>
      </c>
    </row>
    <row r="26" spans="1:3" x14ac:dyDescent="0.25">
      <c r="A26" s="5">
        <v>1214.3</v>
      </c>
      <c r="B26" s="6">
        <v>60</v>
      </c>
      <c r="C26" s="7"/>
    </row>
    <row r="27" spans="1:3" x14ac:dyDescent="0.25">
      <c r="A27" s="3">
        <v>1214.3100000103004</v>
      </c>
      <c r="B27">
        <v>50</v>
      </c>
      <c r="C27" s="4" t="str">
        <f>'[1]NB LRV Data'!E17</f>
        <v>50km</v>
      </c>
    </row>
    <row r="28" spans="1:3" x14ac:dyDescent="0.25">
      <c r="A28" s="3">
        <v>1259.6800000173971</v>
      </c>
      <c r="B28">
        <v>50</v>
      </c>
      <c r="C28" s="4" t="str">
        <f>'[1]NB LRV Data'!E18</f>
        <v>I23 Start</v>
      </c>
    </row>
    <row r="29" spans="1:3" x14ac:dyDescent="0.25">
      <c r="A29" s="5">
        <v>1325.03</v>
      </c>
      <c r="B29" s="6">
        <v>50</v>
      </c>
      <c r="C29" s="7"/>
    </row>
    <row r="30" spans="1:3" x14ac:dyDescent="0.25">
      <c r="A30" s="3">
        <v>1325.0399999960791</v>
      </c>
      <c r="B30">
        <v>30</v>
      </c>
      <c r="C30" s="4" t="str">
        <f>'[1]NB LRV Data'!E19</f>
        <v>IPA Start / I23 Finish</v>
      </c>
    </row>
    <row r="31" spans="1:3" x14ac:dyDescent="0.25">
      <c r="A31" s="5">
        <v>1361.76</v>
      </c>
      <c r="B31" s="6">
        <v>30</v>
      </c>
      <c r="C31" s="7"/>
    </row>
    <row r="32" spans="1:3" x14ac:dyDescent="0.25">
      <c r="A32" s="3">
        <v>1361.7700000177138</v>
      </c>
      <c r="B32">
        <v>60</v>
      </c>
      <c r="C32" s="4" t="str">
        <f>'[1]NB LRV Data'!E20</f>
        <v>60km / IPA Finish</v>
      </c>
    </row>
    <row r="33" spans="1:3" x14ac:dyDescent="0.25">
      <c r="A33" s="3">
        <v>1550.9500000043772</v>
      </c>
      <c r="B33">
        <v>60</v>
      </c>
      <c r="C33" s="4" t="str">
        <f>'[1]NB LRV Data'!E21</f>
        <v>Midblock Crossing</v>
      </c>
    </row>
    <row r="34" spans="1:3" x14ac:dyDescent="0.25">
      <c r="A34" s="5">
        <v>1864.21</v>
      </c>
      <c r="B34" s="6">
        <v>60</v>
      </c>
      <c r="C34" s="7"/>
    </row>
    <row r="35" spans="1:3" x14ac:dyDescent="0.25">
      <c r="A35" s="3">
        <v>1864.2200000176672</v>
      </c>
      <c r="B35">
        <v>50</v>
      </c>
      <c r="C35" s="4" t="str">
        <f>'[1]NB LRV Data'!E22</f>
        <v>50km</v>
      </c>
    </row>
    <row r="36" spans="1:3" x14ac:dyDescent="0.25">
      <c r="A36" s="3">
        <v>1900.3399999928661</v>
      </c>
      <c r="B36">
        <v>50</v>
      </c>
      <c r="C36" s="4" t="str">
        <f>'[1]NB LRV Data'!E23</f>
        <v>I22 Start</v>
      </c>
    </row>
    <row r="37" spans="1:3" x14ac:dyDescent="0.25">
      <c r="A37" s="5">
        <v>1969.22</v>
      </c>
      <c r="B37" s="6">
        <v>50</v>
      </c>
      <c r="C37" s="7"/>
    </row>
    <row r="38" spans="1:3" x14ac:dyDescent="0.25">
      <c r="A38" s="3">
        <v>1969.230000016978</v>
      </c>
      <c r="B38">
        <v>30</v>
      </c>
      <c r="C38" s="4" t="str">
        <f>'[1]NB LRV Data'!E24</f>
        <v>MCR Start / I22 Finish</v>
      </c>
    </row>
    <row r="39" spans="1:3" x14ac:dyDescent="0.25">
      <c r="A39" s="5">
        <v>2008.69</v>
      </c>
      <c r="B39" s="6">
        <v>30</v>
      </c>
      <c r="C39" s="7"/>
    </row>
    <row r="40" spans="1:3" x14ac:dyDescent="0.25">
      <c r="A40" s="3">
        <v>2008.7000000057742</v>
      </c>
      <c r="B40">
        <v>60</v>
      </c>
      <c r="C40" s="4" t="str">
        <f>'[1]NB LRV Data'!E25</f>
        <v>60km / MCR Finish</v>
      </c>
    </row>
    <row r="41" spans="1:3" x14ac:dyDescent="0.25">
      <c r="A41" s="3">
        <v>2174.7599999944214</v>
      </c>
      <c r="B41">
        <v>60</v>
      </c>
      <c r="C41" s="4" t="str">
        <f>'[1]NB LRV Data'!E26</f>
        <v>Midblock Crossing</v>
      </c>
    </row>
    <row r="42" spans="1:3" x14ac:dyDescent="0.25">
      <c r="A42" s="3">
        <v>2387.8600000170991</v>
      </c>
      <c r="B42">
        <v>60</v>
      </c>
      <c r="C42" s="4" t="str">
        <f>'[1]NB LRV Data'!E27</f>
        <v>Midblock Crossing</v>
      </c>
    </row>
    <row r="43" spans="1:3" x14ac:dyDescent="0.25">
      <c r="A43" s="3">
        <v>2551.3800000189804</v>
      </c>
      <c r="B43">
        <v>60</v>
      </c>
      <c r="C43" s="4" t="str">
        <f>'[1]NB LRV Data'!E28</f>
        <v>Midblock Crossing</v>
      </c>
    </row>
    <row r="44" spans="1:3" x14ac:dyDescent="0.25">
      <c r="A44" s="5">
        <v>2654.03</v>
      </c>
      <c r="B44" s="6">
        <v>60</v>
      </c>
      <c r="C44" s="7"/>
    </row>
    <row r="45" spans="1:3" x14ac:dyDescent="0.25">
      <c r="A45" s="3">
        <v>2654.0399999939837</v>
      </c>
      <c r="B45">
        <v>40</v>
      </c>
      <c r="C45" s="4" t="str">
        <f>'[1]NB LRV Data'!E29</f>
        <v>40km</v>
      </c>
    </row>
    <row r="46" spans="1:3" x14ac:dyDescent="0.25">
      <c r="A46" s="3">
        <v>2687.7099999983329</v>
      </c>
      <c r="B46">
        <v>40</v>
      </c>
      <c r="C46" s="4" t="str">
        <f>'[1]NB LRV Data'!E30</f>
        <v>I21 Start</v>
      </c>
    </row>
    <row r="47" spans="1:3" x14ac:dyDescent="0.25">
      <c r="A47" s="3">
        <v>2765.2900000102818</v>
      </c>
      <c r="B47">
        <v>40</v>
      </c>
      <c r="C47" s="4" t="str">
        <f>'[1]NB LRV Data'!E31</f>
        <v>I21 Finish</v>
      </c>
    </row>
    <row r="48" spans="1:3" x14ac:dyDescent="0.25">
      <c r="A48" s="5">
        <v>2969.75</v>
      </c>
      <c r="B48" s="6">
        <v>40</v>
      </c>
      <c r="C48" s="7"/>
    </row>
    <row r="49" spans="1:3" x14ac:dyDescent="0.25">
      <c r="A49" s="3">
        <v>2969.7600000072271</v>
      </c>
      <c r="B49">
        <v>25</v>
      </c>
      <c r="C49" s="4" t="str">
        <f>'[1]NB LRV Data'!E32</f>
        <v>25km</v>
      </c>
    </row>
    <row r="50" spans="1:3" x14ac:dyDescent="0.25">
      <c r="A50" s="3">
        <v>3021.0000000079162</v>
      </c>
      <c r="B50">
        <v>25</v>
      </c>
      <c r="C50" s="4" t="str">
        <f>'[1]NB LRV Data'!E33</f>
        <v>I19 Start</v>
      </c>
    </row>
    <row r="51" spans="1:3" x14ac:dyDescent="0.25">
      <c r="A51" s="3">
        <v>3041.2599999981467</v>
      </c>
      <c r="B51">
        <v>25</v>
      </c>
      <c r="C51" s="4" t="str">
        <f>'[1]NB LRV Data'!E34</f>
        <v>DKN Start / I19 Finish</v>
      </c>
    </row>
    <row r="52" spans="1:3" x14ac:dyDescent="0.25">
      <c r="A52" s="3">
        <v>3075.8100000093691</v>
      </c>
      <c r="B52">
        <v>25</v>
      </c>
      <c r="C52" s="4" t="str">
        <f>'[1]NB LRV Data'!E35</f>
        <v>DKN Finish</v>
      </c>
    </row>
    <row r="53" spans="1:3" x14ac:dyDescent="0.25">
      <c r="A53" s="5">
        <v>3103.22</v>
      </c>
      <c r="B53" s="6">
        <v>25</v>
      </c>
      <c r="C53" s="7"/>
    </row>
    <row r="54" spans="1:3" x14ac:dyDescent="0.25">
      <c r="A54" s="3">
        <v>3103.2300000078976</v>
      </c>
      <c r="B54">
        <v>40</v>
      </c>
      <c r="C54" s="4" t="str">
        <f>'[1]NB LRV Data'!E36</f>
        <v>40km</v>
      </c>
    </row>
    <row r="55" spans="1:3" x14ac:dyDescent="0.25">
      <c r="A55" s="3">
        <v>3150.5900000047404</v>
      </c>
      <c r="B55">
        <v>40</v>
      </c>
      <c r="C55" s="4" t="str">
        <f>'[1]NB LRV Data'!E37</f>
        <v>Midblock Crossing</v>
      </c>
    </row>
    <row r="56" spans="1:3" x14ac:dyDescent="0.25">
      <c r="A56" s="3">
        <v>3281.0100000060629</v>
      </c>
      <c r="B56">
        <v>40</v>
      </c>
      <c r="C56" s="4" t="str">
        <f>'[1]NB LRV Data'!E38</f>
        <v>I18 Start</v>
      </c>
    </row>
    <row r="57" spans="1:3" x14ac:dyDescent="0.25">
      <c r="A57" s="3">
        <v>3337.679999996908</v>
      </c>
      <c r="B57">
        <v>40</v>
      </c>
      <c r="C57" s="4" t="str">
        <f>'[1]NB LRV Data'!E39</f>
        <v>I18 Finish</v>
      </c>
    </row>
    <row r="58" spans="1:3" x14ac:dyDescent="0.25">
      <c r="A58" s="5">
        <v>3381.33</v>
      </c>
      <c r="B58" s="6">
        <v>40</v>
      </c>
      <c r="C58" s="7"/>
    </row>
    <row r="59" spans="1:3" x14ac:dyDescent="0.25">
      <c r="A59" s="3">
        <v>3381.3399999926332</v>
      </c>
      <c r="B59">
        <v>60</v>
      </c>
      <c r="C59" s="4" t="str">
        <f>'[1]NB LRV Data'!E40</f>
        <v>60km</v>
      </c>
    </row>
    <row r="60" spans="1:3" x14ac:dyDescent="0.25">
      <c r="A60" s="5">
        <v>3559.26</v>
      </c>
      <c r="B60" s="6">
        <v>60</v>
      </c>
      <c r="C60" s="7"/>
    </row>
    <row r="61" spans="1:3" x14ac:dyDescent="0.25">
      <c r="A61" s="3">
        <v>3559.2699999979232</v>
      </c>
      <c r="B61">
        <v>50</v>
      </c>
      <c r="C61" s="4" t="str">
        <f>'[1]NB LRV Data'!E41</f>
        <v>50km</v>
      </c>
    </row>
    <row r="62" spans="1:3" x14ac:dyDescent="0.25">
      <c r="A62" s="5">
        <v>3692.02</v>
      </c>
      <c r="B62" s="6">
        <v>50</v>
      </c>
      <c r="C62" s="7"/>
    </row>
    <row r="63" spans="1:3" x14ac:dyDescent="0.25">
      <c r="A63" s="3">
        <v>3692.0300000056159</v>
      </c>
      <c r="B63">
        <v>30</v>
      </c>
      <c r="C63" s="4" t="str">
        <f>'[1]NB LRV Data'!E42</f>
        <v>SWN Start</v>
      </c>
    </row>
    <row r="64" spans="1:3" x14ac:dyDescent="0.25">
      <c r="A64" s="5">
        <v>3731.99</v>
      </c>
      <c r="B64" s="6">
        <v>30</v>
      </c>
      <c r="C64" s="7"/>
    </row>
    <row r="65" spans="1:3" x14ac:dyDescent="0.25">
      <c r="A65" s="3">
        <v>3732.0000000181608</v>
      </c>
      <c r="B65">
        <v>50</v>
      </c>
      <c r="C65" s="4" t="str">
        <f>'[1]NB LRV Data'!E43</f>
        <v>50km / SWN Finish / I17 Start</v>
      </c>
    </row>
    <row r="66" spans="1:3" x14ac:dyDescent="0.25">
      <c r="A66" s="3">
        <v>3787.4700000102166</v>
      </c>
      <c r="B66">
        <v>50</v>
      </c>
      <c r="C66" s="4" t="str">
        <f>'[1]NB LRV Data'!E44</f>
        <v>I17 Finish</v>
      </c>
    </row>
    <row r="67" spans="1:3" x14ac:dyDescent="0.25">
      <c r="A67" s="5">
        <v>3847.61</v>
      </c>
      <c r="B67" s="6">
        <v>50</v>
      </c>
      <c r="C67" s="7"/>
    </row>
    <row r="68" spans="1:3" x14ac:dyDescent="0.25">
      <c r="A68" s="3">
        <v>3847.6200000150129</v>
      </c>
      <c r="B68">
        <v>60</v>
      </c>
      <c r="C68" s="4" t="str">
        <f>'[1]NB LRV Data'!E45</f>
        <v>60km</v>
      </c>
    </row>
    <row r="69" spans="1:3" x14ac:dyDescent="0.25">
      <c r="A69" s="5">
        <v>4154.72</v>
      </c>
      <c r="B69" s="6">
        <v>60</v>
      </c>
      <c r="C69" s="7"/>
    </row>
    <row r="70" spans="1:3" x14ac:dyDescent="0.25">
      <c r="A70" s="3">
        <v>4154.7300000092946</v>
      </c>
      <c r="B70">
        <v>50</v>
      </c>
      <c r="C70" s="4" t="str">
        <f>'[1]NB LRV Data'!E46</f>
        <v>50km</v>
      </c>
    </row>
    <row r="71" spans="1:3" x14ac:dyDescent="0.25">
      <c r="A71" s="3">
        <v>4206.8000000144821</v>
      </c>
      <c r="B71">
        <v>50</v>
      </c>
      <c r="C71" s="4" t="str">
        <f>'[1]NB LRV Data'!E47</f>
        <v>I16 Start</v>
      </c>
    </row>
    <row r="72" spans="1:3" x14ac:dyDescent="0.25">
      <c r="A72" s="5">
        <v>4246.3599999999997</v>
      </c>
      <c r="B72" s="6">
        <v>50</v>
      </c>
      <c r="C72" s="7"/>
    </row>
    <row r="73" spans="1:3" x14ac:dyDescent="0.25">
      <c r="A73" s="3">
        <v>4246.370000008028</v>
      </c>
      <c r="B73">
        <v>70</v>
      </c>
      <c r="C73" s="4" t="str">
        <f>'[1]NB LRV Data'!E48</f>
        <v>70km / I16 Finish</v>
      </c>
    </row>
    <row r="74" spans="1:3" x14ac:dyDescent="0.25">
      <c r="A74" s="5">
        <v>4939.54</v>
      </c>
      <c r="B74" s="6">
        <v>70</v>
      </c>
      <c r="C74" s="7"/>
    </row>
    <row r="75" spans="1:3" x14ac:dyDescent="0.25">
      <c r="A75" s="3">
        <v>4939.5500000100583</v>
      </c>
      <c r="B75">
        <v>50</v>
      </c>
      <c r="C75" s="4" t="str">
        <f>'[1]NB LRV Data'!E49</f>
        <v>50km</v>
      </c>
    </row>
    <row r="76" spans="1:3" x14ac:dyDescent="0.25">
      <c r="A76" s="3">
        <v>4966.2799999932759</v>
      </c>
      <c r="B76">
        <v>50</v>
      </c>
      <c r="C76" s="4" t="str">
        <f>'[1]NB LRV Data'!E50</f>
        <v>I15 Start</v>
      </c>
    </row>
    <row r="77" spans="1:3" x14ac:dyDescent="0.25">
      <c r="A77" s="5">
        <v>5032.3500000000004</v>
      </c>
      <c r="B77" s="6">
        <v>50</v>
      </c>
      <c r="C77" s="7"/>
    </row>
    <row r="78" spans="1:3" x14ac:dyDescent="0.25">
      <c r="A78" s="3">
        <v>5032.3600000119768</v>
      </c>
      <c r="B78">
        <v>30</v>
      </c>
      <c r="C78" s="4" t="str">
        <f>'[1]NB LRV Data'!E51</f>
        <v>PLP Start / I15 Finish</v>
      </c>
    </row>
    <row r="79" spans="1:3" x14ac:dyDescent="0.25">
      <c r="A79" s="3">
        <v>5068.4699999983422</v>
      </c>
      <c r="B79">
        <v>30</v>
      </c>
      <c r="C79" s="4" t="str">
        <f>'[1]NB LRV Data'!E52</f>
        <v>PLP Finish</v>
      </c>
    </row>
    <row r="80" spans="1:3" x14ac:dyDescent="0.25">
      <c r="A80" s="5">
        <v>5075.82</v>
      </c>
      <c r="B80" s="6">
        <v>30</v>
      </c>
      <c r="C80" s="7"/>
    </row>
    <row r="81" spans="1:3" x14ac:dyDescent="0.25">
      <c r="A81" s="3">
        <v>5075.8300000161398</v>
      </c>
      <c r="B81">
        <v>50</v>
      </c>
      <c r="C81" s="4" t="str">
        <f>'[1]NB LRV Data'!E53</f>
        <v>50km</v>
      </c>
    </row>
    <row r="82" spans="1:3" x14ac:dyDescent="0.25">
      <c r="A82" s="5">
        <v>5187.1400000000003</v>
      </c>
      <c r="B82" s="6">
        <v>50</v>
      </c>
      <c r="C82" s="7"/>
    </row>
    <row r="83" spans="1:3" x14ac:dyDescent="0.25">
      <c r="A83" s="3">
        <v>5187.1500000124797</v>
      </c>
      <c r="B83">
        <v>40</v>
      </c>
      <c r="C83" s="4" t="str">
        <f>'[1]NB LRV Data'!E54</f>
        <v>40km</v>
      </c>
    </row>
    <row r="84" spans="1:3" x14ac:dyDescent="0.25">
      <c r="A84" s="5">
        <v>5237.83</v>
      </c>
      <c r="B84" s="6">
        <v>40</v>
      </c>
      <c r="C84" s="7"/>
    </row>
    <row r="85" spans="1:3" x14ac:dyDescent="0.25">
      <c r="A85" s="3">
        <v>5237.8400000161491</v>
      </c>
      <c r="B85">
        <v>20</v>
      </c>
      <c r="C85" s="4" t="str">
        <f>'[1]NB LRV Data'!E55</f>
        <v>20km / I14 Start</v>
      </c>
    </row>
    <row r="86" spans="1:3" x14ac:dyDescent="0.25">
      <c r="A86" s="3">
        <v>5315.7700000156183</v>
      </c>
      <c r="B86">
        <v>20</v>
      </c>
      <c r="C86" s="4" t="str">
        <f>'[1]NB LRV Data'!E56</f>
        <v>I14 Finish</v>
      </c>
    </row>
    <row r="87" spans="1:3" x14ac:dyDescent="0.25">
      <c r="A87" s="5">
        <v>5355.57</v>
      </c>
      <c r="B87" s="6">
        <v>20</v>
      </c>
      <c r="C87" s="7"/>
    </row>
    <row r="88" spans="1:3" x14ac:dyDescent="0.25">
      <c r="A88" s="3">
        <v>5355.5800000031013</v>
      </c>
      <c r="B88">
        <v>40</v>
      </c>
      <c r="C88" s="4" t="str">
        <f>'[1]NB LRV Data'!E57</f>
        <v>40km</v>
      </c>
    </row>
    <row r="89" spans="1:3" x14ac:dyDescent="0.25">
      <c r="A89" s="5">
        <v>5522.47</v>
      </c>
      <c r="B89" s="6">
        <v>40</v>
      </c>
      <c r="C89" s="7"/>
    </row>
    <row r="90" spans="1:3" x14ac:dyDescent="0.25">
      <c r="A90" s="3">
        <v>5522.480000014184</v>
      </c>
      <c r="B90">
        <v>50</v>
      </c>
      <c r="C90" s="4" t="str">
        <f>'[1]NB LRV Data'!E58</f>
        <v>50km / I13 Start</v>
      </c>
    </row>
    <row r="91" spans="1:3" x14ac:dyDescent="0.25">
      <c r="A91" s="5">
        <v>5555.65</v>
      </c>
      <c r="B91" s="6">
        <v>50</v>
      </c>
      <c r="C91" s="7"/>
    </row>
    <row r="92" spans="1:3" x14ac:dyDescent="0.25">
      <c r="A92" s="3">
        <v>5555.6600000127219</v>
      </c>
      <c r="B92">
        <v>60</v>
      </c>
      <c r="C92" s="4" t="str">
        <f>'[1]NB LRV Data'!E59</f>
        <v>60km / I13 Finish</v>
      </c>
    </row>
    <row r="93" spans="1:3" x14ac:dyDescent="0.25">
      <c r="A93" s="5">
        <v>5926.52</v>
      </c>
      <c r="B93" s="6">
        <v>60</v>
      </c>
      <c r="C93" s="7"/>
    </row>
    <row r="94" spans="1:3" x14ac:dyDescent="0.25">
      <c r="A94" s="3">
        <v>5926.5299999970011</v>
      </c>
      <c r="B94">
        <v>30</v>
      </c>
      <c r="C94" s="4" t="str">
        <f>'[1]NB LRV Data'!E60</f>
        <v>EPC Start</v>
      </c>
    </row>
    <row r="95" spans="1:3" x14ac:dyDescent="0.25">
      <c r="A95" s="3">
        <v>5960.8500000031199</v>
      </c>
      <c r="B95">
        <v>30</v>
      </c>
      <c r="C95" s="4" t="str">
        <f>'[1]NB LRV Data'!E61</f>
        <v>EPC Finish</v>
      </c>
    </row>
    <row r="96" spans="1:3" x14ac:dyDescent="0.25">
      <c r="A96" s="3">
        <v>6008.1200000131503</v>
      </c>
      <c r="B96">
        <v>30</v>
      </c>
      <c r="C96" s="4" t="str">
        <f>'[1]NB LRV Data'!E62</f>
        <v>30km / I12 Start</v>
      </c>
    </row>
    <row r="97" spans="1:3" x14ac:dyDescent="0.25">
      <c r="A97" s="5">
        <v>6061.9</v>
      </c>
      <c r="B97" s="6">
        <v>30</v>
      </c>
      <c r="C97" s="7"/>
    </row>
    <row r="98" spans="1:3" x14ac:dyDescent="0.25">
      <c r="A98" s="3">
        <v>6061.9100000185426</v>
      </c>
      <c r="B98">
        <v>70</v>
      </c>
      <c r="C98" s="4" t="str">
        <f>'[1]NB LRV Data'!E63</f>
        <v>70km / I12 Finish</v>
      </c>
    </row>
    <row r="99" spans="1:3" x14ac:dyDescent="0.25">
      <c r="A99" s="5">
        <v>6424.75</v>
      </c>
      <c r="B99" s="6">
        <v>70</v>
      </c>
      <c r="C99" s="7"/>
    </row>
    <row r="100" spans="1:3" x14ac:dyDescent="0.25">
      <c r="A100" s="3">
        <v>6424.7599999944214</v>
      </c>
      <c r="B100">
        <v>40</v>
      </c>
      <c r="C100" s="4" t="str">
        <f>'[1]NB LRV Data'!E64</f>
        <v>40km</v>
      </c>
    </row>
    <row r="101" spans="1:3" x14ac:dyDescent="0.25">
      <c r="A101" s="5">
        <v>6488.9</v>
      </c>
      <c r="B101" s="6">
        <v>40</v>
      </c>
      <c r="C101" s="7"/>
    </row>
    <row r="102" spans="1:3" x14ac:dyDescent="0.25">
      <c r="A102" s="3">
        <v>6488.9100000145845</v>
      </c>
      <c r="B102">
        <v>15</v>
      </c>
      <c r="C102" s="4" t="str">
        <f>'[1]NB LRV Data'!E65</f>
        <v>15km</v>
      </c>
    </row>
    <row r="103" spans="1:3" x14ac:dyDescent="0.25">
      <c r="A103" s="5">
        <v>6602.77</v>
      </c>
      <c r="B103" s="6">
        <v>15</v>
      </c>
      <c r="C103" s="7"/>
    </row>
    <row r="104" spans="1:3" x14ac:dyDescent="0.25">
      <c r="A104" s="3">
        <v>6602.7800000156276</v>
      </c>
      <c r="B104">
        <v>25</v>
      </c>
      <c r="C104" s="4" t="str">
        <f>'[1]NB LRV Data'!E66</f>
        <v>25km / I11 Start</v>
      </c>
    </row>
    <row r="105" spans="1:3" x14ac:dyDescent="0.25">
      <c r="A105" s="3">
        <v>6688.5699999984354</v>
      </c>
      <c r="B105">
        <v>25</v>
      </c>
      <c r="C105" s="4" t="str">
        <f>'[1]NB LRV Data'!E67</f>
        <v>I11 Finish</v>
      </c>
    </row>
    <row r="106" spans="1:3" x14ac:dyDescent="0.25">
      <c r="A106" s="3">
        <v>6724.6900000027381</v>
      </c>
      <c r="B106">
        <v>25</v>
      </c>
      <c r="C106" s="4" t="str">
        <f>'[1]NB LRV Data'!E68</f>
        <v>SFD Start</v>
      </c>
    </row>
    <row r="107" spans="1:3" x14ac:dyDescent="0.25">
      <c r="A107" s="5">
        <v>6764.29</v>
      </c>
      <c r="B107" s="6">
        <v>25</v>
      </c>
      <c r="C107" s="7"/>
    </row>
    <row r="108" spans="1:3" x14ac:dyDescent="0.25">
      <c r="A108" s="3">
        <v>6764.3000000098255</v>
      </c>
      <c r="B108">
        <v>50</v>
      </c>
      <c r="C108" s="4" t="str">
        <f>'[1]NB LRV Data'!E69</f>
        <v>50km SFD Finish / I10 Start</v>
      </c>
    </row>
    <row r="109" spans="1:3" x14ac:dyDescent="0.25">
      <c r="A109" s="3">
        <v>6814.0600000042468</v>
      </c>
      <c r="B109">
        <v>50</v>
      </c>
      <c r="C109" s="4" t="str">
        <f>'[1]NB LRV Data'!E70</f>
        <v>I10 Finish</v>
      </c>
    </row>
    <row r="110" spans="1:3" x14ac:dyDescent="0.25">
      <c r="A110" s="5">
        <v>6846.42</v>
      </c>
      <c r="B110" s="6">
        <v>50</v>
      </c>
      <c r="C110" s="7"/>
    </row>
    <row r="111" spans="1:3" x14ac:dyDescent="0.25">
      <c r="A111" s="3">
        <v>6846.4300000050571</v>
      </c>
      <c r="B111">
        <v>65</v>
      </c>
      <c r="C111" s="4" t="str">
        <f>'[1]NB LRV Data'!E71</f>
        <v>65km</v>
      </c>
    </row>
    <row r="112" spans="1:3" x14ac:dyDescent="0.25">
      <c r="A112" s="5">
        <v>7305.29</v>
      </c>
      <c r="B112" s="6">
        <v>65</v>
      </c>
      <c r="C112" s="7"/>
    </row>
    <row r="113" spans="1:3" x14ac:dyDescent="0.25">
      <c r="A113" s="3">
        <v>7305.3000000072643</v>
      </c>
      <c r="B113">
        <v>50</v>
      </c>
      <c r="C113" s="4" t="str">
        <f>'[1]NB LRV Data'!E72</f>
        <v>50km</v>
      </c>
    </row>
    <row r="114" spans="1:3" x14ac:dyDescent="0.25">
      <c r="A114" s="3">
        <v>7353.0099999916274</v>
      </c>
      <c r="B114">
        <v>50</v>
      </c>
      <c r="C114" s="4" t="str">
        <f>'[1]NB LRV Data'!E73</f>
        <v>I9 Start</v>
      </c>
    </row>
    <row r="115" spans="1:3" x14ac:dyDescent="0.25">
      <c r="A115" s="3">
        <v>7394.7899999911897</v>
      </c>
      <c r="B115">
        <v>50</v>
      </c>
      <c r="C115" s="4" t="str">
        <f>'[1]NB LRV Data'!E74</f>
        <v>I9 Finish</v>
      </c>
    </row>
    <row r="116" spans="1:3" x14ac:dyDescent="0.25">
      <c r="A116" s="5">
        <v>7419.14</v>
      </c>
      <c r="B116" s="6">
        <v>50</v>
      </c>
      <c r="C116" s="7"/>
    </row>
    <row r="117" spans="1:3" x14ac:dyDescent="0.25">
      <c r="A117" s="3">
        <v>7419.1500000015367</v>
      </c>
      <c r="B117">
        <v>60</v>
      </c>
      <c r="C117" s="4" t="str">
        <f>'[1]NB LRV Data'!E75</f>
        <v>60km</v>
      </c>
    </row>
    <row r="118" spans="1:3" x14ac:dyDescent="0.25">
      <c r="A118" s="5">
        <v>7717.28</v>
      </c>
      <c r="B118" s="6">
        <v>60</v>
      </c>
      <c r="C118" s="7"/>
    </row>
    <row r="119" spans="1:3" x14ac:dyDescent="0.25">
      <c r="A119" s="3">
        <v>7717.2900000005029</v>
      </c>
      <c r="B119">
        <v>50</v>
      </c>
      <c r="C119" s="4" t="str">
        <f>'[1]NB LRV Data'!E76</f>
        <v>50km</v>
      </c>
    </row>
    <row r="120" spans="1:3" x14ac:dyDescent="0.25">
      <c r="A120" s="3">
        <v>7771.630000002915</v>
      </c>
      <c r="B120">
        <v>50</v>
      </c>
      <c r="C120" s="4" t="str">
        <f>'[1]NB LRV Data'!E77</f>
        <v>I8 Start</v>
      </c>
    </row>
    <row r="121" spans="1:3" x14ac:dyDescent="0.25">
      <c r="A121" s="5">
        <v>7802.51</v>
      </c>
      <c r="B121" s="6">
        <v>50</v>
      </c>
      <c r="C121" s="7"/>
    </row>
    <row r="122" spans="1:3" x14ac:dyDescent="0.25">
      <c r="A122" s="3">
        <v>7802.5199999974575</v>
      </c>
      <c r="B122">
        <v>60</v>
      </c>
      <c r="C122" s="4" t="str">
        <f>'[1]NB LRV Data'!E78</f>
        <v>60km / I8 Finish</v>
      </c>
    </row>
    <row r="123" spans="1:3" x14ac:dyDescent="0.25">
      <c r="A123" s="5">
        <v>8154.01</v>
      </c>
      <c r="B123" s="6">
        <v>60</v>
      </c>
      <c r="C123" s="7"/>
    </row>
    <row r="124" spans="1:3" x14ac:dyDescent="0.25">
      <c r="A124" s="3">
        <v>8154.0200000163168</v>
      </c>
      <c r="B124">
        <v>30</v>
      </c>
      <c r="C124" s="4" t="str">
        <f>'[1]NB LRV Data'!E79</f>
        <v>WSN Start</v>
      </c>
    </row>
    <row r="125" spans="1:3" x14ac:dyDescent="0.25">
      <c r="A125" s="3">
        <v>8191.9099999940954</v>
      </c>
      <c r="B125">
        <v>30</v>
      </c>
      <c r="C125" s="4" t="str">
        <f>'[1]NB LRV Data'!E80</f>
        <v>WSN Finish / I7 Start</v>
      </c>
    </row>
    <row r="126" spans="1:3" x14ac:dyDescent="0.25">
      <c r="A126" s="5">
        <v>8203.52</v>
      </c>
      <c r="B126" s="6">
        <v>30</v>
      </c>
      <c r="C126" s="7"/>
    </row>
    <row r="127" spans="1:3" x14ac:dyDescent="0.25">
      <c r="A127" s="3">
        <v>8203.5299999988638</v>
      </c>
      <c r="B127">
        <v>50</v>
      </c>
      <c r="C127" s="4" t="str">
        <f>'[1]NB LRV Data'!E81</f>
        <v>50km</v>
      </c>
    </row>
    <row r="128" spans="1:3" x14ac:dyDescent="0.25">
      <c r="A128" s="3">
        <v>8246.66000000434</v>
      </c>
      <c r="B128">
        <v>50</v>
      </c>
      <c r="C128" s="4" t="str">
        <f>'[1]NB LRV Data'!E82</f>
        <v>I7 Finish</v>
      </c>
    </row>
    <row r="129" spans="1:3" x14ac:dyDescent="0.25">
      <c r="A129" s="5">
        <v>8298.16</v>
      </c>
      <c r="B129" s="6">
        <v>50</v>
      </c>
      <c r="C129" s="7"/>
    </row>
    <row r="130" spans="1:3" x14ac:dyDescent="0.25">
      <c r="A130" s="3">
        <v>8298.1699999945704</v>
      </c>
      <c r="B130">
        <v>70</v>
      </c>
      <c r="C130" s="4" t="str">
        <f>'[1]NB LRV Data'!E83</f>
        <v>70km</v>
      </c>
    </row>
    <row r="131" spans="1:3" x14ac:dyDescent="0.25">
      <c r="A131" s="5">
        <v>8941.84</v>
      </c>
      <c r="B131" s="6">
        <v>70</v>
      </c>
      <c r="C131" s="7"/>
    </row>
    <row r="132" spans="1:3" x14ac:dyDescent="0.25">
      <c r="A132" s="3">
        <v>8941.8500000028871</v>
      </c>
      <c r="B132">
        <v>50</v>
      </c>
      <c r="C132" s="4" t="str">
        <f>'[1]NB LRV Data'!E84</f>
        <v>50km</v>
      </c>
    </row>
    <row r="133" spans="1:3" x14ac:dyDescent="0.25">
      <c r="A133" s="5">
        <v>9034.34</v>
      </c>
      <c r="B133" s="6">
        <v>50</v>
      </c>
      <c r="C133" s="7"/>
    </row>
    <row r="134" spans="1:3" x14ac:dyDescent="0.25">
      <c r="A134" s="3">
        <v>9034.3500000017229</v>
      </c>
      <c r="B134">
        <v>40</v>
      </c>
      <c r="C134" s="4" t="str">
        <f>'[1]NB LRV Data'!E85</f>
        <v>40km</v>
      </c>
    </row>
    <row r="135" spans="1:3" x14ac:dyDescent="0.25">
      <c r="A135" s="3">
        <v>9064.379999996163</v>
      </c>
      <c r="B135">
        <v>40</v>
      </c>
      <c r="C135" s="4" t="str">
        <f>'[1]NB LRV Data'!E86</f>
        <v>I6 Start</v>
      </c>
    </row>
    <row r="136" spans="1:3" x14ac:dyDescent="0.25">
      <c r="A136" s="3">
        <v>9112.410000001546</v>
      </c>
      <c r="B136">
        <v>40</v>
      </c>
      <c r="C136" s="4" t="str">
        <f>'[1]NB LRV Data'!E87</f>
        <v>I06 Finish</v>
      </c>
    </row>
    <row r="137" spans="1:3" x14ac:dyDescent="0.25">
      <c r="A137" s="5">
        <v>9130.08</v>
      </c>
      <c r="B137" s="6">
        <v>40</v>
      </c>
      <c r="C137" s="7"/>
    </row>
    <row r="138" spans="1:3" x14ac:dyDescent="0.25">
      <c r="A138" s="3">
        <v>9130.0899999914691</v>
      </c>
      <c r="B138">
        <v>30</v>
      </c>
      <c r="C138" s="4" t="str">
        <f>'[1]NB LRV Data'!E88</f>
        <v>NLR Start</v>
      </c>
    </row>
    <row r="139" spans="1:3" x14ac:dyDescent="0.25">
      <c r="A139" s="3">
        <v>9164.8100000165869</v>
      </c>
      <c r="B139">
        <v>30</v>
      </c>
      <c r="C139" s="4" t="str">
        <f>'[1]NB LRV Data'!E89</f>
        <v>NLR Finish</v>
      </c>
    </row>
    <row r="140" spans="1:3" x14ac:dyDescent="0.25">
      <c r="A140" s="5">
        <v>9187.0499999999993</v>
      </c>
      <c r="B140" s="6">
        <v>30</v>
      </c>
      <c r="C140" s="7"/>
    </row>
    <row r="141" spans="1:3" x14ac:dyDescent="0.25">
      <c r="A141" s="3">
        <v>9187.0599999965634</v>
      </c>
      <c r="B141">
        <v>25</v>
      </c>
      <c r="C141" s="4" t="str">
        <f>'[1]NB LRV Data'!E90</f>
        <v>25km</v>
      </c>
    </row>
    <row r="142" spans="1:3" x14ac:dyDescent="0.25">
      <c r="A142" s="5">
        <v>9276.27</v>
      </c>
      <c r="B142" s="6">
        <v>25</v>
      </c>
      <c r="C142" s="7"/>
    </row>
    <row r="143" spans="1:3" x14ac:dyDescent="0.25">
      <c r="A143" s="3">
        <v>9276.2799999909475</v>
      </c>
      <c r="B143">
        <v>70</v>
      </c>
      <c r="C143" s="4" t="str">
        <f>'[1]NB LRV Data'!E91</f>
        <v>70km</v>
      </c>
    </row>
    <row r="144" spans="1:3" x14ac:dyDescent="0.25">
      <c r="A144" s="5">
        <v>9796.34</v>
      </c>
      <c r="B144" s="6">
        <v>70</v>
      </c>
      <c r="C144" s="7"/>
    </row>
    <row r="145" spans="1:3" x14ac:dyDescent="0.25">
      <c r="A145" s="3">
        <v>9796.3500000187196</v>
      </c>
      <c r="B145">
        <v>50</v>
      </c>
      <c r="C145" s="4" t="str">
        <f>'[1]NB LRV Data'!E92</f>
        <v>50km</v>
      </c>
    </row>
    <row r="146" spans="1:3" x14ac:dyDescent="0.25">
      <c r="A146" s="3">
        <v>9858.379999990575</v>
      </c>
      <c r="B146">
        <v>50</v>
      </c>
      <c r="C146" s="4" t="str">
        <f>'[1]NB LRV Data'!E93</f>
        <v>I5 Start</v>
      </c>
    </row>
    <row r="147" spans="1:3" x14ac:dyDescent="0.25">
      <c r="A147" s="5">
        <v>9915.41</v>
      </c>
      <c r="B147" s="6">
        <v>50</v>
      </c>
      <c r="C147" s="7"/>
    </row>
    <row r="148" spans="1:3" x14ac:dyDescent="0.25">
      <c r="A148" s="3">
        <v>9915.4200000048149</v>
      </c>
      <c r="B148">
        <v>30</v>
      </c>
      <c r="C148" s="4" t="str">
        <f>'[1]NB LRV Data'!E94</f>
        <v>MPN Start / I5 Finish</v>
      </c>
    </row>
    <row r="149" spans="1:3" x14ac:dyDescent="0.25">
      <c r="A149" s="5">
        <v>9956.91</v>
      </c>
      <c r="B149" s="6">
        <v>30</v>
      </c>
      <c r="C149" s="7"/>
    </row>
    <row r="150" spans="1:3" x14ac:dyDescent="0.25">
      <c r="A150" s="3">
        <v>9956.9199999968987</v>
      </c>
      <c r="B150">
        <v>50</v>
      </c>
      <c r="C150" s="4" t="str">
        <f>'[1]NB LRV Data'!E95</f>
        <v>50km / MPN Finish</v>
      </c>
    </row>
    <row r="151" spans="1:3" x14ac:dyDescent="0.25">
      <c r="A151" s="5">
        <v>10102.92</v>
      </c>
      <c r="B151" s="6">
        <v>50</v>
      </c>
      <c r="C151" s="7"/>
    </row>
    <row r="152" spans="1:3" x14ac:dyDescent="0.25">
      <c r="A152" s="3">
        <v>10102.929999993648</v>
      </c>
      <c r="B152">
        <v>65</v>
      </c>
      <c r="C152" s="4" t="str">
        <f>'[1]NB LRV Data'!E96</f>
        <v>65km</v>
      </c>
    </row>
    <row r="153" spans="1:3" x14ac:dyDescent="0.25">
      <c r="A153" s="5">
        <v>10560.2</v>
      </c>
      <c r="B153" s="6">
        <v>65</v>
      </c>
      <c r="C153" s="7"/>
    </row>
    <row r="154" spans="1:3" x14ac:dyDescent="0.25">
      <c r="A154" s="3">
        <v>10560.209999996005</v>
      </c>
      <c r="B154">
        <v>50</v>
      </c>
      <c r="C154" s="4" t="str">
        <f>'[1]NB LRV Data'!E97</f>
        <v>50km</v>
      </c>
    </row>
    <row r="155" spans="1:3" x14ac:dyDescent="0.25">
      <c r="A155" s="3">
        <v>10600.860000005923</v>
      </c>
      <c r="B155">
        <v>50</v>
      </c>
      <c r="C155" s="4" t="str">
        <f>'[1]NB LRV Data'!E98</f>
        <v>I4 Start</v>
      </c>
    </row>
    <row r="156" spans="1:3" x14ac:dyDescent="0.25">
      <c r="A156" s="3">
        <v>10632.279999990715</v>
      </c>
      <c r="B156">
        <v>50</v>
      </c>
      <c r="C156" s="4" t="str">
        <f>'[1]NB LRV Data'!E99</f>
        <v>I4 Finish</v>
      </c>
    </row>
    <row r="157" spans="1:3" x14ac:dyDescent="0.25">
      <c r="A157" s="5">
        <v>10695.75</v>
      </c>
      <c r="B157" s="6">
        <v>50</v>
      </c>
      <c r="C157" s="7"/>
    </row>
    <row r="158" spans="1:3" x14ac:dyDescent="0.25">
      <c r="A158" s="3">
        <v>10695.760000002338</v>
      </c>
      <c r="B158">
        <v>70</v>
      </c>
      <c r="C158" s="4" t="str">
        <f>'[1]NB LRV Data'!E100</f>
        <v>70km</v>
      </c>
    </row>
    <row r="159" spans="1:3" x14ac:dyDescent="0.25">
      <c r="A159" s="5">
        <v>11029</v>
      </c>
      <c r="B159" s="6">
        <v>70</v>
      </c>
      <c r="C159" s="7"/>
    </row>
    <row r="160" spans="1:3" x14ac:dyDescent="0.25">
      <c r="A160" s="3">
        <v>11029.009999998379</v>
      </c>
      <c r="B160">
        <v>50</v>
      </c>
      <c r="C160" s="4" t="str">
        <f>'[1]NB LRV Data'!E101</f>
        <v>50km</v>
      </c>
    </row>
    <row r="161" spans="1:3" x14ac:dyDescent="0.25">
      <c r="A161" s="3">
        <v>11068.250000011176</v>
      </c>
      <c r="B161">
        <v>50</v>
      </c>
      <c r="C161" s="4" t="str">
        <f>'[1]NB LRV Data'!E102</f>
        <v>I3 Start</v>
      </c>
    </row>
    <row r="162" spans="1:3" x14ac:dyDescent="0.25">
      <c r="A162" s="5">
        <v>11123.28</v>
      </c>
      <c r="B162" s="6">
        <v>50</v>
      </c>
      <c r="C162" s="7"/>
    </row>
    <row r="163" spans="1:3" x14ac:dyDescent="0.25">
      <c r="A163" s="3">
        <v>11123.290000017732</v>
      </c>
      <c r="B163">
        <v>30</v>
      </c>
      <c r="C163" s="4" t="str">
        <f>'[1]NB LRV Data'!E103</f>
        <v>MCK Start / I3 Finish</v>
      </c>
    </row>
    <row r="164" spans="1:3" x14ac:dyDescent="0.25">
      <c r="A164" s="5">
        <v>11160.96</v>
      </c>
      <c r="B164" s="6">
        <v>30</v>
      </c>
      <c r="C164" s="7"/>
    </row>
    <row r="165" spans="1:3" x14ac:dyDescent="0.25">
      <c r="A165" s="3">
        <v>11160.969999997178</v>
      </c>
      <c r="B165">
        <v>60</v>
      </c>
      <c r="C165" s="4" t="str">
        <f>'[1]NB LRV Data'!E104</f>
        <v>60km / MCK Finish</v>
      </c>
    </row>
    <row r="166" spans="1:3" x14ac:dyDescent="0.25">
      <c r="A166" s="3">
        <v>11374.869999999646</v>
      </c>
      <c r="B166">
        <v>60</v>
      </c>
      <c r="C166" s="4" t="str">
        <f>'[1]NB LRV Data'!E105</f>
        <v>Midblock Crossing</v>
      </c>
    </row>
    <row r="167" spans="1:3" x14ac:dyDescent="0.25">
      <c r="A167" s="5">
        <v>11463.96</v>
      </c>
      <c r="B167" s="6">
        <v>60</v>
      </c>
      <c r="C167" s="7"/>
    </row>
    <row r="168" spans="1:3" x14ac:dyDescent="0.25">
      <c r="A168" s="3">
        <v>11463.970000011614</v>
      </c>
      <c r="B168">
        <v>50</v>
      </c>
      <c r="C168" s="4" t="str">
        <f>'[1]NB LRV Data'!E106</f>
        <v>50km</v>
      </c>
    </row>
    <row r="169" spans="1:3" x14ac:dyDescent="0.25">
      <c r="A169" s="3">
        <v>11501.510000001872</v>
      </c>
      <c r="B169">
        <v>50</v>
      </c>
      <c r="C169" s="4" t="str">
        <f>'[1]NB LRV Data'!E107</f>
        <v>I2 Start</v>
      </c>
    </row>
    <row r="170" spans="1:3" x14ac:dyDescent="0.25">
      <c r="A170" s="5">
        <v>11549.28</v>
      </c>
      <c r="B170" s="6">
        <v>50</v>
      </c>
      <c r="C170" s="7"/>
    </row>
    <row r="171" spans="1:3" x14ac:dyDescent="0.25">
      <c r="A171" s="3">
        <v>11549.289999995381</v>
      </c>
      <c r="B171">
        <v>20</v>
      </c>
      <c r="C171" s="4" t="str">
        <f>'[1]NB LRV Data'!E108</f>
        <v>20km / I02 Finish</v>
      </c>
    </row>
    <row r="172" spans="1:3" x14ac:dyDescent="0.25">
      <c r="A172" s="3">
        <v>11713.560000003781</v>
      </c>
      <c r="B172">
        <v>20</v>
      </c>
      <c r="C172" s="4" t="str">
        <f>'[1]NB LRV Data'!E109</f>
        <v>I01 Start</v>
      </c>
    </row>
    <row r="173" spans="1:3" x14ac:dyDescent="0.25">
      <c r="A173" s="3">
        <v>11737.610000011045</v>
      </c>
      <c r="B173">
        <v>20</v>
      </c>
      <c r="C173" s="4" t="str">
        <f>'[1]NB LRV Data'!E110</f>
        <v>I01 Finish</v>
      </c>
    </row>
    <row r="174" spans="1:3" x14ac:dyDescent="0.25">
      <c r="A174" s="5">
        <v>11785.75</v>
      </c>
      <c r="B174" s="6">
        <v>20</v>
      </c>
      <c r="C174" s="7"/>
    </row>
    <row r="175" spans="1:3" x14ac:dyDescent="0.25">
      <c r="A175" s="3">
        <v>11785.759999998845</v>
      </c>
      <c r="B175">
        <v>15</v>
      </c>
      <c r="C175" s="4" t="str">
        <f>'[1]NB LRV Data'!E111</f>
        <v>15km</v>
      </c>
    </row>
    <row r="176" spans="1:3" x14ac:dyDescent="0.25">
      <c r="A176" s="3">
        <v>11867.259999999078</v>
      </c>
      <c r="B176">
        <v>15</v>
      </c>
      <c r="C176" s="4" t="str">
        <f>'[1]NB LRV Data'!E112</f>
        <v>GGN Start</v>
      </c>
    </row>
    <row r="177" spans="1:3" x14ac:dyDescent="0.25">
      <c r="A177" s="3">
        <v>11901.050000014948</v>
      </c>
      <c r="B177">
        <v>15</v>
      </c>
      <c r="C177" s="4" t="str">
        <f>'[1]NB LRV Data'!E113</f>
        <v>GGN Finish</v>
      </c>
    </row>
    <row r="178" spans="1:3" hidden="1" x14ac:dyDescent="0.25">
      <c r="C178" s="4"/>
    </row>
    <row r="179" spans="1:3" hidden="1" x14ac:dyDescent="0.25">
      <c r="C179" s="4"/>
    </row>
    <row r="180" spans="1:3" hidden="1" x14ac:dyDescent="0.25">
      <c r="C180" s="4"/>
    </row>
    <row r="181" spans="1:3" hidden="1" x14ac:dyDescent="0.25">
      <c r="C181" s="4"/>
    </row>
    <row r="182" spans="1:3" hidden="1" x14ac:dyDescent="0.25">
      <c r="C182" s="4"/>
    </row>
    <row r="183" spans="1:3" hidden="1" x14ac:dyDescent="0.25">
      <c r="C183" s="4"/>
    </row>
    <row r="184" spans="1:3" hidden="1" x14ac:dyDescent="0.25">
      <c r="C184" s="4"/>
    </row>
    <row r="185" spans="1:3" hidden="1" x14ac:dyDescent="0.25">
      <c r="C185" s="4"/>
    </row>
    <row r="186" spans="1:3" hidden="1" x14ac:dyDescent="0.25">
      <c r="C186" s="4"/>
    </row>
    <row r="187" spans="1:3" hidden="1" x14ac:dyDescent="0.25">
      <c r="C187" s="4"/>
    </row>
    <row r="188" spans="1:3" hidden="1" x14ac:dyDescent="0.25">
      <c r="C188" s="4"/>
    </row>
    <row r="189" spans="1:3" hidden="1" x14ac:dyDescent="0.25">
      <c r="C189" s="4"/>
    </row>
    <row r="190" spans="1:3" hidden="1" x14ac:dyDescent="0.25">
      <c r="C190" s="4"/>
    </row>
    <row r="191" spans="1:3" hidden="1" x14ac:dyDescent="0.25">
      <c r="C191" s="4"/>
    </row>
    <row r="192" spans="1:3" hidden="1" x14ac:dyDescent="0.25">
      <c r="C192" s="4"/>
    </row>
    <row r="193" spans="3:3" hidden="1" x14ac:dyDescent="0.25">
      <c r="C193" s="4"/>
    </row>
    <row r="194" spans="3:3" hidden="1" x14ac:dyDescent="0.25">
      <c r="C194" s="4"/>
    </row>
    <row r="195" spans="3:3" hidden="1" x14ac:dyDescent="0.25">
      <c r="C195" s="4"/>
    </row>
    <row r="196" spans="3:3" hidden="1" x14ac:dyDescent="0.25">
      <c r="C196" s="4"/>
    </row>
    <row r="197" spans="3:3" hidden="1" x14ac:dyDescent="0.25">
      <c r="C197" s="4"/>
    </row>
    <row r="198" spans="3:3" hidden="1" x14ac:dyDescent="0.25">
      <c r="C198" s="4"/>
    </row>
    <row r="199" spans="3:3" hidden="1" x14ac:dyDescent="0.25">
      <c r="C199" s="4"/>
    </row>
    <row r="200" spans="3:3" hidden="1" x14ac:dyDescent="0.25">
      <c r="C200" s="4"/>
    </row>
    <row r="201" spans="3:3" hidden="1" x14ac:dyDescent="0.25">
      <c r="C201" s="4"/>
    </row>
    <row r="202" spans="3:3" hidden="1" x14ac:dyDescent="0.25">
      <c r="C202" s="4"/>
    </row>
    <row r="203" spans="3:3" hidden="1" x14ac:dyDescent="0.25">
      <c r="C203" s="4"/>
    </row>
    <row r="204" spans="3:3" hidden="1" x14ac:dyDescent="0.25">
      <c r="C204" s="4"/>
    </row>
    <row r="205" spans="3:3" hidden="1" x14ac:dyDescent="0.25">
      <c r="C205" s="4"/>
    </row>
    <row r="206" spans="3:3" hidden="1" x14ac:dyDescent="0.25">
      <c r="C206" s="4"/>
    </row>
    <row r="207" spans="3:3" hidden="1" x14ac:dyDescent="0.25">
      <c r="C207" s="4"/>
    </row>
    <row r="208" spans="3:3" hidden="1" x14ac:dyDescent="0.25">
      <c r="C208" s="4"/>
    </row>
    <row r="209" spans="3:3" hidden="1" x14ac:dyDescent="0.25">
      <c r="C209" s="4"/>
    </row>
    <row r="210" spans="3:3" hidden="1" x14ac:dyDescent="0.25">
      <c r="C210" s="4"/>
    </row>
    <row r="211" spans="3:3" hidden="1" x14ac:dyDescent="0.25">
      <c r="C211" s="4"/>
    </row>
    <row r="212" spans="3:3" hidden="1" x14ac:dyDescent="0.25">
      <c r="C212" s="4"/>
    </row>
    <row r="213" spans="3:3" hidden="1" x14ac:dyDescent="0.25">
      <c r="C213" s="4"/>
    </row>
    <row r="214" spans="3:3" hidden="1" x14ac:dyDescent="0.25">
      <c r="C214" s="4"/>
    </row>
    <row r="215" spans="3:3" hidden="1" x14ac:dyDescent="0.25">
      <c r="C215" s="4"/>
    </row>
    <row r="216" spans="3:3" hidden="1" x14ac:dyDescent="0.25">
      <c r="C216" s="4"/>
    </row>
    <row r="217" spans="3:3" hidden="1" x14ac:dyDescent="0.25">
      <c r="C217" s="4"/>
    </row>
    <row r="218" spans="3:3" hidden="1" x14ac:dyDescent="0.25">
      <c r="C218" s="4"/>
    </row>
    <row r="219" spans="3:3" hidden="1" x14ac:dyDescent="0.25">
      <c r="C219" s="4"/>
    </row>
    <row r="220" spans="3:3" hidden="1" x14ac:dyDescent="0.25">
      <c r="C220" s="4"/>
    </row>
    <row r="221" spans="3:3" hidden="1" x14ac:dyDescent="0.25">
      <c r="C221" s="4"/>
    </row>
    <row r="222" spans="3:3" hidden="1" x14ac:dyDescent="0.25">
      <c r="C222" s="4"/>
    </row>
    <row r="223" spans="3:3" hidden="1" x14ac:dyDescent="0.25">
      <c r="C223" s="4"/>
    </row>
    <row r="224" spans="3:3" hidden="1" x14ac:dyDescent="0.25">
      <c r="C224" s="4"/>
    </row>
    <row r="225" spans="3:3" hidden="1" x14ac:dyDescent="0.25">
      <c r="C225" s="4"/>
    </row>
    <row r="226" spans="3:3" hidden="1" x14ac:dyDescent="0.25">
      <c r="C226" s="4"/>
    </row>
    <row r="227" spans="3:3" hidden="1" x14ac:dyDescent="0.25">
      <c r="C227" s="4"/>
    </row>
    <row r="228" spans="3:3" hidden="1" x14ac:dyDescent="0.25">
      <c r="C228" s="4"/>
    </row>
    <row r="229" spans="3:3" hidden="1" x14ac:dyDescent="0.25">
      <c r="C229" s="4"/>
    </row>
    <row r="230" spans="3:3" hidden="1" x14ac:dyDescent="0.25">
      <c r="C230" s="4"/>
    </row>
    <row r="231" spans="3:3" hidden="1" x14ac:dyDescent="0.25">
      <c r="C231" s="4"/>
    </row>
    <row r="232" spans="3:3" hidden="1" x14ac:dyDescent="0.25">
      <c r="C232" s="4"/>
    </row>
    <row r="233" spans="3:3" hidden="1" x14ac:dyDescent="0.25">
      <c r="C233" s="4"/>
    </row>
    <row r="234" spans="3:3" hidden="1" x14ac:dyDescent="0.25">
      <c r="C234" s="4"/>
    </row>
    <row r="235" spans="3:3" hidden="1" x14ac:dyDescent="0.25">
      <c r="C235" s="4"/>
    </row>
    <row r="236" spans="3:3" hidden="1" x14ac:dyDescent="0.25">
      <c r="C236" s="4"/>
    </row>
    <row r="237" spans="3:3" hidden="1" x14ac:dyDescent="0.25">
      <c r="C237" s="4"/>
    </row>
    <row r="238" spans="3:3" hidden="1" x14ac:dyDescent="0.25">
      <c r="C238" s="4"/>
    </row>
    <row r="239" spans="3:3" hidden="1" x14ac:dyDescent="0.25">
      <c r="C239" s="4"/>
    </row>
    <row r="240" spans="3:3" hidden="1" x14ac:dyDescent="0.25">
      <c r="C240"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43DCA-5093-4436-90DE-DC6D6F4BFCD6}">
  <dimension ref="A1:C265"/>
  <sheetViews>
    <sheetView workbookViewId="0">
      <selection activeCell="C44" sqref="C44"/>
    </sheetView>
  </sheetViews>
  <sheetFormatPr defaultColWidth="0" defaultRowHeight="15" zeroHeight="1" x14ac:dyDescent="0.25"/>
  <cols>
    <col min="1" max="1" width="18.42578125" style="3" customWidth="1"/>
    <col min="2" max="2" width="25.7109375" customWidth="1"/>
    <col min="3" max="3" width="30.7109375" customWidth="1"/>
    <col min="4" max="16384" width="9.140625" hidden="1"/>
  </cols>
  <sheetData>
    <row r="1" spans="1:3" ht="36" customHeight="1" x14ac:dyDescent="0.25">
      <c r="A1" s="1" t="s">
        <v>11</v>
      </c>
      <c r="B1" s="1" t="s">
        <v>12</v>
      </c>
      <c r="C1" s="1" t="s">
        <v>13</v>
      </c>
    </row>
    <row r="2" spans="1:3" x14ac:dyDescent="0.25">
      <c r="A2" s="3">
        <f>'[1]NB LRV Data'!D3</f>
        <v>46.940000000176951</v>
      </c>
      <c r="B2">
        <v>15</v>
      </c>
      <c r="C2" s="4" t="str">
        <f>'[1]NB LRV Data'!E3</f>
        <v>I27 Start</v>
      </c>
    </row>
    <row r="3" spans="1:3" x14ac:dyDescent="0.25">
      <c r="C3" s="4"/>
    </row>
    <row r="4" spans="1:3" x14ac:dyDescent="0.25">
      <c r="A4" s="3">
        <f>'[1]NB LRV Data'!D5</f>
        <v>192.32999999076128</v>
      </c>
      <c r="B4">
        <v>30</v>
      </c>
      <c r="C4" s="4" t="str">
        <f>'[1]NB LRV Data'!E5</f>
        <v>30km / I26 Start</v>
      </c>
    </row>
    <row r="5" spans="1:3" x14ac:dyDescent="0.25">
      <c r="C5" s="4"/>
    </row>
    <row r="6" spans="1:3" x14ac:dyDescent="0.25">
      <c r="A6" s="3">
        <f>'[1]NB LRV Data'!D8</f>
        <v>500.82000001566485</v>
      </c>
      <c r="B6">
        <v>40</v>
      </c>
      <c r="C6" s="4" t="str">
        <f>'[1]NB LRV Data'!E8</f>
        <v>40km / I25 Start</v>
      </c>
    </row>
    <row r="7" spans="1:3" x14ac:dyDescent="0.25">
      <c r="C7" s="4"/>
    </row>
    <row r="8" spans="1:3" x14ac:dyDescent="0.25">
      <c r="A8" s="3">
        <f>'[1]NB LRV Data'!D12</f>
        <v>805.22999999811873</v>
      </c>
      <c r="B8">
        <v>40</v>
      </c>
      <c r="C8" s="4" t="str">
        <f>'[1]NB LRV Data'!E12</f>
        <v>I24 Start</v>
      </c>
    </row>
    <row r="9" spans="1:3" x14ac:dyDescent="0.25">
      <c r="C9" s="4"/>
    </row>
    <row r="10" spans="1:3" x14ac:dyDescent="0.25">
      <c r="A10" s="3">
        <f>'[1]NB LRV Data'!D18</f>
        <v>1259.6800000173971</v>
      </c>
      <c r="B10">
        <v>50</v>
      </c>
      <c r="C10" s="4" t="str">
        <f>'[1]NB LRV Data'!E18</f>
        <v>I23 Start</v>
      </c>
    </row>
    <row r="11" spans="1:3" x14ac:dyDescent="0.25">
      <c r="C11" s="4"/>
    </row>
    <row r="12" spans="1:3" x14ac:dyDescent="0.25">
      <c r="A12" s="3">
        <f>'[1]NB LRV Data'!D23</f>
        <v>1900.3399999928661</v>
      </c>
      <c r="B12">
        <v>50</v>
      </c>
      <c r="C12" s="4" t="str">
        <f>'[1]NB LRV Data'!E23</f>
        <v>I22 Start</v>
      </c>
    </row>
    <row r="13" spans="1:3" x14ac:dyDescent="0.25">
      <c r="C13" s="4"/>
    </row>
    <row r="14" spans="1:3" x14ac:dyDescent="0.25">
      <c r="A14" s="3">
        <f>'[1]NB LRV Data'!D30</f>
        <v>2687.7099999983329</v>
      </c>
      <c r="B14">
        <v>40</v>
      </c>
      <c r="C14" s="4" t="str">
        <f>'[1]NB LRV Data'!E30</f>
        <v>I21 Start</v>
      </c>
    </row>
    <row r="15" spans="1:3" x14ac:dyDescent="0.25">
      <c r="C15" s="4"/>
    </row>
    <row r="16" spans="1:3" x14ac:dyDescent="0.25">
      <c r="A16" s="3">
        <f>'[1]NB LRV Data'!D33</f>
        <v>3021.0000000079162</v>
      </c>
      <c r="B16">
        <v>25</v>
      </c>
      <c r="C16" s="4" t="str">
        <f>'[1]NB LRV Data'!E33</f>
        <v>I19 Start</v>
      </c>
    </row>
    <row r="17" spans="1:3" x14ac:dyDescent="0.25">
      <c r="C17" s="4"/>
    </row>
    <row r="18" spans="1:3" x14ac:dyDescent="0.25">
      <c r="A18" s="3">
        <f>'[1]NB LRV Data'!D38</f>
        <v>3281.0100000060629</v>
      </c>
      <c r="B18">
        <v>40</v>
      </c>
      <c r="C18" s="4" t="str">
        <f>'[1]NB LRV Data'!E38</f>
        <v>I18 Start</v>
      </c>
    </row>
    <row r="19" spans="1:3" x14ac:dyDescent="0.25">
      <c r="C19" s="4"/>
    </row>
    <row r="20" spans="1:3" x14ac:dyDescent="0.25">
      <c r="A20" s="3">
        <f>'[1]NB LRV Data'!D43</f>
        <v>3732.0000000181608</v>
      </c>
      <c r="B20">
        <v>50</v>
      </c>
      <c r="C20" s="4" t="str">
        <f>'[1]NB LRV Data'!E43</f>
        <v>50km / SWN Finish / I17 Start</v>
      </c>
    </row>
    <row r="21" spans="1:3" x14ac:dyDescent="0.25">
      <c r="C21" s="4"/>
    </row>
    <row r="22" spans="1:3" x14ac:dyDescent="0.25">
      <c r="A22" s="3">
        <f>'[1]NB LRV Data'!D47</f>
        <v>4206.8000000144821</v>
      </c>
      <c r="B22">
        <v>50</v>
      </c>
      <c r="C22" s="4" t="str">
        <f>'[1]NB LRV Data'!E47</f>
        <v>I16 Start</v>
      </c>
    </row>
    <row r="23" spans="1:3" x14ac:dyDescent="0.25">
      <c r="C23" s="4"/>
    </row>
    <row r="24" spans="1:3" x14ac:dyDescent="0.25">
      <c r="A24" s="3">
        <f>'[1]NB LRV Data'!D50</f>
        <v>4966.2799999932759</v>
      </c>
      <c r="B24">
        <v>50</v>
      </c>
      <c r="C24" s="4" t="str">
        <f>'[1]NB LRV Data'!E50</f>
        <v>I15 Start</v>
      </c>
    </row>
    <row r="25" spans="1:3" x14ac:dyDescent="0.25">
      <c r="C25" s="4"/>
    </row>
    <row r="26" spans="1:3" x14ac:dyDescent="0.25">
      <c r="A26" s="3">
        <f>'[1]NB LRV Data'!D55</f>
        <v>5237.8400000161491</v>
      </c>
      <c r="B26">
        <v>20</v>
      </c>
      <c r="C26" s="4" t="str">
        <f>'[1]NB LRV Data'!E55</f>
        <v>20km / I14 Start</v>
      </c>
    </row>
    <row r="27" spans="1:3" x14ac:dyDescent="0.25">
      <c r="C27" s="4"/>
    </row>
    <row r="28" spans="1:3" x14ac:dyDescent="0.25">
      <c r="A28" s="3">
        <f>'[1]NB LRV Data'!D58</f>
        <v>5522.480000014184</v>
      </c>
      <c r="B28">
        <v>50</v>
      </c>
      <c r="C28" s="4" t="str">
        <f>'[1]NB LRV Data'!E58</f>
        <v>50km / I13 Start</v>
      </c>
    </row>
    <row r="29" spans="1:3" x14ac:dyDescent="0.25">
      <c r="C29" s="4"/>
    </row>
    <row r="30" spans="1:3" x14ac:dyDescent="0.25">
      <c r="A30" s="3">
        <f>'[1]NB LRV Data'!D62</f>
        <v>6008.1200000131503</v>
      </c>
      <c r="B30">
        <v>30</v>
      </c>
      <c r="C30" s="4" t="str">
        <f>'[1]NB LRV Data'!E62</f>
        <v>30km / I12 Start</v>
      </c>
    </row>
    <row r="31" spans="1:3" x14ac:dyDescent="0.25">
      <c r="C31" s="4"/>
    </row>
    <row r="32" spans="1:3" x14ac:dyDescent="0.25">
      <c r="A32" s="3">
        <f>'[1]NB LRV Data'!D66</f>
        <v>6602.7800000156276</v>
      </c>
      <c r="B32">
        <v>25</v>
      </c>
      <c r="C32" s="4" t="str">
        <f>'[1]NB LRV Data'!E66</f>
        <v>25km / I11 Start</v>
      </c>
    </row>
    <row r="33" spans="1:3" x14ac:dyDescent="0.25">
      <c r="C33" s="4"/>
    </row>
    <row r="34" spans="1:3" x14ac:dyDescent="0.25">
      <c r="A34" s="3">
        <f>'[1]NB LRV Data'!D69</f>
        <v>6764.3000000098255</v>
      </c>
      <c r="B34">
        <v>50</v>
      </c>
      <c r="C34" s="4" t="str">
        <f>'[1]NB LRV Data'!E69</f>
        <v>50km SFD Finish / I10 Start</v>
      </c>
    </row>
    <row r="35" spans="1:3" x14ac:dyDescent="0.25">
      <c r="C35" s="4"/>
    </row>
    <row r="36" spans="1:3" x14ac:dyDescent="0.25">
      <c r="A36" s="3">
        <f>'[1]NB LRV Data'!D73</f>
        <v>7353.0099999916274</v>
      </c>
      <c r="B36">
        <v>50</v>
      </c>
      <c r="C36" s="4" t="str">
        <f>'[1]NB LRV Data'!E73</f>
        <v>I9 Start</v>
      </c>
    </row>
    <row r="37" spans="1:3" x14ac:dyDescent="0.25">
      <c r="C37" s="4"/>
    </row>
    <row r="38" spans="1:3" x14ac:dyDescent="0.25">
      <c r="A38" s="3">
        <f>'[1]NB LRV Data'!D77</f>
        <v>7771.630000002915</v>
      </c>
      <c r="B38">
        <v>50</v>
      </c>
      <c r="C38" s="4" t="str">
        <f>'[1]NB LRV Data'!E77</f>
        <v>I8 Start</v>
      </c>
    </row>
    <row r="39" spans="1:3" x14ac:dyDescent="0.25">
      <c r="C39" s="4"/>
    </row>
    <row r="40" spans="1:3" x14ac:dyDescent="0.25">
      <c r="A40" s="3">
        <f>'[1]NB LRV Data'!D80</f>
        <v>8191.9099999940954</v>
      </c>
      <c r="B40">
        <v>30</v>
      </c>
      <c r="C40" s="4" t="str">
        <f>'[1]NB LRV Data'!E80</f>
        <v>WSN Finish / I7 Start</v>
      </c>
    </row>
    <row r="41" spans="1:3" x14ac:dyDescent="0.25">
      <c r="C41" s="4"/>
    </row>
    <row r="42" spans="1:3" x14ac:dyDescent="0.25">
      <c r="A42" s="3">
        <f>'[1]NB LRV Data'!D86</f>
        <v>9064.379999996163</v>
      </c>
      <c r="B42">
        <v>40</v>
      </c>
      <c r="C42" s="4" t="str">
        <f>'[1]NB LRV Data'!E86</f>
        <v>I6 Start</v>
      </c>
    </row>
    <row r="43" spans="1:3" x14ac:dyDescent="0.25">
      <c r="C43" s="4"/>
    </row>
    <row r="44" spans="1:3" x14ac:dyDescent="0.25">
      <c r="A44" s="3">
        <f>'[1]NB LRV Data'!D93</f>
        <v>9858.379999990575</v>
      </c>
      <c r="B44">
        <v>50</v>
      </c>
      <c r="C44" s="4" t="str">
        <f>'[1]NB LRV Data'!E93</f>
        <v>I5 Start</v>
      </c>
    </row>
    <row r="45" spans="1:3" x14ac:dyDescent="0.25">
      <c r="C45" s="4"/>
    </row>
    <row r="46" spans="1:3" x14ac:dyDescent="0.25">
      <c r="A46" s="3">
        <f>'[1]NB LRV Data'!D98</f>
        <v>10600.860000005923</v>
      </c>
      <c r="B46">
        <v>50</v>
      </c>
      <c r="C46" s="4" t="str">
        <f>'[1]NB LRV Data'!E98</f>
        <v>I4 Start</v>
      </c>
    </row>
    <row r="47" spans="1:3" x14ac:dyDescent="0.25">
      <c r="C47" s="4"/>
    </row>
    <row r="48" spans="1:3" x14ac:dyDescent="0.25">
      <c r="A48" s="3">
        <f>'[1]NB LRV Data'!D102</f>
        <v>11068.250000011176</v>
      </c>
      <c r="B48">
        <v>50</v>
      </c>
      <c r="C48" s="4" t="str">
        <f>'[1]NB LRV Data'!E102</f>
        <v>I3 Start</v>
      </c>
    </row>
    <row r="49" spans="1:3" x14ac:dyDescent="0.25">
      <c r="C49" s="4"/>
    </row>
    <row r="50" spans="1:3" x14ac:dyDescent="0.25">
      <c r="A50" s="3">
        <f>'[1]NB LRV Data'!D107</f>
        <v>11501.510000001872</v>
      </c>
      <c r="B50">
        <v>50</v>
      </c>
      <c r="C50" s="4" t="str">
        <f>'[1]NB LRV Data'!E107</f>
        <v>I2 Start</v>
      </c>
    </row>
    <row r="51" spans="1:3" x14ac:dyDescent="0.25">
      <c r="C51" s="4"/>
    </row>
    <row r="52" spans="1:3" x14ac:dyDescent="0.25">
      <c r="A52" s="3">
        <f>'[1]NB LRV Data'!D109</f>
        <v>11713.560000003781</v>
      </c>
      <c r="B52">
        <v>20</v>
      </c>
      <c r="C52" s="4" t="str">
        <f>'[1]NB LRV Data'!E109</f>
        <v>I01 Start</v>
      </c>
    </row>
    <row r="53" spans="1:3" x14ac:dyDescent="0.25">
      <c r="C53" s="4"/>
    </row>
    <row r="54" spans="1:3" x14ac:dyDescent="0.25">
      <c r="C54" s="4"/>
    </row>
    <row r="55" spans="1:3" x14ac:dyDescent="0.25">
      <c r="C55" s="4"/>
    </row>
    <row r="56" spans="1:3" x14ac:dyDescent="0.25">
      <c r="C56" s="4"/>
    </row>
    <row r="57" spans="1:3" x14ac:dyDescent="0.25">
      <c r="C57" s="4"/>
    </row>
    <row r="58" spans="1:3" x14ac:dyDescent="0.25">
      <c r="C58" s="4"/>
    </row>
    <row r="59" spans="1:3" x14ac:dyDescent="0.25">
      <c r="C59" s="4"/>
    </row>
    <row r="60" spans="1:3" x14ac:dyDescent="0.25">
      <c r="C60" s="4"/>
    </row>
    <row r="61" spans="1:3" x14ac:dyDescent="0.25">
      <c r="C61" s="4"/>
    </row>
    <row r="62" spans="1:3" x14ac:dyDescent="0.25">
      <c r="C62" s="4"/>
    </row>
    <row r="63" spans="1:3" x14ac:dyDescent="0.25">
      <c r="C63" s="4"/>
    </row>
    <row r="64" spans="1:3" x14ac:dyDescent="0.25">
      <c r="C64" s="4"/>
    </row>
    <row r="65" spans="3:3" x14ac:dyDescent="0.25">
      <c r="C65" s="4"/>
    </row>
    <row r="66" spans="3:3" x14ac:dyDescent="0.25">
      <c r="C66" s="4"/>
    </row>
    <row r="67" spans="3:3" x14ac:dyDescent="0.25">
      <c r="C67" s="4"/>
    </row>
    <row r="68" spans="3:3" x14ac:dyDescent="0.25">
      <c r="C68" s="4"/>
    </row>
    <row r="69" spans="3:3" x14ac:dyDescent="0.25">
      <c r="C69" s="4"/>
    </row>
    <row r="70" spans="3:3" x14ac:dyDescent="0.25">
      <c r="C70" s="4"/>
    </row>
    <row r="71" spans="3:3" x14ac:dyDescent="0.25">
      <c r="C71" s="4"/>
    </row>
    <row r="72" spans="3:3" x14ac:dyDescent="0.25">
      <c r="C72" s="4"/>
    </row>
    <row r="73" spans="3:3" x14ac:dyDescent="0.25">
      <c r="C73" s="4"/>
    </row>
    <row r="74" spans="3:3" x14ac:dyDescent="0.25">
      <c r="C74" s="4"/>
    </row>
    <row r="75" spans="3:3" x14ac:dyDescent="0.25">
      <c r="C75" s="4"/>
    </row>
    <row r="76" spans="3:3" x14ac:dyDescent="0.25">
      <c r="C76" s="4"/>
    </row>
    <row r="77" spans="3:3" x14ac:dyDescent="0.25">
      <c r="C77" s="4"/>
    </row>
    <row r="78" spans="3:3" x14ac:dyDescent="0.25">
      <c r="C78" s="4"/>
    </row>
    <row r="79" spans="3:3" x14ac:dyDescent="0.25">
      <c r="C79" s="4"/>
    </row>
    <row r="80" spans="3:3" x14ac:dyDescent="0.25">
      <c r="C80" s="4"/>
    </row>
    <row r="81" spans="3:3" x14ac:dyDescent="0.25">
      <c r="C81" s="4"/>
    </row>
    <row r="82" spans="3:3" x14ac:dyDescent="0.25">
      <c r="C82" s="4"/>
    </row>
    <row r="83" spans="3:3" x14ac:dyDescent="0.25">
      <c r="C83" s="4"/>
    </row>
    <row r="84" spans="3:3" x14ac:dyDescent="0.25">
      <c r="C84" s="4"/>
    </row>
    <row r="85" spans="3:3" x14ac:dyDescent="0.25">
      <c r="C85" s="4"/>
    </row>
    <row r="86" spans="3:3" x14ac:dyDescent="0.25">
      <c r="C86" s="4"/>
    </row>
    <row r="87" spans="3:3" x14ac:dyDescent="0.25">
      <c r="C87" s="4"/>
    </row>
    <row r="88" spans="3:3" x14ac:dyDescent="0.25">
      <c r="C88" s="4"/>
    </row>
    <row r="89" spans="3:3" x14ac:dyDescent="0.25">
      <c r="C89" s="4"/>
    </row>
    <row r="90" spans="3:3" x14ac:dyDescent="0.25">
      <c r="C90" s="4"/>
    </row>
    <row r="91" spans="3:3" x14ac:dyDescent="0.25">
      <c r="C91" s="4"/>
    </row>
    <row r="92" spans="3:3" x14ac:dyDescent="0.25">
      <c r="C92" s="4"/>
    </row>
    <row r="93" spans="3:3" x14ac:dyDescent="0.25">
      <c r="C93" s="4"/>
    </row>
    <row r="94" spans="3:3" x14ac:dyDescent="0.25">
      <c r="C94" s="4"/>
    </row>
    <row r="95" spans="3:3" x14ac:dyDescent="0.25">
      <c r="C95" s="4"/>
    </row>
    <row r="96" spans="3:3" x14ac:dyDescent="0.25">
      <c r="C96" s="4"/>
    </row>
    <row r="97" spans="3:3" x14ac:dyDescent="0.25">
      <c r="C97" s="4"/>
    </row>
    <row r="98" spans="3:3" x14ac:dyDescent="0.25">
      <c r="C98" s="4"/>
    </row>
    <row r="99" spans="3:3" x14ac:dyDescent="0.25">
      <c r="C99" s="4"/>
    </row>
    <row r="100" spans="3:3" x14ac:dyDescent="0.25">
      <c r="C100" s="4"/>
    </row>
    <row r="101" spans="3:3" x14ac:dyDescent="0.25">
      <c r="C101" s="4"/>
    </row>
    <row r="102" spans="3:3" x14ac:dyDescent="0.25">
      <c r="C102" s="4"/>
    </row>
    <row r="103" spans="3:3" x14ac:dyDescent="0.25">
      <c r="C103" s="4"/>
    </row>
    <row r="104" spans="3:3" x14ac:dyDescent="0.25">
      <c r="C104" s="4"/>
    </row>
    <row r="105" spans="3:3" x14ac:dyDescent="0.25">
      <c r="C105" s="4"/>
    </row>
    <row r="106" spans="3:3" x14ac:dyDescent="0.25">
      <c r="C106" s="4"/>
    </row>
    <row r="107" spans="3:3" x14ac:dyDescent="0.25">
      <c r="C107" s="4"/>
    </row>
    <row r="108" spans="3:3" x14ac:dyDescent="0.25">
      <c r="C108" s="4"/>
    </row>
    <row r="109" spans="3:3" x14ac:dyDescent="0.25">
      <c r="C109" s="4"/>
    </row>
    <row r="110" spans="3:3" x14ac:dyDescent="0.25">
      <c r="C110" s="4"/>
    </row>
    <row r="111" spans="3:3" x14ac:dyDescent="0.25">
      <c r="C111" s="4"/>
    </row>
    <row r="112" spans="3:3" x14ac:dyDescent="0.25">
      <c r="C112" s="4"/>
    </row>
    <row r="113" spans="3:3" x14ac:dyDescent="0.25">
      <c r="C113" s="4"/>
    </row>
    <row r="114" spans="3:3" x14ac:dyDescent="0.25">
      <c r="C114" s="4"/>
    </row>
    <row r="115" spans="3:3" x14ac:dyDescent="0.25">
      <c r="C115" s="4"/>
    </row>
    <row r="116" spans="3:3" x14ac:dyDescent="0.25"/>
    <row r="117" spans="3:3" x14ac:dyDescent="0.25"/>
    <row r="118" spans="3:3" x14ac:dyDescent="0.25"/>
    <row r="119" spans="3:3" x14ac:dyDescent="0.25"/>
    <row r="120" spans="3:3" x14ac:dyDescent="0.25"/>
    <row r="121" spans="3:3" x14ac:dyDescent="0.25"/>
    <row r="122" spans="3:3" x14ac:dyDescent="0.25"/>
    <row r="123" spans="3:3" x14ac:dyDescent="0.25"/>
    <row r="124" spans="3:3" x14ac:dyDescent="0.25"/>
    <row r="125" spans="3:3" x14ac:dyDescent="0.25"/>
    <row r="126" spans="3:3" x14ac:dyDescent="0.25"/>
    <row r="127" spans="3:3" x14ac:dyDescent="0.25"/>
    <row r="128" spans="3:3"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F3262-532F-4FB5-BBAA-2D628B3C520F}">
  <dimension ref="A1:C190"/>
  <sheetViews>
    <sheetView tabSelected="1" workbookViewId="0">
      <selection activeCell="B21" sqref="B21"/>
    </sheetView>
  </sheetViews>
  <sheetFormatPr defaultColWidth="0" defaultRowHeight="15" zeroHeight="1" x14ac:dyDescent="0.25"/>
  <cols>
    <col min="1" max="1" width="18.42578125" style="3" customWidth="1"/>
    <col min="2" max="2" width="25.7109375" customWidth="1"/>
    <col min="3" max="3" width="30.7109375" customWidth="1"/>
    <col min="4" max="16384" width="9.140625" hidden="1"/>
  </cols>
  <sheetData>
    <row r="1" spans="1:3" ht="36" customHeight="1" x14ac:dyDescent="0.25">
      <c r="A1" s="1" t="s">
        <v>11</v>
      </c>
      <c r="B1" s="1" t="s">
        <v>12</v>
      </c>
      <c r="C1" s="1" t="s">
        <v>13</v>
      </c>
    </row>
    <row r="2" spans="1:3" x14ac:dyDescent="0.25">
      <c r="A2" s="3">
        <f>'[1]NB LRV Data'!D1</f>
        <v>0</v>
      </c>
      <c r="B2">
        <v>15</v>
      </c>
      <c r="C2" s="4" t="str">
        <f>'[1]NB LRV Data'!E1</f>
        <v>ALG</v>
      </c>
    </row>
    <row r="3" spans="1:3" x14ac:dyDescent="0.25">
      <c r="A3" s="3">
        <f>'[1]NB LRV Data'!D2</f>
        <v>6.0999999986961484</v>
      </c>
      <c r="B3">
        <v>15</v>
      </c>
      <c r="C3" s="4" t="s">
        <v>14</v>
      </c>
    </row>
    <row r="4" spans="1:3" x14ac:dyDescent="0.25">
      <c r="C4" s="4"/>
    </row>
    <row r="5" spans="1:3" x14ac:dyDescent="0.25">
      <c r="A5" s="3">
        <f>'[1]NB LRV Data'!D9</f>
        <v>552.80999999376945</v>
      </c>
      <c r="B5">
        <v>30</v>
      </c>
      <c r="C5" s="4" t="s">
        <v>15</v>
      </c>
    </row>
    <row r="6" spans="1:3" x14ac:dyDescent="0.25">
      <c r="A6" s="3">
        <v>593.83000000000004</v>
      </c>
      <c r="B6">
        <v>30</v>
      </c>
      <c r="C6" s="4" t="s">
        <v>15</v>
      </c>
    </row>
    <row r="7" spans="1:3" x14ac:dyDescent="0.25">
      <c r="C7" s="4"/>
    </row>
    <row r="8" spans="1:3" x14ac:dyDescent="0.25">
      <c r="A8" s="3">
        <f>'[1]NB LRV Data'!D19</f>
        <v>1325.0399999960791</v>
      </c>
      <c r="B8">
        <v>30</v>
      </c>
      <c r="C8" s="4" t="s">
        <v>16</v>
      </c>
    </row>
    <row r="9" spans="1:3" x14ac:dyDescent="0.25">
      <c r="A9" s="3">
        <v>1361.76</v>
      </c>
      <c r="B9">
        <v>30</v>
      </c>
      <c r="C9" s="4" t="s">
        <v>16</v>
      </c>
    </row>
    <row r="10" spans="1:3" x14ac:dyDescent="0.25">
      <c r="C10" s="4"/>
    </row>
    <row r="11" spans="1:3" x14ac:dyDescent="0.25">
      <c r="A11" s="3">
        <f>'[1]NB LRV Data'!D24</f>
        <v>1969.230000016978</v>
      </c>
      <c r="B11">
        <v>30</v>
      </c>
      <c r="C11" s="4" t="s">
        <v>17</v>
      </c>
    </row>
    <row r="12" spans="1:3" x14ac:dyDescent="0.25">
      <c r="A12" s="3">
        <v>2008.69</v>
      </c>
      <c r="B12">
        <v>30</v>
      </c>
      <c r="C12" s="4" t="s">
        <v>17</v>
      </c>
    </row>
    <row r="13" spans="1:3" x14ac:dyDescent="0.25">
      <c r="C13" s="4"/>
    </row>
    <row r="14" spans="1:3" x14ac:dyDescent="0.25">
      <c r="A14" s="3">
        <f>'[1]NB LRV Data'!D34</f>
        <v>3041.2599999981467</v>
      </c>
      <c r="B14">
        <v>25</v>
      </c>
      <c r="C14" s="4" t="s">
        <v>18</v>
      </c>
    </row>
    <row r="15" spans="1:3" x14ac:dyDescent="0.25">
      <c r="A15" s="3">
        <f>'[1]NB LRV Data'!D35</f>
        <v>3075.8100000093691</v>
      </c>
      <c r="B15">
        <v>25</v>
      </c>
      <c r="C15" s="4" t="s">
        <v>18</v>
      </c>
    </row>
    <row r="16" spans="1:3" x14ac:dyDescent="0.25">
      <c r="C16" s="4"/>
    </row>
    <row r="17" spans="1:3" x14ac:dyDescent="0.25">
      <c r="A17" s="3">
        <f>'[1]NB LRV Data'!D42</f>
        <v>3692.0300000056159</v>
      </c>
      <c r="B17">
        <v>30</v>
      </c>
      <c r="C17" s="4" t="s">
        <v>19</v>
      </c>
    </row>
    <row r="18" spans="1:3" x14ac:dyDescent="0.25">
      <c r="A18" s="3">
        <v>3731.99</v>
      </c>
      <c r="B18">
        <v>30</v>
      </c>
      <c r="C18" s="4" t="s">
        <v>19</v>
      </c>
    </row>
    <row r="19" spans="1:3" x14ac:dyDescent="0.25">
      <c r="C19" s="4"/>
    </row>
    <row r="20" spans="1:3" x14ac:dyDescent="0.25">
      <c r="A20" s="3">
        <f>'[1]NB LRV Data'!D51</f>
        <v>5032.3600000119768</v>
      </c>
      <c r="B20">
        <v>30</v>
      </c>
      <c r="C20" s="4" t="s">
        <v>20</v>
      </c>
    </row>
    <row r="21" spans="1:3" x14ac:dyDescent="0.25">
      <c r="A21" s="3">
        <f>'[1]NB LRV Data'!D52</f>
        <v>5068.4699999983422</v>
      </c>
      <c r="B21">
        <v>30</v>
      </c>
      <c r="C21" s="4" t="s">
        <v>20</v>
      </c>
    </row>
    <row r="22" spans="1:3" x14ac:dyDescent="0.25">
      <c r="C22" s="4"/>
    </row>
    <row r="23" spans="1:3" x14ac:dyDescent="0.25">
      <c r="A23" s="3">
        <f>'[1]NB LRV Data'!D60</f>
        <v>5926.5299999970011</v>
      </c>
      <c r="B23">
        <v>30</v>
      </c>
      <c r="C23" s="4" t="s">
        <v>21</v>
      </c>
    </row>
    <row r="24" spans="1:3" x14ac:dyDescent="0.25">
      <c r="A24" s="3">
        <f>'[1]NB LRV Data'!D61</f>
        <v>5960.8500000031199</v>
      </c>
      <c r="B24">
        <v>30</v>
      </c>
      <c r="C24" s="4" t="s">
        <v>21</v>
      </c>
    </row>
    <row r="25" spans="1:3" x14ac:dyDescent="0.25">
      <c r="C25" s="4"/>
    </row>
    <row r="26" spans="1:3" x14ac:dyDescent="0.25">
      <c r="A26" s="3">
        <f>'[1]NB LRV Data'!D68</f>
        <v>6724.6900000027381</v>
      </c>
      <c r="B26">
        <v>25</v>
      </c>
      <c r="C26" s="4" t="s">
        <v>22</v>
      </c>
    </row>
    <row r="27" spans="1:3" x14ac:dyDescent="0.25">
      <c r="A27" s="3">
        <v>6764.29</v>
      </c>
      <c r="B27">
        <v>25</v>
      </c>
      <c r="C27" s="4" t="s">
        <v>22</v>
      </c>
    </row>
    <row r="28" spans="1:3" x14ac:dyDescent="0.25">
      <c r="C28" s="4"/>
    </row>
    <row r="29" spans="1:3" x14ac:dyDescent="0.25">
      <c r="A29" s="3">
        <f>'[1]NB LRV Data'!D79</f>
        <v>8154.0200000163168</v>
      </c>
      <c r="B29">
        <v>30</v>
      </c>
      <c r="C29" s="4" t="s">
        <v>23</v>
      </c>
    </row>
    <row r="30" spans="1:3" x14ac:dyDescent="0.25">
      <c r="A30" s="3">
        <f>'[1]NB LRV Data'!D80</f>
        <v>8191.9099999940954</v>
      </c>
      <c r="B30">
        <v>30</v>
      </c>
      <c r="C30" s="4" t="s">
        <v>23</v>
      </c>
    </row>
    <row r="31" spans="1:3" x14ac:dyDescent="0.25">
      <c r="C31" s="4"/>
    </row>
    <row r="32" spans="1:3" x14ac:dyDescent="0.25">
      <c r="A32" s="3">
        <f>'[1]NB LRV Data'!D88</f>
        <v>9130.0899999914691</v>
      </c>
      <c r="B32">
        <v>30</v>
      </c>
      <c r="C32" s="4" t="s">
        <v>24</v>
      </c>
    </row>
    <row r="33" spans="1:3" x14ac:dyDescent="0.25">
      <c r="A33" s="3">
        <f>'[1]NB LRV Data'!D89</f>
        <v>9164.8100000165869</v>
      </c>
      <c r="B33">
        <v>30</v>
      </c>
      <c r="C33" s="4" t="s">
        <v>24</v>
      </c>
    </row>
    <row r="34" spans="1:3" x14ac:dyDescent="0.25">
      <c r="C34" s="4"/>
    </row>
    <row r="35" spans="1:3" x14ac:dyDescent="0.25">
      <c r="A35" s="3">
        <f>'[1]NB LRV Data'!D94</f>
        <v>9915.4200000048149</v>
      </c>
      <c r="B35">
        <v>30</v>
      </c>
      <c r="C35" s="4" t="s">
        <v>25</v>
      </c>
    </row>
    <row r="36" spans="1:3" x14ac:dyDescent="0.25">
      <c r="A36" s="3">
        <v>9956.91</v>
      </c>
      <c r="B36">
        <v>30</v>
      </c>
      <c r="C36" s="4" t="s">
        <v>25</v>
      </c>
    </row>
    <row r="37" spans="1:3" x14ac:dyDescent="0.25">
      <c r="C37" s="4"/>
    </row>
    <row r="38" spans="1:3" x14ac:dyDescent="0.25">
      <c r="A38" s="3">
        <f>'[1]NB LRV Data'!D103</f>
        <v>11123.290000017732</v>
      </c>
      <c r="B38">
        <v>30</v>
      </c>
      <c r="C38" s="4" t="s">
        <v>26</v>
      </c>
    </row>
    <row r="39" spans="1:3" x14ac:dyDescent="0.25">
      <c r="A39" s="3">
        <f>'[1]NB LRV Data'!D104</f>
        <v>11160.969999997178</v>
      </c>
      <c r="B39">
        <v>30</v>
      </c>
      <c r="C39" s="4" t="s">
        <v>26</v>
      </c>
    </row>
    <row r="40" spans="1:3" x14ac:dyDescent="0.25">
      <c r="C40" s="4"/>
    </row>
    <row r="41" spans="1:3" x14ac:dyDescent="0.25">
      <c r="A41" s="3">
        <f>'[1]NB LRV Data'!D112</f>
        <v>11867.259999999078</v>
      </c>
      <c r="B41">
        <v>15</v>
      </c>
      <c r="C41" s="4" t="s">
        <v>27</v>
      </c>
    </row>
    <row r="42" spans="1:3" x14ac:dyDescent="0.25">
      <c r="A42" s="3">
        <f>'[1]NB LRV Data'!D113</f>
        <v>11901.050000014948</v>
      </c>
      <c r="B42">
        <v>15</v>
      </c>
      <c r="C42" s="4" t="s">
        <v>27</v>
      </c>
    </row>
    <row r="43" spans="1:3" x14ac:dyDescent="0.25">
      <c r="C43" s="4"/>
    </row>
    <row r="44" spans="1:3" x14ac:dyDescent="0.25">
      <c r="C44" s="4"/>
    </row>
    <row r="45" spans="1:3" x14ac:dyDescent="0.25">
      <c r="C45" s="4"/>
    </row>
    <row r="46" spans="1:3" x14ac:dyDescent="0.25">
      <c r="C46" s="4"/>
    </row>
    <row r="47" spans="1:3" x14ac:dyDescent="0.25">
      <c r="C47" s="4"/>
    </row>
    <row r="48" spans="1:3" x14ac:dyDescent="0.25">
      <c r="C48" s="4"/>
    </row>
    <row r="49" spans="3:3" x14ac:dyDescent="0.25">
      <c r="C49" s="4"/>
    </row>
    <row r="50" spans="3:3" x14ac:dyDescent="0.25">
      <c r="C50" s="4"/>
    </row>
    <row r="51" spans="3:3" x14ac:dyDescent="0.25">
      <c r="C51" s="4"/>
    </row>
    <row r="52" spans="3:3" x14ac:dyDescent="0.25">
      <c r="C52" s="4"/>
    </row>
    <row r="53" spans="3:3" x14ac:dyDescent="0.25">
      <c r="C53" s="4"/>
    </row>
    <row r="54" spans="3:3" x14ac:dyDescent="0.25">
      <c r="C54" s="4"/>
    </row>
    <row r="55" spans="3:3" x14ac:dyDescent="0.25">
      <c r="C55" s="4"/>
    </row>
    <row r="56" spans="3:3" x14ac:dyDescent="0.25">
      <c r="C56" s="4"/>
    </row>
    <row r="57" spans="3:3" x14ac:dyDescent="0.25">
      <c r="C57" s="4"/>
    </row>
    <row r="58" spans="3:3" x14ac:dyDescent="0.25">
      <c r="C58" s="4"/>
    </row>
    <row r="59" spans="3:3" x14ac:dyDescent="0.25">
      <c r="C59" s="4"/>
    </row>
    <row r="60" spans="3:3" x14ac:dyDescent="0.25">
      <c r="C60" s="4"/>
    </row>
    <row r="61" spans="3:3" x14ac:dyDescent="0.25">
      <c r="C61" s="4"/>
    </row>
    <row r="62" spans="3:3" x14ac:dyDescent="0.25">
      <c r="C62" s="4"/>
    </row>
    <row r="63" spans="3:3" x14ac:dyDescent="0.25">
      <c r="C63" s="4"/>
    </row>
    <row r="64" spans="3:3" x14ac:dyDescent="0.25">
      <c r="C64" s="4"/>
    </row>
    <row r="65" spans="3:3" x14ac:dyDescent="0.25">
      <c r="C65" s="4"/>
    </row>
    <row r="66" spans="3:3" x14ac:dyDescent="0.25">
      <c r="C66" s="4"/>
    </row>
    <row r="67" spans="3:3" x14ac:dyDescent="0.25">
      <c r="C67" s="4"/>
    </row>
    <row r="68" spans="3:3" x14ac:dyDescent="0.25">
      <c r="C68" s="4"/>
    </row>
    <row r="69" spans="3:3" x14ac:dyDescent="0.25">
      <c r="C69" s="4"/>
    </row>
    <row r="70" spans="3:3" x14ac:dyDescent="0.25">
      <c r="C70" s="4"/>
    </row>
    <row r="71" spans="3:3" x14ac:dyDescent="0.25">
      <c r="C71" s="4"/>
    </row>
    <row r="72" spans="3:3" x14ac:dyDescent="0.25">
      <c r="C72" s="4"/>
    </row>
    <row r="73" spans="3:3" x14ac:dyDescent="0.25">
      <c r="C73" s="4"/>
    </row>
    <row r="74" spans="3:3" x14ac:dyDescent="0.25">
      <c r="C74" s="4"/>
    </row>
    <row r="75" spans="3:3" x14ac:dyDescent="0.25">
      <c r="C75" s="4"/>
    </row>
    <row r="76" spans="3:3" x14ac:dyDescent="0.25">
      <c r="C76" s="4"/>
    </row>
    <row r="77" spans="3:3" x14ac:dyDescent="0.25">
      <c r="C77" s="4"/>
    </row>
    <row r="78" spans="3:3" x14ac:dyDescent="0.25">
      <c r="C78" s="4"/>
    </row>
    <row r="79" spans="3:3" x14ac:dyDescent="0.25">
      <c r="C79" s="4"/>
    </row>
    <row r="80" spans="3:3" x14ac:dyDescent="0.25">
      <c r="C80" s="4"/>
    </row>
    <row r="81" spans="3:3" x14ac:dyDescent="0.25">
      <c r="C81" s="4"/>
    </row>
    <row r="82" spans="3:3" x14ac:dyDescent="0.25">
      <c r="C82" s="4"/>
    </row>
    <row r="83" spans="3:3" x14ac:dyDescent="0.25">
      <c r="C83" s="4"/>
    </row>
    <row r="84" spans="3:3" x14ac:dyDescent="0.25">
      <c r="C84" s="4"/>
    </row>
    <row r="85" spans="3:3" x14ac:dyDescent="0.25">
      <c r="C85" s="4"/>
    </row>
    <row r="86" spans="3:3" x14ac:dyDescent="0.25">
      <c r="C86" s="4"/>
    </row>
    <row r="87" spans="3:3" x14ac:dyDescent="0.25">
      <c r="C87" s="4"/>
    </row>
    <row r="88" spans="3:3" x14ac:dyDescent="0.25">
      <c r="C88" s="4"/>
    </row>
    <row r="89" spans="3:3" x14ac:dyDescent="0.25">
      <c r="C89" s="4"/>
    </row>
    <row r="90" spans="3:3" x14ac:dyDescent="0.25">
      <c r="C90" s="4"/>
    </row>
    <row r="91" spans="3:3" x14ac:dyDescent="0.25">
      <c r="C91" s="4"/>
    </row>
    <row r="92" spans="3:3" x14ac:dyDescent="0.25">
      <c r="C92" s="4"/>
    </row>
    <row r="93" spans="3:3" x14ac:dyDescent="0.25">
      <c r="C93" s="4"/>
    </row>
    <row r="94" spans="3:3" x14ac:dyDescent="0.25">
      <c r="C94" s="4"/>
    </row>
    <row r="95" spans="3:3" x14ac:dyDescent="0.25">
      <c r="C95" s="4"/>
    </row>
    <row r="96" spans="3:3" x14ac:dyDescent="0.25">
      <c r="C96" s="4"/>
    </row>
    <row r="97" spans="3:3" x14ac:dyDescent="0.25">
      <c r="C97" s="4"/>
    </row>
    <row r="98" spans="3:3" x14ac:dyDescent="0.25">
      <c r="C98" s="4"/>
    </row>
    <row r="99" spans="3:3" x14ac:dyDescent="0.25">
      <c r="C99" s="4"/>
    </row>
    <row r="100" spans="3:3" x14ac:dyDescent="0.25">
      <c r="C100" s="4"/>
    </row>
    <row r="101" spans="3:3" x14ac:dyDescent="0.25">
      <c r="C101" s="4"/>
    </row>
    <row r="102" spans="3:3" x14ac:dyDescent="0.25">
      <c r="C102" s="4"/>
    </row>
    <row r="103" spans="3:3" x14ac:dyDescent="0.25">
      <c r="C103" s="4"/>
    </row>
    <row r="104" spans="3:3" x14ac:dyDescent="0.25">
      <c r="C104" s="4"/>
    </row>
    <row r="105" spans="3:3" x14ac:dyDescent="0.25">
      <c r="C105" s="4"/>
    </row>
    <row r="106" spans="3:3" x14ac:dyDescent="0.25"/>
    <row r="107" spans="3:3" x14ac:dyDescent="0.25"/>
    <row r="108" spans="3:3" x14ac:dyDescent="0.25"/>
    <row r="109" spans="3:3" x14ac:dyDescent="0.25"/>
    <row r="110" spans="3:3" x14ac:dyDescent="0.25"/>
    <row r="111" spans="3:3" x14ac:dyDescent="0.25"/>
    <row r="112" spans="3:3"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DF6F1-D330-4333-9255-458584CA7740}">
  <dimension ref="A1:M2001"/>
  <sheetViews>
    <sheetView workbookViewId="0">
      <selection activeCell="M35" sqref="M35"/>
    </sheetView>
  </sheetViews>
  <sheetFormatPr defaultRowHeight="15" x14ac:dyDescent="0.25"/>
  <cols>
    <col min="1" max="1" width="19.85546875" style="10" customWidth="1"/>
    <col min="2" max="2" width="34.5703125" style="10" bestFit="1" customWidth="1"/>
    <col min="3" max="3" width="15.5703125" customWidth="1"/>
    <col min="4" max="4" width="20.85546875" style="10" customWidth="1"/>
    <col min="5" max="5" width="31.140625" style="10" bestFit="1" customWidth="1"/>
    <col min="6" max="8" width="18.5703125" customWidth="1"/>
    <col min="10" max="10" width="21.28515625" customWidth="1"/>
    <col min="11" max="11" width="9.85546875" style="3" bestFit="1" customWidth="1"/>
  </cols>
  <sheetData>
    <row r="1" spans="1:13" ht="30" x14ac:dyDescent="0.25">
      <c r="A1" s="8" t="s">
        <v>8</v>
      </c>
      <c r="B1" s="8" t="s">
        <v>28</v>
      </c>
      <c r="C1" s="1" t="s">
        <v>9</v>
      </c>
      <c r="D1" s="8" t="s">
        <v>8</v>
      </c>
      <c r="E1" s="8" t="s">
        <v>29</v>
      </c>
      <c r="F1" s="1" t="s">
        <v>10</v>
      </c>
      <c r="G1" s="1" t="s">
        <v>30</v>
      </c>
      <c r="H1" s="1" t="s">
        <v>31</v>
      </c>
      <c r="I1" s="11" t="s">
        <v>32</v>
      </c>
      <c r="J1" s="12" t="s">
        <v>33</v>
      </c>
      <c r="K1" s="3" t="s">
        <v>34</v>
      </c>
      <c r="L1" t="s">
        <v>35</v>
      </c>
      <c r="M1" t="s">
        <v>36</v>
      </c>
    </row>
    <row r="2" spans="1:13" x14ac:dyDescent="0.25">
      <c r="A2" s="9">
        <f>Speed!A2</f>
        <v>45701.281261574077</v>
      </c>
      <c r="B2" s="9">
        <f>MROUND(A2,"00:00:01")</f>
        <v>45701.28126157407</v>
      </c>
      <c r="C2" s="2">
        <f>Speed!B2</f>
        <v>0.53611111099999997</v>
      </c>
      <c r="D2" s="9">
        <f>Odometer!A2</f>
        <v>45701.281273148146</v>
      </c>
      <c r="E2" s="9">
        <f>MROUND(D2,"00:00:01")</f>
        <v>45701.281273148146</v>
      </c>
      <c r="F2" s="2">
        <f>Odometer!B2</f>
        <v>428749898</v>
      </c>
      <c r="G2" s="2">
        <f>IF(F3-F2&lt;0,0,F3-F2)</f>
        <v>1</v>
      </c>
      <c r="H2">
        <f>G2</f>
        <v>1</v>
      </c>
      <c r="I2" s="10">
        <f>A2</f>
        <v>45701.281261574077</v>
      </c>
      <c r="J2" s="10">
        <f>MROUND(I2,"0:00:01")</f>
        <v>45701.28126157407</v>
      </c>
      <c r="K2" s="3" t="e">
        <f>IFERROR(INDEX($H$2:$H$2000,MATCH(J2,$E$2:$E$2000,0)),NA())</f>
        <v>#N/A</v>
      </c>
      <c r="L2">
        <f t="shared" ref="L2:L65" si="0">INDEX($C$2:$C$2000, MATCH(I2,$A$2:$A$2000,0))</f>
        <v>0.53611111099999997</v>
      </c>
      <c r="M2">
        <f>L2*3.6</f>
        <v>1.9299999995999999</v>
      </c>
    </row>
    <row r="3" spans="1:13" x14ac:dyDescent="0.25">
      <c r="A3" s="9">
        <f>Speed!A3</f>
        <v>45701.281261574077</v>
      </c>
      <c r="B3" s="9">
        <f t="shared" ref="B3:B66" si="1">MROUND(A3,"00:00:01")</f>
        <v>45701.28126157407</v>
      </c>
      <c r="C3" s="2">
        <f>Speed!B3</f>
        <v>0.81944444400000005</v>
      </c>
      <c r="D3" s="9">
        <f>Odometer!A3</f>
        <v>45701.281273148146</v>
      </c>
      <c r="E3" s="9">
        <f t="shared" ref="E3:E66" si="2">MROUND(D3,"00:00:01")</f>
        <v>45701.281273148146</v>
      </c>
      <c r="F3" s="2">
        <f>Odometer!B3</f>
        <v>428749899</v>
      </c>
      <c r="G3" s="2">
        <f t="shared" ref="G3:G66" si="3">IF(F4-F3&lt;0,0,F4-F3)</f>
        <v>2</v>
      </c>
      <c r="H3" s="2">
        <f>SUM($G$2:G3)</f>
        <v>3</v>
      </c>
      <c r="I3" s="10">
        <f t="shared" ref="I3:I66" si="4">A3</f>
        <v>45701.281261574077</v>
      </c>
      <c r="J3" s="10">
        <f t="shared" ref="J3:J66" si="5">MROUND(I3,"0:00:01")</f>
        <v>45701.28126157407</v>
      </c>
      <c r="K3" s="3" t="e">
        <f>IFERROR(INDEX($H$2:$H$2000,MATCH(J3,$E$2:$E$2000,0)),NA())</f>
        <v>#N/A</v>
      </c>
      <c r="L3">
        <f t="shared" si="0"/>
        <v>0.53611111099999997</v>
      </c>
      <c r="M3">
        <f t="shared" ref="M3:M66" si="6">L3*3.6</f>
        <v>1.9299999995999999</v>
      </c>
    </row>
    <row r="4" spans="1:13" x14ac:dyDescent="0.25">
      <c r="A4" s="9">
        <f>Speed!A4</f>
        <v>45701.281273148146</v>
      </c>
      <c r="B4" s="9">
        <f t="shared" si="1"/>
        <v>45701.281273148146</v>
      </c>
      <c r="C4" s="2">
        <f>Speed!B4</f>
        <v>1.3833333329999999</v>
      </c>
      <c r="D4" s="9">
        <f>Odometer!A4</f>
        <v>45701.2812962963</v>
      </c>
      <c r="E4" s="9">
        <f t="shared" si="2"/>
        <v>45701.281296296293</v>
      </c>
      <c r="F4" s="2">
        <f>Odometer!B4</f>
        <v>428749901</v>
      </c>
      <c r="G4" s="2">
        <f t="shared" si="3"/>
        <v>3</v>
      </c>
      <c r="H4" s="2">
        <f>SUM($G$2:G4)</f>
        <v>6</v>
      </c>
      <c r="I4" s="10">
        <f t="shared" si="4"/>
        <v>45701.281273148146</v>
      </c>
      <c r="J4" s="10">
        <f t="shared" si="5"/>
        <v>45701.281273148146</v>
      </c>
      <c r="K4" s="3">
        <f t="shared" ref="K4:K67" si="7">IFERROR(INDEX($H$2:$H$2000,MATCH(J4,$E$2:$E$2000,0)),NA())</f>
        <v>1</v>
      </c>
      <c r="L4">
        <f t="shared" si="0"/>
        <v>1.3833333329999999</v>
      </c>
      <c r="M4">
        <f t="shared" si="6"/>
        <v>4.9799999988000003</v>
      </c>
    </row>
    <row r="5" spans="1:13" x14ac:dyDescent="0.25">
      <c r="A5" s="9">
        <f>Speed!A5</f>
        <v>45701.281284722223</v>
      </c>
      <c r="B5" s="9">
        <f t="shared" si="1"/>
        <v>45701.281284722223</v>
      </c>
      <c r="C5" s="2">
        <f>Speed!B5</f>
        <v>1.888888889</v>
      </c>
      <c r="D5" s="9">
        <f>Odometer!A5</f>
        <v>45701.281307870369</v>
      </c>
      <c r="E5" s="9">
        <f t="shared" si="2"/>
        <v>45701.281307870369</v>
      </c>
      <c r="F5" s="2">
        <f>Odometer!B5</f>
        <v>428749904</v>
      </c>
      <c r="G5" s="2">
        <f t="shared" si="3"/>
        <v>3</v>
      </c>
      <c r="H5" s="2">
        <f>SUM($G$2:G5)</f>
        <v>9</v>
      </c>
      <c r="I5" s="10">
        <f t="shared" si="4"/>
        <v>45701.281284722223</v>
      </c>
      <c r="J5" s="10">
        <f t="shared" si="5"/>
        <v>45701.281284722223</v>
      </c>
      <c r="K5" s="3" t="e">
        <f t="shared" si="7"/>
        <v>#N/A</v>
      </c>
      <c r="L5">
        <f t="shared" si="0"/>
        <v>1.888888889</v>
      </c>
      <c r="M5">
        <f t="shared" si="6"/>
        <v>6.8000000003999999</v>
      </c>
    </row>
    <row r="6" spans="1:13" x14ac:dyDescent="0.25">
      <c r="A6" s="9">
        <f>Speed!A6</f>
        <v>45701.2812962963</v>
      </c>
      <c r="B6" s="9">
        <f t="shared" si="1"/>
        <v>45701.281296296293</v>
      </c>
      <c r="C6" s="2">
        <f>Speed!B6</f>
        <v>2.266666667</v>
      </c>
      <c r="D6" s="9">
        <f>Odometer!A6</f>
        <v>45701.281319444446</v>
      </c>
      <c r="E6" s="9">
        <f t="shared" si="2"/>
        <v>45701.281319444439</v>
      </c>
      <c r="F6" s="2">
        <f>Odometer!B6</f>
        <v>428749907</v>
      </c>
      <c r="G6" s="2">
        <f t="shared" si="3"/>
        <v>3</v>
      </c>
      <c r="H6" s="2">
        <f>SUM($G$2:G6)</f>
        <v>12</v>
      </c>
      <c r="I6" s="10">
        <f t="shared" si="4"/>
        <v>45701.2812962963</v>
      </c>
      <c r="J6" s="10">
        <f t="shared" si="5"/>
        <v>45701.281296296293</v>
      </c>
      <c r="K6" s="3">
        <f t="shared" si="7"/>
        <v>6</v>
      </c>
      <c r="L6">
        <f t="shared" si="0"/>
        <v>2.266666667</v>
      </c>
      <c r="M6">
        <f t="shared" si="6"/>
        <v>8.1600000012000002</v>
      </c>
    </row>
    <row r="7" spans="1:13" x14ac:dyDescent="0.25">
      <c r="A7" s="9">
        <f>Speed!A7</f>
        <v>45701.281307870369</v>
      </c>
      <c r="B7" s="9">
        <f t="shared" si="1"/>
        <v>45701.281307870369</v>
      </c>
      <c r="C7" s="2">
        <f>Speed!B7</f>
        <v>2.8222222220000002</v>
      </c>
      <c r="D7" s="9">
        <f>Odometer!A7</f>
        <v>45701.281319444446</v>
      </c>
      <c r="E7" s="9">
        <f t="shared" si="2"/>
        <v>45701.281319444439</v>
      </c>
      <c r="F7" s="2">
        <f>Odometer!B7</f>
        <v>428749910</v>
      </c>
      <c r="G7" s="2">
        <f t="shared" si="3"/>
        <v>4</v>
      </c>
      <c r="H7" s="2">
        <f>SUM($G$2:G7)</f>
        <v>16</v>
      </c>
      <c r="I7" s="10">
        <f t="shared" si="4"/>
        <v>45701.281307870369</v>
      </c>
      <c r="J7" s="10">
        <f t="shared" si="5"/>
        <v>45701.281307870369</v>
      </c>
      <c r="K7" s="3">
        <f t="shared" si="7"/>
        <v>9</v>
      </c>
      <c r="L7">
        <f t="shared" si="0"/>
        <v>2.8222222220000002</v>
      </c>
      <c r="M7">
        <f t="shared" si="6"/>
        <v>10.1599999992</v>
      </c>
    </row>
    <row r="8" spans="1:13" x14ac:dyDescent="0.25">
      <c r="A8" s="9">
        <f>Speed!A8</f>
        <v>45701.281319444446</v>
      </c>
      <c r="B8" s="9">
        <f t="shared" si="1"/>
        <v>45701.281319444439</v>
      </c>
      <c r="C8" s="2">
        <f>Speed!B8</f>
        <v>3.1</v>
      </c>
      <c r="D8" s="9">
        <f>Odometer!A8</f>
        <v>45701.281342592592</v>
      </c>
      <c r="E8" s="9">
        <f t="shared" si="2"/>
        <v>45701.281342592592</v>
      </c>
      <c r="F8" s="2">
        <f>Odometer!B8</f>
        <v>428749914</v>
      </c>
      <c r="G8" s="2">
        <f t="shared" si="3"/>
        <v>3</v>
      </c>
      <c r="H8" s="2">
        <f>SUM($G$2:G8)</f>
        <v>19</v>
      </c>
      <c r="I8" s="10">
        <f t="shared" si="4"/>
        <v>45701.281319444446</v>
      </c>
      <c r="J8" s="10">
        <f t="shared" si="5"/>
        <v>45701.281319444439</v>
      </c>
      <c r="K8" s="3">
        <f t="shared" si="7"/>
        <v>12</v>
      </c>
      <c r="L8">
        <f t="shared" si="0"/>
        <v>3.1</v>
      </c>
      <c r="M8">
        <f t="shared" si="6"/>
        <v>11.16</v>
      </c>
    </row>
    <row r="9" spans="1:13" x14ac:dyDescent="0.25">
      <c r="A9" s="9">
        <f>Speed!A9</f>
        <v>45701.281319444446</v>
      </c>
      <c r="B9" s="9">
        <f t="shared" si="1"/>
        <v>45701.281319444439</v>
      </c>
      <c r="C9" s="2">
        <f>Speed!B9</f>
        <v>3.3250000000000002</v>
      </c>
      <c r="D9" s="9">
        <f>Odometer!A9</f>
        <v>45701.281354166669</v>
      </c>
      <c r="E9" s="9">
        <f t="shared" si="2"/>
        <v>45701.281354166662</v>
      </c>
      <c r="F9" s="2">
        <f>Odometer!B9</f>
        <v>428749917</v>
      </c>
      <c r="G9" s="2">
        <f t="shared" si="3"/>
        <v>3</v>
      </c>
      <c r="H9" s="2">
        <f>SUM($G$2:G9)</f>
        <v>22</v>
      </c>
      <c r="I9" s="10">
        <f t="shared" si="4"/>
        <v>45701.281319444446</v>
      </c>
      <c r="J9" s="10">
        <f t="shared" si="5"/>
        <v>45701.281319444439</v>
      </c>
      <c r="K9" s="3">
        <f t="shared" si="7"/>
        <v>12</v>
      </c>
      <c r="L9">
        <f t="shared" si="0"/>
        <v>3.1</v>
      </c>
      <c r="M9">
        <f t="shared" si="6"/>
        <v>11.16</v>
      </c>
    </row>
    <row r="10" spans="1:13" x14ac:dyDescent="0.25">
      <c r="A10" s="9">
        <f>Speed!A10</f>
        <v>45701.281342592592</v>
      </c>
      <c r="B10" s="9">
        <f t="shared" si="1"/>
        <v>45701.281342592592</v>
      </c>
      <c r="C10" s="2">
        <f>Speed!B10</f>
        <v>3.4722222220000001</v>
      </c>
      <c r="D10" s="9">
        <f>Odometer!A10</f>
        <v>45701.281354166669</v>
      </c>
      <c r="E10" s="9">
        <f t="shared" si="2"/>
        <v>45701.281354166662</v>
      </c>
      <c r="F10" s="2">
        <f>Odometer!B10</f>
        <v>428749920</v>
      </c>
      <c r="G10" s="2">
        <f t="shared" si="3"/>
        <v>1</v>
      </c>
      <c r="H10" s="2">
        <f>SUM($G$2:G10)</f>
        <v>23</v>
      </c>
      <c r="I10" s="10">
        <f t="shared" si="4"/>
        <v>45701.281342592592</v>
      </c>
      <c r="J10" s="10">
        <f t="shared" si="5"/>
        <v>45701.281342592592</v>
      </c>
      <c r="K10" s="3">
        <f t="shared" si="7"/>
        <v>19</v>
      </c>
      <c r="L10">
        <f t="shared" si="0"/>
        <v>3.4722222220000001</v>
      </c>
      <c r="M10">
        <f t="shared" si="6"/>
        <v>12.4999999992</v>
      </c>
    </row>
    <row r="11" spans="1:13" x14ac:dyDescent="0.25">
      <c r="A11" s="9">
        <f>Speed!A11</f>
        <v>45701.281354166669</v>
      </c>
      <c r="B11" s="9">
        <f t="shared" si="1"/>
        <v>45701.281354166662</v>
      </c>
      <c r="C11" s="2">
        <f>Speed!B11</f>
        <v>3.4138888889999999</v>
      </c>
      <c r="D11" s="9">
        <f>Odometer!A11</f>
        <v>45701.281365740739</v>
      </c>
      <c r="E11" s="9">
        <f t="shared" si="2"/>
        <v>45701.281365740739</v>
      </c>
      <c r="F11" s="2">
        <f>Odometer!B11</f>
        <v>428749921</v>
      </c>
      <c r="G11" s="2">
        <f t="shared" si="3"/>
        <v>3</v>
      </c>
      <c r="H11" s="2">
        <f>SUM($G$2:G11)</f>
        <v>26</v>
      </c>
      <c r="I11" s="10">
        <f t="shared" si="4"/>
        <v>45701.281354166669</v>
      </c>
      <c r="J11" s="10">
        <f t="shared" si="5"/>
        <v>45701.281354166662</v>
      </c>
      <c r="K11" s="3">
        <f t="shared" si="7"/>
        <v>22</v>
      </c>
      <c r="L11">
        <f t="shared" si="0"/>
        <v>3.4138888889999999</v>
      </c>
      <c r="M11">
        <f t="shared" si="6"/>
        <v>12.290000000399999</v>
      </c>
    </row>
    <row r="12" spans="1:13" x14ac:dyDescent="0.25">
      <c r="A12" s="9">
        <f>Speed!A12</f>
        <v>45701.281365740739</v>
      </c>
      <c r="B12" s="9">
        <f t="shared" si="1"/>
        <v>45701.281365740739</v>
      </c>
      <c r="C12" s="2">
        <f>Speed!B12</f>
        <v>3.377777778</v>
      </c>
      <c r="D12" s="9">
        <f>Odometer!A12</f>
        <v>45701.281377314815</v>
      </c>
      <c r="E12" s="9">
        <f t="shared" si="2"/>
        <v>45701.281377314815</v>
      </c>
      <c r="F12" s="2">
        <f>Odometer!B12</f>
        <v>428749924</v>
      </c>
      <c r="G12" s="2">
        <f t="shared" si="3"/>
        <v>3</v>
      </c>
      <c r="H12" s="2">
        <f>SUM($G$2:G12)</f>
        <v>29</v>
      </c>
      <c r="I12" s="10">
        <f t="shared" si="4"/>
        <v>45701.281365740739</v>
      </c>
      <c r="J12" s="10">
        <f t="shared" si="5"/>
        <v>45701.281365740739</v>
      </c>
      <c r="K12" s="3">
        <f t="shared" si="7"/>
        <v>26</v>
      </c>
      <c r="L12">
        <f t="shared" si="0"/>
        <v>3.377777778</v>
      </c>
      <c r="M12">
        <f t="shared" si="6"/>
        <v>12.1600000008</v>
      </c>
    </row>
    <row r="13" spans="1:13" x14ac:dyDescent="0.25">
      <c r="A13" s="9">
        <f>Speed!A13</f>
        <v>45701.281377314815</v>
      </c>
      <c r="B13" s="9">
        <f t="shared" si="1"/>
        <v>45701.281377314815</v>
      </c>
      <c r="C13" s="2">
        <f>Speed!B13</f>
        <v>3.4083333329999999</v>
      </c>
      <c r="D13" s="9">
        <f>Odometer!A13</f>
        <v>45701.281388888892</v>
      </c>
      <c r="E13" s="9">
        <f t="shared" si="2"/>
        <v>45701.281388888885</v>
      </c>
      <c r="F13" s="2">
        <f>Odometer!B13</f>
        <v>428749927</v>
      </c>
      <c r="G13" s="2">
        <f t="shared" si="3"/>
        <v>4</v>
      </c>
      <c r="H13" s="2">
        <f>SUM($G$2:G13)</f>
        <v>33</v>
      </c>
      <c r="I13" s="10">
        <f t="shared" si="4"/>
        <v>45701.281377314815</v>
      </c>
      <c r="J13" s="10">
        <f t="shared" si="5"/>
        <v>45701.281377314815</v>
      </c>
      <c r="K13" s="3">
        <f t="shared" si="7"/>
        <v>29</v>
      </c>
      <c r="L13">
        <f t="shared" si="0"/>
        <v>3.4083333329999999</v>
      </c>
      <c r="M13">
        <f t="shared" si="6"/>
        <v>12.269999998799999</v>
      </c>
    </row>
    <row r="14" spans="1:13" x14ac:dyDescent="0.25">
      <c r="A14" s="9">
        <f>Speed!A14</f>
        <v>45701.281388888892</v>
      </c>
      <c r="B14" s="9">
        <f t="shared" si="1"/>
        <v>45701.281388888885</v>
      </c>
      <c r="C14" s="2">
        <f>Speed!B14</f>
        <v>3.6472222219999999</v>
      </c>
      <c r="D14" s="9">
        <f>Odometer!A14</f>
        <v>45701.281400462962</v>
      </c>
      <c r="E14" s="9">
        <f t="shared" si="2"/>
        <v>45701.281400462962</v>
      </c>
      <c r="F14" s="2">
        <f>Odometer!B14</f>
        <v>428749931</v>
      </c>
      <c r="G14" s="2">
        <f t="shared" si="3"/>
        <v>4</v>
      </c>
      <c r="H14" s="2">
        <f>SUM($G$2:G14)</f>
        <v>37</v>
      </c>
      <c r="I14" s="10">
        <f t="shared" si="4"/>
        <v>45701.281388888892</v>
      </c>
      <c r="J14" s="10">
        <f t="shared" si="5"/>
        <v>45701.281388888885</v>
      </c>
      <c r="K14" s="3">
        <f t="shared" si="7"/>
        <v>33</v>
      </c>
      <c r="L14">
        <f t="shared" si="0"/>
        <v>3.6472222219999999</v>
      </c>
      <c r="M14">
        <f t="shared" si="6"/>
        <v>13.129999999200001</v>
      </c>
    </row>
    <row r="15" spans="1:13" x14ac:dyDescent="0.25">
      <c r="A15" s="9">
        <f>Speed!A15</f>
        <v>45701.281400462962</v>
      </c>
      <c r="B15" s="9">
        <f t="shared" si="1"/>
        <v>45701.281400462962</v>
      </c>
      <c r="C15" s="2">
        <f>Speed!B15</f>
        <v>3.9194444439999998</v>
      </c>
      <c r="D15" s="9">
        <f>Odometer!A15</f>
        <v>45701.281412037039</v>
      </c>
      <c r="E15" s="9">
        <f t="shared" si="2"/>
        <v>45701.281412037031</v>
      </c>
      <c r="F15" s="2">
        <f>Odometer!B15</f>
        <v>428749935</v>
      </c>
      <c r="G15" s="2">
        <f t="shared" si="3"/>
        <v>5</v>
      </c>
      <c r="H15" s="2">
        <f>SUM($G$2:G15)</f>
        <v>42</v>
      </c>
      <c r="I15" s="10">
        <f t="shared" si="4"/>
        <v>45701.281400462962</v>
      </c>
      <c r="J15" s="10">
        <f t="shared" si="5"/>
        <v>45701.281400462962</v>
      </c>
      <c r="K15" s="3">
        <f t="shared" si="7"/>
        <v>37</v>
      </c>
      <c r="L15">
        <f t="shared" si="0"/>
        <v>3.9194444439999998</v>
      </c>
      <c r="M15">
        <f t="shared" si="6"/>
        <v>14.109999998399999</v>
      </c>
    </row>
    <row r="16" spans="1:13" x14ac:dyDescent="0.25">
      <c r="A16" s="9">
        <f>Speed!A16</f>
        <v>45701.281412037039</v>
      </c>
      <c r="B16" s="9">
        <f t="shared" si="1"/>
        <v>45701.281412037031</v>
      </c>
      <c r="C16" s="2">
        <f>Speed!B16</f>
        <v>4.141666667</v>
      </c>
      <c r="D16" s="9">
        <f>Odometer!A16</f>
        <v>45701.281423611108</v>
      </c>
      <c r="E16" s="9">
        <f t="shared" si="2"/>
        <v>45701.281423611108</v>
      </c>
      <c r="F16" s="2">
        <f>Odometer!B16</f>
        <v>428749940</v>
      </c>
      <c r="G16" s="2">
        <f t="shared" si="3"/>
        <v>4</v>
      </c>
      <c r="H16" s="2">
        <f>SUM($G$2:G16)</f>
        <v>46</v>
      </c>
      <c r="I16" s="10">
        <f t="shared" si="4"/>
        <v>45701.281412037039</v>
      </c>
      <c r="J16" s="10">
        <f t="shared" si="5"/>
        <v>45701.281412037031</v>
      </c>
      <c r="K16" s="3">
        <f t="shared" si="7"/>
        <v>42</v>
      </c>
      <c r="L16">
        <f t="shared" si="0"/>
        <v>4.141666667</v>
      </c>
      <c r="M16">
        <f t="shared" si="6"/>
        <v>14.9100000012</v>
      </c>
    </row>
    <row r="17" spans="1:13" x14ac:dyDescent="0.25">
      <c r="A17" s="9">
        <f>Speed!A17</f>
        <v>45701.281423611108</v>
      </c>
      <c r="B17" s="9">
        <f t="shared" si="1"/>
        <v>45701.281423611108</v>
      </c>
      <c r="C17" s="2">
        <f>Speed!B17</f>
        <v>4.3416666670000001</v>
      </c>
      <c r="D17" s="9">
        <f>Odometer!A17</f>
        <v>45701.281435185185</v>
      </c>
      <c r="E17" s="9">
        <f t="shared" si="2"/>
        <v>45701.281435185185</v>
      </c>
      <c r="F17" s="2">
        <f>Odometer!B17</f>
        <v>428749944</v>
      </c>
      <c r="G17" s="2">
        <f t="shared" si="3"/>
        <v>4</v>
      </c>
      <c r="H17" s="2">
        <f>SUM($G$2:G17)</f>
        <v>50</v>
      </c>
      <c r="I17" s="10">
        <f t="shared" si="4"/>
        <v>45701.281423611108</v>
      </c>
      <c r="J17" s="10">
        <f t="shared" si="5"/>
        <v>45701.281423611108</v>
      </c>
      <c r="K17" s="3">
        <f t="shared" si="7"/>
        <v>46</v>
      </c>
      <c r="L17">
        <f t="shared" si="0"/>
        <v>4.3416666670000001</v>
      </c>
      <c r="M17">
        <f t="shared" si="6"/>
        <v>15.630000001200001</v>
      </c>
    </row>
    <row r="18" spans="1:13" x14ac:dyDescent="0.25">
      <c r="A18" s="9">
        <f>Speed!A18</f>
        <v>45701.281435185185</v>
      </c>
      <c r="B18" s="9">
        <f t="shared" si="1"/>
        <v>45701.281435185185</v>
      </c>
      <c r="C18" s="2">
        <f>Speed!B18</f>
        <v>4.488888889</v>
      </c>
      <c r="D18" s="9">
        <f>Odometer!A18</f>
        <v>45701.281435185185</v>
      </c>
      <c r="E18" s="9">
        <f t="shared" si="2"/>
        <v>45701.281435185185</v>
      </c>
      <c r="F18" s="2">
        <f>Odometer!B18</f>
        <v>428749948</v>
      </c>
      <c r="G18" s="2">
        <f t="shared" si="3"/>
        <v>5</v>
      </c>
      <c r="H18" s="2">
        <f>SUM($G$2:G18)</f>
        <v>55</v>
      </c>
      <c r="I18" s="10">
        <f t="shared" si="4"/>
        <v>45701.281435185185</v>
      </c>
      <c r="J18" s="10">
        <f t="shared" si="5"/>
        <v>45701.281435185185</v>
      </c>
      <c r="K18" s="3">
        <f t="shared" si="7"/>
        <v>50</v>
      </c>
      <c r="L18">
        <f t="shared" si="0"/>
        <v>4.488888889</v>
      </c>
      <c r="M18">
        <f t="shared" si="6"/>
        <v>16.1600000004</v>
      </c>
    </row>
    <row r="19" spans="1:13" x14ac:dyDescent="0.25">
      <c r="A19" s="9">
        <f>Speed!A19</f>
        <v>45701.281435185185</v>
      </c>
      <c r="B19" s="9">
        <f t="shared" si="1"/>
        <v>45701.281435185185</v>
      </c>
      <c r="C19" s="2">
        <f>Speed!B19</f>
        <v>4.6611111110000003</v>
      </c>
      <c r="D19" s="9">
        <f>Odometer!A19</f>
        <v>45701.281458333331</v>
      </c>
      <c r="E19" s="9">
        <f t="shared" si="2"/>
        <v>45701.281458333331</v>
      </c>
      <c r="F19" s="2">
        <f>Odometer!B19</f>
        <v>428749953</v>
      </c>
      <c r="G19" s="2">
        <f t="shared" si="3"/>
        <v>5</v>
      </c>
      <c r="H19" s="2">
        <f>SUM($G$2:G19)</f>
        <v>60</v>
      </c>
      <c r="I19" s="10">
        <f t="shared" si="4"/>
        <v>45701.281435185185</v>
      </c>
      <c r="J19" s="10">
        <f t="shared" si="5"/>
        <v>45701.281435185185</v>
      </c>
      <c r="K19" s="3">
        <f t="shared" si="7"/>
        <v>50</v>
      </c>
      <c r="L19">
        <f t="shared" si="0"/>
        <v>4.488888889</v>
      </c>
      <c r="M19">
        <f t="shared" si="6"/>
        <v>16.1600000004</v>
      </c>
    </row>
    <row r="20" spans="1:13" x14ac:dyDescent="0.25">
      <c r="A20" s="9">
        <f>Speed!A20</f>
        <v>45701.281458333331</v>
      </c>
      <c r="B20" s="9">
        <f t="shared" si="1"/>
        <v>45701.281458333331</v>
      </c>
      <c r="C20" s="2">
        <f>Speed!B20</f>
        <v>4.8527777780000001</v>
      </c>
      <c r="D20" s="9">
        <f>Odometer!A20</f>
        <v>45701.281469907408</v>
      </c>
      <c r="E20" s="9">
        <f t="shared" si="2"/>
        <v>45701.281469907408</v>
      </c>
      <c r="F20" s="2">
        <f>Odometer!B20</f>
        <v>428749958</v>
      </c>
      <c r="G20" s="2">
        <f t="shared" si="3"/>
        <v>5</v>
      </c>
      <c r="H20" s="2">
        <f>SUM($G$2:G20)</f>
        <v>65</v>
      </c>
      <c r="I20" s="10">
        <f t="shared" si="4"/>
        <v>45701.281458333331</v>
      </c>
      <c r="J20" s="10">
        <f t="shared" si="5"/>
        <v>45701.281458333331</v>
      </c>
      <c r="K20" s="3">
        <f t="shared" si="7"/>
        <v>60</v>
      </c>
      <c r="L20">
        <f t="shared" si="0"/>
        <v>4.8527777780000001</v>
      </c>
      <c r="M20">
        <f t="shared" si="6"/>
        <v>17.470000000800002</v>
      </c>
    </row>
    <row r="21" spans="1:13" x14ac:dyDescent="0.25">
      <c r="A21" s="9">
        <f>Speed!A21</f>
        <v>45701.281469907408</v>
      </c>
      <c r="B21" s="9">
        <f t="shared" si="1"/>
        <v>45701.281469907408</v>
      </c>
      <c r="C21" s="2">
        <f>Speed!B21</f>
        <v>5.0833333329999997</v>
      </c>
      <c r="D21" s="9">
        <f>Odometer!A21</f>
        <v>45701.281481481485</v>
      </c>
      <c r="E21" s="9">
        <f t="shared" si="2"/>
        <v>45701.281481481477</v>
      </c>
      <c r="F21" s="2">
        <f>Odometer!B21</f>
        <v>428749963</v>
      </c>
      <c r="G21" s="2">
        <f t="shared" si="3"/>
        <v>6</v>
      </c>
      <c r="H21" s="2">
        <f>SUM($G$2:G21)</f>
        <v>71</v>
      </c>
      <c r="I21" s="10">
        <f t="shared" si="4"/>
        <v>45701.281469907408</v>
      </c>
      <c r="J21" s="10">
        <f t="shared" si="5"/>
        <v>45701.281469907408</v>
      </c>
      <c r="K21" s="3">
        <f t="shared" si="7"/>
        <v>65</v>
      </c>
      <c r="L21">
        <f t="shared" si="0"/>
        <v>5.0833333329999997</v>
      </c>
      <c r="M21">
        <f t="shared" si="6"/>
        <v>18.299999998800001</v>
      </c>
    </row>
    <row r="22" spans="1:13" x14ac:dyDescent="0.25">
      <c r="A22" s="9">
        <f>Speed!A22</f>
        <v>45701.281481481485</v>
      </c>
      <c r="B22" s="9">
        <f t="shared" si="1"/>
        <v>45701.281481481477</v>
      </c>
      <c r="C22" s="2">
        <f>Speed!B22</f>
        <v>5.2944444439999998</v>
      </c>
      <c r="D22" s="9">
        <f>Odometer!A22</f>
        <v>45701.281493055554</v>
      </c>
      <c r="E22" s="9">
        <f t="shared" si="2"/>
        <v>45701.281493055554</v>
      </c>
      <c r="F22" s="2">
        <f>Odometer!B22</f>
        <v>428749969</v>
      </c>
      <c r="G22" s="2">
        <f t="shared" si="3"/>
        <v>5</v>
      </c>
      <c r="H22" s="2">
        <f>SUM($G$2:G22)</f>
        <v>76</v>
      </c>
      <c r="I22" s="10">
        <f t="shared" si="4"/>
        <v>45701.281481481485</v>
      </c>
      <c r="J22" s="10">
        <f t="shared" si="5"/>
        <v>45701.281481481477</v>
      </c>
      <c r="K22" s="3">
        <f t="shared" si="7"/>
        <v>71</v>
      </c>
      <c r="L22">
        <f t="shared" si="0"/>
        <v>5.2944444439999998</v>
      </c>
      <c r="M22">
        <f t="shared" si="6"/>
        <v>19.059999998399999</v>
      </c>
    </row>
    <row r="23" spans="1:13" x14ac:dyDescent="0.25">
      <c r="A23" s="9">
        <f>Speed!A23</f>
        <v>45701.281493055554</v>
      </c>
      <c r="B23" s="9">
        <f t="shared" si="1"/>
        <v>45701.281493055554</v>
      </c>
      <c r="C23" s="2">
        <f>Speed!B23</f>
        <v>5.5138888890000004</v>
      </c>
      <c r="D23" s="9">
        <f>Odometer!A23</f>
        <v>45701.281504629631</v>
      </c>
      <c r="E23" s="9">
        <f t="shared" si="2"/>
        <v>45701.281504629631</v>
      </c>
      <c r="F23" s="2">
        <f>Odometer!B23</f>
        <v>428749974</v>
      </c>
      <c r="G23" s="2">
        <f t="shared" si="3"/>
        <v>1</v>
      </c>
      <c r="H23" s="2">
        <f>SUM($G$2:G23)</f>
        <v>77</v>
      </c>
      <c r="I23" s="10">
        <f t="shared" si="4"/>
        <v>45701.281493055554</v>
      </c>
      <c r="J23" s="10">
        <f t="shared" si="5"/>
        <v>45701.281493055554</v>
      </c>
      <c r="K23" s="3">
        <f t="shared" si="7"/>
        <v>76</v>
      </c>
      <c r="L23">
        <f t="shared" si="0"/>
        <v>5.5138888890000004</v>
      </c>
      <c r="M23">
        <f t="shared" si="6"/>
        <v>19.850000000400001</v>
      </c>
    </row>
    <row r="24" spans="1:13" x14ac:dyDescent="0.25">
      <c r="A24" s="9">
        <f>Speed!A24</f>
        <v>45701.281504629631</v>
      </c>
      <c r="B24" s="9">
        <f t="shared" si="1"/>
        <v>45701.281504629631</v>
      </c>
      <c r="C24" s="2">
        <f>Speed!B24</f>
        <v>6.1694444439999998</v>
      </c>
      <c r="D24" s="9">
        <f>Odometer!A24</f>
        <v>45701.281504629631</v>
      </c>
      <c r="E24" s="9">
        <f t="shared" si="2"/>
        <v>45701.281504629631</v>
      </c>
      <c r="F24" s="2">
        <f>Odometer!B24</f>
        <v>428749975</v>
      </c>
      <c r="G24" s="2">
        <f t="shared" si="3"/>
        <v>6</v>
      </c>
      <c r="H24" s="2">
        <f>SUM($G$2:G24)</f>
        <v>83</v>
      </c>
      <c r="I24" s="10">
        <f t="shared" si="4"/>
        <v>45701.281504629631</v>
      </c>
      <c r="J24" s="10">
        <f t="shared" si="5"/>
        <v>45701.281504629631</v>
      </c>
      <c r="K24" s="3">
        <f t="shared" si="7"/>
        <v>77</v>
      </c>
      <c r="L24">
        <f t="shared" si="0"/>
        <v>6.1694444439999998</v>
      </c>
      <c r="M24">
        <f t="shared" si="6"/>
        <v>22.209999998400001</v>
      </c>
    </row>
    <row r="25" spans="1:13" x14ac:dyDescent="0.25">
      <c r="A25" s="9">
        <f>Speed!A25</f>
        <v>45701.281504629631</v>
      </c>
      <c r="B25" s="9">
        <f t="shared" si="1"/>
        <v>45701.281504629631</v>
      </c>
      <c r="C25" s="2">
        <f>Speed!B25</f>
        <v>6.255555556</v>
      </c>
      <c r="D25" s="9">
        <f>Odometer!A25</f>
        <v>45701.281504629631</v>
      </c>
      <c r="E25" s="9">
        <f t="shared" si="2"/>
        <v>45701.281504629631</v>
      </c>
      <c r="F25" s="2">
        <f>Odometer!B25</f>
        <v>428749981</v>
      </c>
      <c r="G25" s="2">
        <f t="shared" si="3"/>
        <v>1</v>
      </c>
      <c r="H25" s="2">
        <f>SUM($G$2:G25)</f>
        <v>84</v>
      </c>
      <c r="I25" s="10">
        <f t="shared" si="4"/>
        <v>45701.281504629631</v>
      </c>
      <c r="J25" s="10">
        <f t="shared" si="5"/>
        <v>45701.281504629631</v>
      </c>
      <c r="K25" s="3">
        <f t="shared" si="7"/>
        <v>77</v>
      </c>
      <c r="L25">
        <f t="shared" si="0"/>
        <v>6.1694444439999998</v>
      </c>
      <c r="M25">
        <f t="shared" si="6"/>
        <v>22.209999998400001</v>
      </c>
    </row>
    <row r="26" spans="1:13" x14ac:dyDescent="0.25">
      <c r="A26" s="9">
        <f>Speed!A26</f>
        <v>45701.281504629631</v>
      </c>
      <c r="B26" s="9">
        <f t="shared" si="1"/>
        <v>45701.281504629631</v>
      </c>
      <c r="C26" s="2">
        <f>Speed!B26</f>
        <v>7.4444444440000002</v>
      </c>
      <c r="D26" s="9">
        <f>Odometer!A26</f>
        <v>45701.2815162037</v>
      </c>
      <c r="E26" s="9">
        <f t="shared" si="2"/>
        <v>45701.2815162037</v>
      </c>
      <c r="F26" s="2">
        <f>Odometer!B26</f>
        <v>428749982</v>
      </c>
      <c r="G26" s="2">
        <f t="shared" si="3"/>
        <v>7</v>
      </c>
      <c r="H26" s="2">
        <f>SUM($G$2:G26)</f>
        <v>91</v>
      </c>
      <c r="I26" s="10">
        <f t="shared" si="4"/>
        <v>45701.281504629631</v>
      </c>
      <c r="J26" s="10">
        <f t="shared" si="5"/>
        <v>45701.281504629631</v>
      </c>
      <c r="K26" s="3">
        <f t="shared" si="7"/>
        <v>77</v>
      </c>
      <c r="L26">
        <f t="shared" si="0"/>
        <v>6.1694444439999998</v>
      </c>
      <c r="M26">
        <f t="shared" si="6"/>
        <v>22.209999998400001</v>
      </c>
    </row>
    <row r="27" spans="1:13" x14ac:dyDescent="0.25">
      <c r="A27" s="9">
        <f>Speed!A27</f>
        <v>45701.2815162037</v>
      </c>
      <c r="B27" s="9">
        <f t="shared" si="1"/>
        <v>45701.2815162037</v>
      </c>
      <c r="C27" s="2">
        <f>Speed!B27</f>
        <v>7.4972222220000004</v>
      </c>
      <c r="D27" s="9">
        <f>Odometer!A27</f>
        <v>45701.281527777777</v>
      </c>
      <c r="E27" s="9">
        <f t="shared" si="2"/>
        <v>45701.281527777777</v>
      </c>
      <c r="F27" s="2">
        <f>Odometer!B27</f>
        <v>428749989</v>
      </c>
      <c r="G27" s="2">
        <f t="shared" si="3"/>
        <v>9</v>
      </c>
      <c r="H27" s="2">
        <f>SUM($G$2:G27)</f>
        <v>100</v>
      </c>
      <c r="I27" s="10">
        <f t="shared" si="4"/>
        <v>45701.2815162037</v>
      </c>
      <c r="J27" s="10">
        <f t="shared" si="5"/>
        <v>45701.2815162037</v>
      </c>
      <c r="K27" s="3">
        <f t="shared" si="7"/>
        <v>91</v>
      </c>
      <c r="L27">
        <f t="shared" si="0"/>
        <v>7.4972222220000004</v>
      </c>
      <c r="M27">
        <f t="shared" si="6"/>
        <v>26.989999999200002</v>
      </c>
    </row>
    <row r="28" spans="1:13" x14ac:dyDescent="0.25">
      <c r="A28" s="9">
        <f>Speed!A28</f>
        <v>45701.281527777777</v>
      </c>
      <c r="B28" s="9">
        <f t="shared" si="1"/>
        <v>45701.281527777777</v>
      </c>
      <c r="C28" s="2">
        <f>Speed!B28</f>
        <v>8.2027777779999997</v>
      </c>
      <c r="D28" s="9">
        <f>Odometer!A28</f>
        <v>45701.281539351854</v>
      </c>
      <c r="E28" s="9">
        <f t="shared" si="2"/>
        <v>45701.281539351847</v>
      </c>
      <c r="F28" s="2">
        <f>Odometer!B28</f>
        <v>428749998</v>
      </c>
      <c r="G28" s="2">
        <f t="shared" si="3"/>
        <v>9</v>
      </c>
      <c r="H28" s="2">
        <f>SUM($G$2:G28)</f>
        <v>109</v>
      </c>
      <c r="I28" s="10">
        <f t="shared" si="4"/>
        <v>45701.281527777777</v>
      </c>
      <c r="J28" s="10">
        <f t="shared" si="5"/>
        <v>45701.281527777777</v>
      </c>
      <c r="K28" s="3">
        <f t="shared" si="7"/>
        <v>100</v>
      </c>
      <c r="L28">
        <f t="shared" si="0"/>
        <v>8.2027777779999997</v>
      </c>
      <c r="M28">
        <f t="shared" si="6"/>
        <v>29.530000000800001</v>
      </c>
    </row>
    <row r="29" spans="1:13" x14ac:dyDescent="0.25">
      <c r="A29" s="9">
        <f>Speed!A29</f>
        <v>45701.281539351854</v>
      </c>
      <c r="B29" s="9">
        <f t="shared" si="1"/>
        <v>45701.281539351847</v>
      </c>
      <c r="C29" s="2">
        <f>Speed!B29</f>
        <v>8.6166666670000005</v>
      </c>
      <c r="D29" s="9">
        <f>Odometer!A29</f>
        <v>45701.281550925924</v>
      </c>
      <c r="E29" s="9">
        <f t="shared" si="2"/>
        <v>45701.281550925924</v>
      </c>
      <c r="F29" s="2">
        <f>Odometer!B29</f>
        <v>428750007</v>
      </c>
      <c r="G29" s="2">
        <f t="shared" si="3"/>
        <v>8</v>
      </c>
      <c r="H29" s="2">
        <f>SUM($G$2:G29)</f>
        <v>117</v>
      </c>
      <c r="I29" s="10">
        <f t="shared" si="4"/>
        <v>45701.281539351854</v>
      </c>
      <c r="J29" s="10">
        <f t="shared" si="5"/>
        <v>45701.281539351847</v>
      </c>
      <c r="K29" s="3">
        <f t="shared" si="7"/>
        <v>109</v>
      </c>
      <c r="L29">
        <f t="shared" si="0"/>
        <v>8.6166666670000005</v>
      </c>
      <c r="M29">
        <f t="shared" si="6"/>
        <v>31.020000001200003</v>
      </c>
    </row>
    <row r="30" spans="1:13" x14ac:dyDescent="0.25">
      <c r="A30" s="9">
        <f>Speed!A30</f>
        <v>45701.281550925924</v>
      </c>
      <c r="B30" s="9">
        <f t="shared" si="1"/>
        <v>45701.281550925924</v>
      </c>
      <c r="C30" s="2">
        <f>Speed!B30</f>
        <v>9.0222222219999999</v>
      </c>
      <c r="D30" s="9">
        <f>Odometer!A30</f>
        <v>45701.2815625</v>
      </c>
      <c r="E30" s="9">
        <f t="shared" si="2"/>
        <v>45701.2815625</v>
      </c>
      <c r="F30" s="2">
        <f>Odometer!B30</f>
        <v>428750015</v>
      </c>
      <c r="G30" s="2">
        <f t="shared" si="3"/>
        <v>10</v>
      </c>
      <c r="H30" s="2">
        <f>SUM($G$2:G30)</f>
        <v>127</v>
      </c>
      <c r="I30" s="10">
        <f t="shared" si="4"/>
        <v>45701.281550925924</v>
      </c>
      <c r="J30" s="10">
        <f t="shared" si="5"/>
        <v>45701.281550925924</v>
      </c>
      <c r="K30" s="3">
        <f t="shared" si="7"/>
        <v>117</v>
      </c>
      <c r="L30">
        <f t="shared" si="0"/>
        <v>9.0222222219999999</v>
      </c>
      <c r="M30">
        <f t="shared" si="6"/>
        <v>32.479999999200004</v>
      </c>
    </row>
    <row r="31" spans="1:13" x14ac:dyDescent="0.25">
      <c r="A31" s="9">
        <f>Speed!A31</f>
        <v>45701.2815625</v>
      </c>
      <c r="B31" s="9">
        <f t="shared" si="1"/>
        <v>45701.2815625</v>
      </c>
      <c r="C31" s="2">
        <f>Speed!B31</f>
        <v>9.4027777780000008</v>
      </c>
      <c r="D31" s="9">
        <f>Odometer!A31</f>
        <v>45701.281574074077</v>
      </c>
      <c r="E31" s="9">
        <f t="shared" si="2"/>
        <v>45701.28157407407</v>
      </c>
      <c r="F31" s="2">
        <f>Odometer!B31</f>
        <v>428750025</v>
      </c>
      <c r="G31" s="2">
        <f t="shared" si="3"/>
        <v>9</v>
      </c>
      <c r="H31" s="2">
        <f>SUM($G$2:G31)</f>
        <v>136</v>
      </c>
      <c r="I31" s="10">
        <f t="shared" si="4"/>
        <v>45701.2815625</v>
      </c>
      <c r="J31" s="10">
        <f t="shared" si="5"/>
        <v>45701.2815625</v>
      </c>
      <c r="K31" s="3">
        <f t="shared" si="7"/>
        <v>127</v>
      </c>
      <c r="L31">
        <f t="shared" si="0"/>
        <v>9.4027777780000008</v>
      </c>
      <c r="M31">
        <f t="shared" si="6"/>
        <v>33.850000000800001</v>
      </c>
    </row>
    <row r="32" spans="1:13" x14ac:dyDescent="0.25">
      <c r="A32" s="9">
        <f>Speed!A32</f>
        <v>45701.281574074077</v>
      </c>
      <c r="B32" s="9">
        <f t="shared" si="1"/>
        <v>45701.28157407407</v>
      </c>
      <c r="C32" s="2">
        <f>Speed!B32</f>
        <v>9.3416666670000001</v>
      </c>
      <c r="D32" s="9">
        <f>Odometer!A32</f>
        <v>45701.281585648147</v>
      </c>
      <c r="E32" s="9">
        <f t="shared" si="2"/>
        <v>45701.281585648147</v>
      </c>
      <c r="F32" s="2">
        <f>Odometer!B32</f>
        <v>428750034</v>
      </c>
      <c r="G32" s="2">
        <f t="shared" si="3"/>
        <v>10</v>
      </c>
      <c r="H32" s="2">
        <f>SUM($G$2:G32)</f>
        <v>146</v>
      </c>
      <c r="I32" s="10">
        <f t="shared" si="4"/>
        <v>45701.281574074077</v>
      </c>
      <c r="J32" s="10">
        <f t="shared" si="5"/>
        <v>45701.28157407407</v>
      </c>
      <c r="K32" s="3">
        <f t="shared" si="7"/>
        <v>136</v>
      </c>
      <c r="L32">
        <f t="shared" si="0"/>
        <v>9.3416666670000001</v>
      </c>
      <c r="M32">
        <f t="shared" si="6"/>
        <v>33.630000001200003</v>
      </c>
    </row>
    <row r="33" spans="1:13" x14ac:dyDescent="0.25">
      <c r="A33" s="9">
        <f>Speed!A33</f>
        <v>45701.281585648147</v>
      </c>
      <c r="B33" s="9">
        <f t="shared" si="1"/>
        <v>45701.281585648147</v>
      </c>
      <c r="C33" s="2">
        <f>Speed!B33</f>
        <v>9.2416666670000005</v>
      </c>
      <c r="D33" s="9">
        <f>Odometer!A33</f>
        <v>45701.281597222223</v>
      </c>
      <c r="E33" s="9">
        <f t="shared" si="2"/>
        <v>45701.281597222223</v>
      </c>
      <c r="F33" s="2">
        <f>Odometer!B33</f>
        <v>428750044</v>
      </c>
      <c r="G33" s="2">
        <f t="shared" si="3"/>
        <v>6</v>
      </c>
      <c r="H33" s="2">
        <f>SUM($G$2:G33)</f>
        <v>152</v>
      </c>
      <c r="I33" s="10">
        <f t="shared" si="4"/>
        <v>45701.281585648147</v>
      </c>
      <c r="J33" s="10">
        <f t="shared" si="5"/>
        <v>45701.281585648147</v>
      </c>
      <c r="K33" s="3">
        <f t="shared" si="7"/>
        <v>146</v>
      </c>
      <c r="L33">
        <f t="shared" si="0"/>
        <v>9.2416666670000005</v>
      </c>
      <c r="M33">
        <f t="shared" si="6"/>
        <v>33.270000001200003</v>
      </c>
    </row>
    <row r="34" spans="1:13" x14ac:dyDescent="0.25">
      <c r="A34" s="9">
        <f>Speed!A34</f>
        <v>45701.281597222223</v>
      </c>
      <c r="B34" s="9">
        <f t="shared" si="1"/>
        <v>45701.281597222223</v>
      </c>
      <c r="C34" s="2">
        <f>Speed!B34</f>
        <v>9.1305555559999991</v>
      </c>
      <c r="D34" s="9">
        <f>Odometer!A34</f>
        <v>45701.281597222223</v>
      </c>
      <c r="E34" s="9">
        <f t="shared" si="2"/>
        <v>45701.281597222223</v>
      </c>
      <c r="F34" s="2">
        <f>Odometer!B34</f>
        <v>428750050</v>
      </c>
      <c r="G34" s="2">
        <f t="shared" si="3"/>
        <v>3</v>
      </c>
      <c r="H34" s="2">
        <f>SUM($G$2:G34)</f>
        <v>155</v>
      </c>
      <c r="I34" s="10">
        <f t="shared" si="4"/>
        <v>45701.281597222223</v>
      </c>
      <c r="J34" s="10">
        <f t="shared" si="5"/>
        <v>45701.281597222223</v>
      </c>
      <c r="K34" s="3">
        <f t="shared" si="7"/>
        <v>152</v>
      </c>
      <c r="L34">
        <f t="shared" si="0"/>
        <v>9.1305555559999991</v>
      </c>
      <c r="M34">
        <f t="shared" si="6"/>
        <v>32.870000001599998</v>
      </c>
    </row>
    <row r="35" spans="1:13" x14ac:dyDescent="0.25">
      <c r="A35" s="9">
        <f>Speed!A35</f>
        <v>45701.281608796293</v>
      </c>
      <c r="B35" s="9">
        <f t="shared" si="1"/>
        <v>45701.281608796293</v>
      </c>
      <c r="C35" s="2">
        <f>Speed!B35</f>
        <v>9.0277777780000008</v>
      </c>
      <c r="D35" s="9">
        <f>Odometer!A35</f>
        <v>45701.281608796293</v>
      </c>
      <c r="E35" s="9">
        <f t="shared" si="2"/>
        <v>45701.281608796293</v>
      </c>
      <c r="F35" s="2">
        <f>Odometer!B35</f>
        <v>428750053</v>
      </c>
      <c r="G35" s="2">
        <f t="shared" si="3"/>
        <v>9</v>
      </c>
      <c r="H35" s="2">
        <f>SUM($G$2:G35)</f>
        <v>164</v>
      </c>
      <c r="I35" s="10">
        <f t="shared" si="4"/>
        <v>45701.281608796293</v>
      </c>
      <c r="J35" s="10">
        <f t="shared" si="5"/>
        <v>45701.281608796293</v>
      </c>
      <c r="K35" s="3">
        <f t="shared" si="7"/>
        <v>164</v>
      </c>
      <c r="L35">
        <f t="shared" si="0"/>
        <v>9.0277777780000008</v>
      </c>
      <c r="M35">
        <f t="shared" si="6"/>
        <v>32.500000000800007</v>
      </c>
    </row>
    <row r="36" spans="1:13" x14ac:dyDescent="0.25">
      <c r="A36" s="9">
        <f>Speed!A36</f>
        <v>45701.281608796293</v>
      </c>
      <c r="B36" s="9">
        <f t="shared" si="1"/>
        <v>45701.281608796293</v>
      </c>
      <c r="C36" s="2">
        <f>Speed!B36</f>
        <v>8.9583333330000006</v>
      </c>
      <c r="D36" s="9">
        <f>Odometer!A36</f>
        <v>45701.28162037037</v>
      </c>
      <c r="E36" s="9">
        <f t="shared" si="2"/>
        <v>45701.28162037037</v>
      </c>
      <c r="F36" s="2">
        <f>Odometer!B36</f>
        <v>428750062</v>
      </c>
      <c r="G36" s="2">
        <f t="shared" si="3"/>
        <v>9</v>
      </c>
      <c r="H36" s="2">
        <f>SUM($G$2:G36)</f>
        <v>173</v>
      </c>
      <c r="I36" s="10">
        <f t="shared" si="4"/>
        <v>45701.281608796293</v>
      </c>
      <c r="J36" s="10">
        <f t="shared" si="5"/>
        <v>45701.281608796293</v>
      </c>
      <c r="K36" s="3">
        <f t="shared" si="7"/>
        <v>164</v>
      </c>
      <c r="L36">
        <f t="shared" si="0"/>
        <v>9.0277777780000008</v>
      </c>
      <c r="M36">
        <f t="shared" si="6"/>
        <v>32.500000000800007</v>
      </c>
    </row>
    <row r="37" spans="1:13" x14ac:dyDescent="0.25">
      <c r="A37" s="9">
        <f>Speed!A37</f>
        <v>45701.28162037037</v>
      </c>
      <c r="B37" s="9">
        <f t="shared" si="1"/>
        <v>45701.28162037037</v>
      </c>
      <c r="C37" s="2">
        <f>Speed!B37</f>
        <v>8.5777777779999997</v>
      </c>
      <c r="D37" s="9">
        <f>Odometer!A37</f>
        <v>45701.281631944446</v>
      </c>
      <c r="E37" s="9">
        <f t="shared" si="2"/>
        <v>45701.281631944439</v>
      </c>
      <c r="F37" s="2">
        <f>Odometer!B37</f>
        <v>428750071</v>
      </c>
      <c r="G37" s="2">
        <f t="shared" si="3"/>
        <v>7</v>
      </c>
      <c r="H37" s="2">
        <f>SUM($G$2:G37)</f>
        <v>180</v>
      </c>
      <c r="I37" s="10">
        <f t="shared" si="4"/>
        <v>45701.28162037037</v>
      </c>
      <c r="J37" s="10">
        <f t="shared" si="5"/>
        <v>45701.28162037037</v>
      </c>
      <c r="K37" s="3">
        <f t="shared" si="7"/>
        <v>173</v>
      </c>
      <c r="L37">
        <f t="shared" si="0"/>
        <v>8.5777777779999997</v>
      </c>
      <c r="M37">
        <f t="shared" si="6"/>
        <v>30.880000000799999</v>
      </c>
    </row>
    <row r="38" spans="1:13" x14ac:dyDescent="0.25">
      <c r="A38" s="9">
        <f>Speed!A38</f>
        <v>45701.281631944446</v>
      </c>
      <c r="B38" s="9">
        <f t="shared" si="1"/>
        <v>45701.281631944439</v>
      </c>
      <c r="C38" s="2">
        <f>Speed!B38</f>
        <v>8.2333333329999991</v>
      </c>
      <c r="D38" s="9">
        <f>Odometer!A38</f>
        <v>45701.281643518516</v>
      </c>
      <c r="E38" s="9">
        <f t="shared" si="2"/>
        <v>45701.281643518516</v>
      </c>
      <c r="F38" s="2">
        <f>Odometer!B38</f>
        <v>428750078</v>
      </c>
      <c r="G38" s="2">
        <f t="shared" si="3"/>
        <v>5</v>
      </c>
      <c r="H38" s="2">
        <f>SUM($G$2:G38)</f>
        <v>185</v>
      </c>
      <c r="I38" s="10">
        <f t="shared" si="4"/>
        <v>45701.281631944446</v>
      </c>
      <c r="J38" s="10">
        <f t="shared" si="5"/>
        <v>45701.281631944439</v>
      </c>
      <c r="K38" s="3">
        <f t="shared" si="7"/>
        <v>180</v>
      </c>
      <c r="L38">
        <f t="shared" si="0"/>
        <v>8.2333333329999991</v>
      </c>
      <c r="M38">
        <f t="shared" si="6"/>
        <v>29.639999998799997</v>
      </c>
    </row>
    <row r="39" spans="1:13" x14ac:dyDescent="0.25">
      <c r="A39" s="9">
        <f>Speed!A39</f>
        <v>45701.281643518516</v>
      </c>
      <c r="B39" s="9">
        <f t="shared" si="1"/>
        <v>45701.281643518516</v>
      </c>
      <c r="C39" s="2">
        <f>Speed!B39</f>
        <v>7.9027777779999999</v>
      </c>
      <c r="D39" s="9">
        <f>Odometer!A39</f>
        <v>45701.281643518516</v>
      </c>
      <c r="E39" s="9">
        <f t="shared" si="2"/>
        <v>45701.281643518516</v>
      </c>
      <c r="F39" s="2">
        <f>Odometer!B39</f>
        <v>428750083</v>
      </c>
      <c r="G39" s="2">
        <f t="shared" si="3"/>
        <v>2</v>
      </c>
      <c r="H39" s="2">
        <f>SUM($G$2:G39)</f>
        <v>187</v>
      </c>
      <c r="I39" s="10">
        <f t="shared" si="4"/>
        <v>45701.281643518516</v>
      </c>
      <c r="J39" s="10">
        <f t="shared" si="5"/>
        <v>45701.281643518516</v>
      </c>
      <c r="K39" s="3">
        <f t="shared" si="7"/>
        <v>185</v>
      </c>
      <c r="L39">
        <f t="shared" si="0"/>
        <v>7.9027777779999999</v>
      </c>
      <c r="M39">
        <f t="shared" si="6"/>
        <v>28.450000000799999</v>
      </c>
    </row>
    <row r="40" spans="1:13" x14ac:dyDescent="0.25">
      <c r="A40" s="9">
        <f>Speed!A40</f>
        <v>45701.281643518516</v>
      </c>
      <c r="B40" s="9">
        <f t="shared" si="1"/>
        <v>45701.281643518516</v>
      </c>
      <c r="C40" s="2">
        <f>Speed!B40</f>
        <v>7.7305555559999997</v>
      </c>
      <c r="D40" s="9">
        <f>Odometer!A40</f>
        <v>45701.281643518516</v>
      </c>
      <c r="E40" s="9">
        <f t="shared" si="2"/>
        <v>45701.281643518516</v>
      </c>
      <c r="F40" s="2">
        <f>Odometer!B40</f>
        <v>428750085</v>
      </c>
      <c r="G40" s="2">
        <f t="shared" si="3"/>
        <v>8</v>
      </c>
      <c r="H40" s="2">
        <f>SUM($G$2:G40)</f>
        <v>195</v>
      </c>
      <c r="I40" s="10">
        <f t="shared" si="4"/>
        <v>45701.281643518516</v>
      </c>
      <c r="J40" s="10">
        <f t="shared" si="5"/>
        <v>45701.281643518516</v>
      </c>
      <c r="K40" s="3">
        <f t="shared" si="7"/>
        <v>185</v>
      </c>
      <c r="L40">
        <f t="shared" si="0"/>
        <v>7.9027777779999999</v>
      </c>
      <c r="M40">
        <f t="shared" si="6"/>
        <v>28.450000000799999</v>
      </c>
    </row>
    <row r="41" spans="1:13" x14ac:dyDescent="0.25">
      <c r="A41" s="9">
        <f>Speed!A41</f>
        <v>45701.281643518516</v>
      </c>
      <c r="B41" s="9">
        <f t="shared" si="1"/>
        <v>45701.281643518516</v>
      </c>
      <c r="C41" s="2">
        <f>Speed!B41</f>
        <v>7.6749999999999998</v>
      </c>
      <c r="D41" s="9">
        <f>Odometer!A41</f>
        <v>45701.281666666669</v>
      </c>
      <c r="E41" s="9">
        <f t="shared" si="2"/>
        <v>45701.281666666662</v>
      </c>
      <c r="F41" s="2">
        <f>Odometer!B41</f>
        <v>428750093</v>
      </c>
      <c r="G41" s="2">
        <f t="shared" si="3"/>
        <v>9</v>
      </c>
      <c r="H41" s="2">
        <f>SUM($G$2:G41)</f>
        <v>204</v>
      </c>
      <c r="I41" s="10">
        <f t="shared" si="4"/>
        <v>45701.281643518516</v>
      </c>
      <c r="J41" s="10">
        <f t="shared" si="5"/>
        <v>45701.281643518516</v>
      </c>
      <c r="K41" s="3">
        <f t="shared" si="7"/>
        <v>185</v>
      </c>
      <c r="L41">
        <f t="shared" si="0"/>
        <v>7.9027777779999999</v>
      </c>
      <c r="M41">
        <f t="shared" si="6"/>
        <v>28.450000000799999</v>
      </c>
    </row>
    <row r="42" spans="1:13" x14ac:dyDescent="0.25">
      <c r="A42" s="9">
        <f>Speed!A42</f>
        <v>45701.281655092593</v>
      </c>
      <c r="B42" s="9">
        <f t="shared" si="1"/>
        <v>45701.281655092593</v>
      </c>
      <c r="C42" s="2">
        <f>Speed!B42</f>
        <v>7.6638888889999999</v>
      </c>
      <c r="D42" s="9">
        <f>Odometer!A42</f>
        <v>45701.281678240739</v>
      </c>
      <c r="E42" s="9">
        <f t="shared" si="2"/>
        <v>45701.281678240739</v>
      </c>
      <c r="F42" s="2">
        <f>Odometer!B42</f>
        <v>428750102</v>
      </c>
      <c r="G42" s="2">
        <f t="shared" si="3"/>
        <v>7</v>
      </c>
      <c r="H42" s="2">
        <f>SUM($G$2:G42)</f>
        <v>211</v>
      </c>
      <c r="I42" s="10">
        <f t="shared" si="4"/>
        <v>45701.281655092593</v>
      </c>
      <c r="J42" s="10">
        <f t="shared" si="5"/>
        <v>45701.281655092593</v>
      </c>
      <c r="K42" s="3" t="e">
        <f t="shared" si="7"/>
        <v>#N/A</v>
      </c>
      <c r="L42">
        <f t="shared" si="0"/>
        <v>7.6638888889999999</v>
      </c>
      <c r="M42">
        <f t="shared" si="6"/>
        <v>27.5900000004</v>
      </c>
    </row>
    <row r="43" spans="1:13" x14ac:dyDescent="0.25">
      <c r="A43" s="9">
        <f>Speed!A43</f>
        <v>45701.281666666669</v>
      </c>
      <c r="B43" s="9">
        <f t="shared" si="1"/>
        <v>45701.281666666662</v>
      </c>
      <c r="C43" s="2">
        <f>Speed!B43</f>
        <v>7.7166666670000001</v>
      </c>
      <c r="D43" s="9">
        <f>Odometer!A43</f>
        <v>45701.281689814816</v>
      </c>
      <c r="E43" s="9">
        <f t="shared" si="2"/>
        <v>45701.281689814816</v>
      </c>
      <c r="F43" s="2">
        <f>Odometer!B43</f>
        <v>428750109</v>
      </c>
      <c r="G43" s="2">
        <f t="shared" si="3"/>
        <v>8</v>
      </c>
      <c r="H43" s="2">
        <f>SUM($G$2:G43)</f>
        <v>219</v>
      </c>
      <c r="I43" s="10">
        <f t="shared" si="4"/>
        <v>45701.281666666669</v>
      </c>
      <c r="J43" s="10">
        <f t="shared" si="5"/>
        <v>45701.281666666662</v>
      </c>
      <c r="K43" s="3">
        <f t="shared" si="7"/>
        <v>204</v>
      </c>
      <c r="L43">
        <f t="shared" si="0"/>
        <v>7.7166666670000001</v>
      </c>
      <c r="M43">
        <f t="shared" si="6"/>
        <v>27.780000001200001</v>
      </c>
    </row>
    <row r="44" spans="1:13" x14ac:dyDescent="0.25">
      <c r="A44" s="9">
        <f>Speed!A44</f>
        <v>45701.281678240739</v>
      </c>
      <c r="B44" s="9">
        <f t="shared" si="1"/>
        <v>45701.281678240739</v>
      </c>
      <c r="C44" s="2">
        <f>Speed!B44</f>
        <v>7.8388888889999997</v>
      </c>
      <c r="D44" s="9">
        <f>Odometer!A44</f>
        <v>45701.281701388885</v>
      </c>
      <c r="E44" s="9">
        <f t="shared" si="2"/>
        <v>45701.281701388885</v>
      </c>
      <c r="F44" s="2">
        <f>Odometer!B44</f>
        <v>428750117</v>
      </c>
      <c r="G44" s="2">
        <f t="shared" si="3"/>
        <v>1</v>
      </c>
      <c r="H44" s="2">
        <f>SUM($G$2:G44)</f>
        <v>220</v>
      </c>
      <c r="I44" s="10">
        <f t="shared" si="4"/>
        <v>45701.281678240739</v>
      </c>
      <c r="J44" s="10">
        <f t="shared" si="5"/>
        <v>45701.281678240739</v>
      </c>
      <c r="K44" s="3">
        <f t="shared" si="7"/>
        <v>211</v>
      </c>
      <c r="L44">
        <f t="shared" si="0"/>
        <v>7.8388888889999997</v>
      </c>
      <c r="M44">
        <f t="shared" si="6"/>
        <v>28.220000000399999</v>
      </c>
    </row>
    <row r="45" spans="1:13" x14ac:dyDescent="0.25">
      <c r="A45" s="9">
        <f>Speed!A45</f>
        <v>45701.281689814816</v>
      </c>
      <c r="B45" s="9">
        <f t="shared" si="1"/>
        <v>45701.281689814816</v>
      </c>
      <c r="C45" s="2">
        <f>Speed!B45</f>
        <v>8.0416666669999994</v>
      </c>
      <c r="D45" s="9">
        <f>Odometer!A45</f>
        <v>45701.281701388885</v>
      </c>
      <c r="E45" s="9">
        <f t="shared" si="2"/>
        <v>45701.281701388885</v>
      </c>
      <c r="F45" s="2">
        <f>Odometer!B45</f>
        <v>428750118</v>
      </c>
      <c r="G45" s="2">
        <f t="shared" si="3"/>
        <v>9</v>
      </c>
      <c r="H45" s="2">
        <f>SUM($G$2:G45)</f>
        <v>229</v>
      </c>
      <c r="I45" s="10">
        <f t="shared" si="4"/>
        <v>45701.281689814816</v>
      </c>
      <c r="J45" s="10">
        <f t="shared" si="5"/>
        <v>45701.281689814816</v>
      </c>
      <c r="K45" s="3">
        <f t="shared" si="7"/>
        <v>219</v>
      </c>
      <c r="L45">
        <f t="shared" si="0"/>
        <v>8.0416666669999994</v>
      </c>
      <c r="M45">
        <f t="shared" si="6"/>
        <v>28.950000001199999</v>
      </c>
    </row>
    <row r="46" spans="1:13" x14ac:dyDescent="0.25">
      <c r="A46" s="9">
        <f>Speed!A46</f>
        <v>45701.281701388885</v>
      </c>
      <c r="B46" s="9">
        <f t="shared" si="1"/>
        <v>45701.281701388885</v>
      </c>
      <c r="C46" s="2">
        <f>Speed!B46</f>
        <v>8.2472222219999995</v>
      </c>
      <c r="D46" s="9">
        <f>Odometer!A46</f>
        <v>45701.281712962962</v>
      </c>
      <c r="E46" s="9">
        <f t="shared" si="2"/>
        <v>45701.281712962962</v>
      </c>
      <c r="F46" s="2">
        <f>Odometer!B46</f>
        <v>428750127</v>
      </c>
      <c r="G46" s="2">
        <f t="shared" si="3"/>
        <v>8</v>
      </c>
      <c r="H46" s="2">
        <f>SUM($G$2:G46)</f>
        <v>237</v>
      </c>
      <c r="I46" s="10">
        <f t="shared" si="4"/>
        <v>45701.281701388885</v>
      </c>
      <c r="J46" s="10">
        <f t="shared" si="5"/>
        <v>45701.281701388885</v>
      </c>
      <c r="K46" s="3">
        <f t="shared" si="7"/>
        <v>220</v>
      </c>
      <c r="L46">
        <f t="shared" si="0"/>
        <v>8.2472222219999995</v>
      </c>
      <c r="M46">
        <f t="shared" si="6"/>
        <v>29.689999999199998</v>
      </c>
    </row>
    <row r="47" spans="1:13" x14ac:dyDescent="0.25">
      <c r="A47" s="9">
        <f>Speed!A47</f>
        <v>45701.281701388885</v>
      </c>
      <c r="B47" s="9">
        <f t="shared" si="1"/>
        <v>45701.281701388885</v>
      </c>
      <c r="C47" s="2">
        <f>Speed!B47</f>
        <v>8.2694444439999995</v>
      </c>
      <c r="D47" s="9">
        <f>Odometer!A47</f>
        <v>45701.281724537039</v>
      </c>
      <c r="E47" s="9">
        <f t="shared" si="2"/>
        <v>45701.281724537032</v>
      </c>
      <c r="F47" s="2">
        <f>Odometer!B47</f>
        <v>428750135</v>
      </c>
      <c r="G47" s="2">
        <f t="shared" si="3"/>
        <v>9</v>
      </c>
      <c r="H47" s="2">
        <f>SUM($G$2:G47)</f>
        <v>246</v>
      </c>
      <c r="I47" s="10">
        <f t="shared" si="4"/>
        <v>45701.281701388885</v>
      </c>
      <c r="J47" s="10">
        <f t="shared" si="5"/>
        <v>45701.281701388885</v>
      </c>
      <c r="K47" s="3">
        <f t="shared" si="7"/>
        <v>220</v>
      </c>
      <c r="L47">
        <f t="shared" si="0"/>
        <v>8.2472222219999995</v>
      </c>
      <c r="M47">
        <f t="shared" si="6"/>
        <v>29.689999999199998</v>
      </c>
    </row>
    <row r="48" spans="1:13" x14ac:dyDescent="0.25">
      <c r="A48" s="9">
        <f>Speed!A48</f>
        <v>45701.281712962962</v>
      </c>
      <c r="B48" s="9">
        <f t="shared" si="1"/>
        <v>45701.281712962962</v>
      </c>
      <c r="C48" s="2">
        <f>Speed!B48</f>
        <v>8.4722222219999992</v>
      </c>
      <c r="D48" s="9">
        <f>Odometer!A48</f>
        <v>45701.281736111108</v>
      </c>
      <c r="E48" s="9">
        <f t="shared" si="2"/>
        <v>45701.281736111108</v>
      </c>
      <c r="F48" s="2">
        <f>Odometer!B48</f>
        <v>428750144</v>
      </c>
      <c r="G48" s="2">
        <f t="shared" si="3"/>
        <v>8</v>
      </c>
      <c r="H48" s="2">
        <f>SUM($G$2:G48)</f>
        <v>254</v>
      </c>
      <c r="I48" s="10">
        <f t="shared" si="4"/>
        <v>45701.281712962962</v>
      </c>
      <c r="J48" s="10">
        <f t="shared" si="5"/>
        <v>45701.281712962962</v>
      </c>
      <c r="K48" s="3">
        <f t="shared" si="7"/>
        <v>237</v>
      </c>
      <c r="L48">
        <f t="shared" si="0"/>
        <v>8.4722222219999992</v>
      </c>
      <c r="M48">
        <f t="shared" si="6"/>
        <v>30.499999999199996</v>
      </c>
    </row>
    <row r="49" spans="1:13" x14ac:dyDescent="0.25">
      <c r="A49" s="9">
        <f>Speed!A49</f>
        <v>45701.281724537039</v>
      </c>
      <c r="B49" s="9">
        <f t="shared" si="1"/>
        <v>45701.281724537032</v>
      </c>
      <c r="C49" s="2">
        <f>Speed!B49</f>
        <v>8.6611111110000003</v>
      </c>
      <c r="D49" s="9">
        <f>Odometer!A49</f>
        <v>45701.281736111108</v>
      </c>
      <c r="E49" s="9">
        <f t="shared" si="2"/>
        <v>45701.281736111108</v>
      </c>
      <c r="F49" s="2">
        <f>Odometer!B49</f>
        <v>428750152</v>
      </c>
      <c r="G49" s="2">
        <f t="shared" si="3"/>
        <v>1</v>
      </c>
      <c r="H49" s="2">
        <f>SUM($G$2:G49)</f>
        <v>255</v>
      </c>
      <c r="I49" s="10">
        <f t="shared" si="4"/>
        <v>45701.281724537039</v>
      </c>
      <c r="J49" s="10">
        <f t="shared" si="5"/>
        <v>45701.281724537032</v>
      </c>
      <c r="K49" s="3">
        <f t="shared" si="7"/>
        <v>246</v>
      </c>
      <c r="L49">
        <f t="shared" si="0"/>
        <v>8.6611111110000003</v>
      </c>
      <c r="M49">
        <f t="shared" si="6"/>
        <v>31.179999999600003</v>
      </c>
    </row>
    <row r="50" spans="1:13" x14ac:dyDescent="0.25">
      <c r="A50" s="9">
        <f>Speed!A50</f>
        <v>45701.281736111108</v>
      </c>
      <c r="B50" s="9">
        <f t="shared" si="1"/>
        <v>45701.281736111108</v>
      </c>
      <c r="C50" s="2">
        <f>Speed!B50</f>
        <v>8.9527777779999997</v>
      </c>
      <c r="D50" s="9">
        <f>Odometer!A50</f>
        <v>45701.281747685185</v>
      </c>
      <c r="E50" s="9">
        <f t="shared" si="2"/>
        <v>45701.281747685185</v>
      </c>
      <c r="F50" s="2">
        <f>Odometer!B50</f>
        <v>428750153</v>
      </c>
      <c r="G50" s="2">
        <f t="shared" si="3"/>
        <v>10</v>
      </c>
      <c r="H50" s="2">
        <f>SUM($G$2:G50)</f>
        <v>265</v>
      </c>
      <c r="I50" s="10">
        <f t="shared" si="4"/>
        <v>45701.281736111108</v>
      </c>
      <c r="J50" s="10">
        <f t="shared" si="5"/>
        <v>45701.281736111108</v>
      </c>
      <c r="K50" s="3">
        <f t="shared" si="7"/>
        <v>254</v>
      </c>
      <c r="L50">
        <f t="shared" si="0"/>
        <v>8.9527777779999997</v>
      </c>
      <c r="M50">
        <f t="shared" si="6"/>
        <v>32.230000000799997</v>
      </c>
    </row>
    <row r="51" spans="1:13" x14ac:dyDescent="0.25">
      <c r="A51" s="9">
        <f>Speed!A51</f>
        <v>45701.281736111108</v>
      </c>
      <c r="B51" s="9">
        <f t="shared" si="1"/>
        <v>45701.281736111108</v>
      </c>
      <c r="C51" s="2">
        <f>Speed!B51</f>
        <v>9.7916666669999994</v>
      </c>
      <c r="D51" s="9">
        <f>Odometer!A51</f>
        <v>45701.281759259262</v>
      </c>
      <c r="E51" s="9">
        <f t="shared" si="2"/>
        <v>45701.281759259255</v>
      </c>
      <c r="F51" s="2">
        <f>Odometer!B51</f>
        <v>428750163</v>
      </c>
      <c r="G51" s="2">
        <f t="shared" si="3"/>
        <v>11</v>
      </c>
      <c r="H51" s="2">
        <f>SUM($G$2:G51)</f>
        <v>276</v>
      </c>
      <c r="I51" s="10">
        <f t="shared" si="4"/>
        <v>45701.281736111108</v>
      </c>
      <c r="J51" s="10">
        <f t="shared" si="5"/>
        <v>45701.281736111108</v>
      </c>
      <c r="K51" s="3">
        <f t="shared" si="7"/>
        <v>254</v>
      </c>
      <c r="L51">
        <f t="shared" si="0"/>
        <v>8.9527777779999997</v>
      </c>
      <c r="M51">
        <f t="shared" si="6"/>
        <v>32.230000000799997</v>
      </c>
    </row>
    <row r="52" spans="1:13" x14ac:dyDescent="0.25">
      <c r="A52" s="9">
        <f>Speed!A52</f>
        <v>45701.281747685185</v>
      </c>
      <c r="B52" s="9">
        <f t="shared" si="1"/>
        <v>45701.281747685185</v>
      </c>
      <c r="C52" s="2">
        <f>Speed!B52</f>
        <v>9.9666666670000001</v>
      </c>
      <c r="D52" s="9">
        <f>Odometer!A52</f>
        <v>45701.281770833331</v>
      </c>
      <c r="E52" s="9">
        <f t="shared" si="2"/>
        <v>45701.281770833331</v>
      </c>
      <c r="F52" s="2">
        <f>Odometer!B52</f>
        <v>428750174</v>
      </c>
      <c r="G52" s="2">
        <f t="shared" si="3"/>
        <v>2</v>
      </c>
      <c r="H52" s="2">
        <f>SUM($G$2:G52)</f>
        <v>278</v>
      </c>
      <c r="I52" s="10">
        <f t="shared" si="4"/>
        <v>45701.281747685185</v>
      </c>
      <c r="J52" s="10">
        <f t="shared" si="5"/>
        <v>45701.281747685185</v>
      </c>
      <c r="K52" s="3">
        <f t="shared" si="7"/>
        <v>265</v>
      </c>
      <c r="L52">
        <f t="shared" si="0"/>
        <v>9.9666666670000001</v>
      </c>
      <c r="M52">
        <f t="shared" si="6"/>
        <v>35.880000001200003</v>
      </c>
    </row>
    <row r="53" spans="1:13" x14ac:dyDescent="0.25">
      <c r="A53" s="9">
        <f>Speed!A53</f>
        <v>45701.281759259262</v>
      </c>
      <c r="B53" s="9">
        <f t="shared" si="1"/>
        <v>45701.281759259255</v>
      </c>
      <c r="C53" s="2">
        <f>Speed!B53</f>
        <v>11.247222219999999</v>
      </c>
      <c r="D53" s="9">
        <f>Odometer!A53</f>
        <v>45701.281770833331</v>
      </c>
      <c r="E53" s="9">
        <f t="shared" si="2"/>
        <v>45701.281770833331</v>
      </c>
      <c r="F53" s="2">
        <f>Odometer!B53</f>
        <v>428750176</v>
      </c>
      <c r="G53" s="2">
        <f t="shared" si="3"/>
        <v>11</v>
      </c>
      <c r="H53" s="2">
        <f>SUM($G$2:G53)</f>
        <v>289</v>
      </c>
      <c r="I53" s="10">
        <f t="shared" si="4"/>
        <v>45701.281759259262</v>
      </c>
      <c r="J53" s="10">
        <f t="shared" si="5"/>
        <v>45701.281759259255</v>
      </c>
      <c r="K53" s="3">
        <f t="shared" si="7"/>
        <v>276</v>
      </c>
      <c r="L53">
        <f t="shared" si="0"/>
        <v>11.247222219999999</v>
      </c>
      <c r="M53">
        <f t="shared" si="6"/>
        <v>40.489999992000001</v>
      </c>
    </row>
    <row r="54" spans="1:13" x14ac:dyDescent="0.25">
      <c r="A54" s="9">
        <f>Speed!A54</f>
        <v>45701.281770833331</v>
      </c>
      <c r="B54" s="9">
        <f t="shared" si="1"/>
        <v>45701.281770833331</v>
      </c>
      <c r="C54" s="2">
        <f>Speed!B54</f>
        <v>12.505555559999999</v>
      </c>
      <c r="D54" s="9">
        <f>Odometer!A54</f>
        <v>45701.281782407408</v>
      </c>
      <c r="E54" s="9">
        <f t="shared" si="2"/>
        <v>45701.281782407408</v>
      </c>
      <c r="F54" s="2">
        <f>Odometer!B54</f>
        <v>428750187</v>
      </c>
      <c r="G54" s="2">
        <f t="shared" si="3"/>
        <v>15</v>
      </c>
      <c r="H54" s="2">
        <f>SUM($G$2:G54)</f>
        <v>304</v>
      </c>
      <c r="I54" s="10">
        <f t="shared" si="4"/>
        <v>45701.281770833331</v>
      </c>
      <c r="J54" s="10">
        <f t="shared" si="5"/>
        <v>45701.281770833331</v>
      </c>
      <c r="K54" s="3">
        <f t="shared" si="7"/>
        <v>278</v>
      </c>
      <c r="L54">
        <f t="shared" si="0"/>
        <v>12.505555559999999</v>
      </c>
      <c r="M54">
        <f t="shared" si="6"/>
        <v>45.020000015999997</v>
      </c>
    </row>
    <row r="55" spans="1:13" x14ac:dyDescent="0.25">
      <c r="A55" s="9">
        <f>Speed!A55</f>
        <v>45701.281770833331</v>
      </c>
      <c r="B55" s="9">
        <f t="shared" si="1"/>
        <v>45701.281770833331</v>
      </c>
      <c r="C55" s="2">
        <f>Speed!B55</f>
        <v>12.633333329999999</v>
      </c>
      <c r="D55" s="9">
        <f>Odometer!A55</f>
        <v>45701.281793981485</v>
      </c>
      <c r="E55" s="9">
        <f t="shared" si="2"/>
        <v>45701.281793981478</v>
      </c>
      <c r="F55" s="2">
        <f>Odometer!B55</f>
        <v>428750202</v>
      </c>
      <c r="G55" s="2">
        <f t="shared" si="3"/>
        <v>14</v>
      </c>
      <c r="H55" s="2">
        <f>SUM($G$2:G55)</f>
        <v>318</v>
      </c>
      <c r="I55" s="10">
        <f t="shared" si="4"/>
        <v>45701.281770833331</v>
      </c>
      <c r="J55" s="10">
        <f t="shared" si="5"/>
        <v>45701.281770833331</v>
      </c>
      <c r="K55" s="3">
        <f t="shared" si="7"/>
        <v>278</v>
      </c>
      <c r="L55">
        <f t="shared" si="0"/>
        <v>12.505555559999999</v>
      </c>
      <c r="M55">
        <f t="shared" si="6"/>
        <v>45.020000015999997</v>
      </c>
    </row>
    <row r="56" spans="1:13" x14ac:dyDescent="0.25">
      <c r="A56" s="9">
        <f>Speed!A56</f>
        <v>45701.281782407408</v>
      </c>
      <c r="B56" s="9">
        <f t="shared" si="1"/>
        <v>45701.281782407408</v>
      </c>
      <c r="C56" s="2">
        <f>Speed!B56</f>
        <v>13.574999999999999</v>
      </c>
      <c r="D56" s="9">
        <f>Odometer!A56</f>
        <v>45701.281805555554</v>
      </c>
      <c r="E56" s="9">
        <f t="shared" si="2"/>
        <v>45701.281805555554</v>
      </c>
      <c r="F56" s="2">
        <f>Odometer!B56</f>
        <v>428750216</v>
      </c>
      <c r="G56" s="2">
        <f t="shared" si="3"/>
        <v>13</v>
      </c>
      <c r="H56" s="2">
        <f>SUM($G$2:G56)</f>
        <v>331</v>
      </c>
      <c r="I56" s="10">
        <f t="shared" si="4"/>
        <v>45701.281782407408</v>
      </c>
      <c r="J56" s="10">
        <f t="shared" si="5"/>
        <v>45701.281782407408</v>
      </c>
      <c r="K56" s="3">
        <f t="shared" si="7"/>
        <v>304</v>
      </c>
      <c r="L56">
        <f t="shared" si="0"/>
        <v>13.574999999999999</v>
      </c>
      <c r="M56">
        <f t="shared" si="6"/>
        <v>48.87</v>
      </c>
    </row>
    <row r="57" spans="1:13" x14ac:dyDescent="0.25">
      <c r="A57" s="9">
        <f>Speed!A57</f>
        <v>45701.281793981485</v>
      </c>
      <c r="B57" s="9">
        <f t="shared" si="1"/>
        <v>45701.281793981478</v>
      </c>
      <c r="C57" s="2">
        <f>Speed!B57</f>
        <v>13.919444439999999</v>
      </c>
      <c r="D57" s="9">
        <f>Odometer!A57</f>
        <v>45701.281817129631</v>
      </c>
      <c r="E57" s="9">
        <f t="shared" si="2"/>
        <v>45701.281817129624</v>
      </c>
      <c r="F57" s="2">
        <f>Odometer!B57</f>
        <v>428750229</v>
      </c>
      <c r="G57" s="2">
        <f t="shared" si="3"/>
        <v>1</v>
      </c>
      <c r="H57" s="2">
        <f>SUM($G$2:G57)</f>
        <v>332</v>
      </c>
      <c r="I57" s="10">
        <f t="shared" si="4"/>
        <v>45701.281793981485</v>
      </c>
      <c r="J57" s="10">
        <f t="shared" si="5"/>
        <v>45701.281793981478</v>
      </c>
      <c r="K57" s="3">
        <f t="shared" si="7"/>
        <v>318</v>
      </c>
      <c r="L57">
        <f t="shared" si="0"/>
        <v>13.919444439999999</v>
      </c>
      <c r="M57">
        <f t="shared" si="6"/>
        <v>50.109999983999998</v>
      </c>
    </row>
    <row r="58" spans="1:13" x14ac:dyDescent="0.25">
      <c r="A58" s="9">
        <f>Speed!A58</f>
        <v>45701.281805555554</v>
      </c>
      <c r="B58" s="9">
        <f t="shared" si="1"/>
        <v>45701.281805555554</v>
      </c>
      <c r="C58" s="2">
        <f>Speed!B58</f>
        <v>14.008333329999999</v>
      </c>
      <c r="D58" s="9">
        <f>Odometer!A58</f>
        <v>45701.281817129631</v>
      </c>
      <c r="E58" s="9">
        <f t="shared" si="2"/>
        <v>45701.281817129624</v>
      </c>
      <c r="F58" s="2">
        <f>Odometer!B58</f>
        <v>428750230</v>
      </c>
      <c r="G58" s="2">
        <f t="shared" si="3"/>
        <v>16</v>
      </c>
      <c r="H58" s="2">
        <f>SUM($G$2:G58)</f>
        <v>348</v>
      </c>
      <c r="I58" s="10">
        <f t="shared" si="4"/>
        <v>45701.281805555554</v>
      </c>
      <c r="J58" s="10">
        <f t="shared" si="5"/>
        <v>45701.281805555554</v>
      </c>
      <c r="K58" s="3">
        <f t="shared" si="7"/>
        <v>331</v>
      </c>
      <c r="L58">
        <f t="shared" si="0"/>
        <v>14.008333329999999</v>
      </c>
      <c r="M58">
        <f t="shared" si="6"/>
        <v>50.429999987999999</v>
      </c>
    </row>
    <row r="59" spans="1:13" x14ac:dyDescent="0.25">
      <c r="A59" s="9">
        <f>Speed!A59</f>
        <v>45701.281817129631</v>
      </c>
      <c r="B59" s="9">
        <f t="shared" si="1"/>
        <v>45701.281817129624</v>
      </c>
      <c r="C59" s="2">
        <f>Speed!B59</f>
        <v>14.097222220000001</v>
      </c>
      <c r="D59" s="9">
        <f>Odometer!A59</f>
        <v>45701.281828703701</v>
      </c>
      <c r="E59" s="9">
        <f t="shared" si="2"/>
        <v>45701.281828703701</v>
      </c>
      <c r="F59" s="2">
        <f>Odometer!B59</f>
        <v>428750246</v>
      </c>
      <c r="G59" s="2">
        <f t="shared" si="3"/>
        <v>12</v>
      </c>
      <c r="H59" s="2">
        <f>SUM($G$2:G59)</f>
        <v>360</v>
      </c>
      <c r="I59" s="10">
        <f t="shared" si="4"/>
        <v>45701.281817129631</v>
      </c>
      <c r="J59" s="10">
        <f t="shared" si="5"/>
        <v>45701.281817129624</v>
      </c>
      <c r="K59" s="3">
        <f t="shared" si="7"/>
        <v>332</v>
      </c>
      <c r="L59">
        <f t="shared" si="0"/>
        <v>14.097222220000001</v>
      </c>
      <c r="M59">
        <f t="shared" si="6"/>
        <v>50.749999992000006</v>
      </c>
    </row>
    <row r="60" spans="1:13" x14ac:dyDescent="0.25">
      <c r="A60" s="9">
        <f>Speed!A60</f>
        <v>45701.281817129631</v>
      </c>
      <c r="B60" s="9">
        <f t="shared" si="1"/>
        <v>45701.281817129624</v>
      </c>
      <c r="C60" s="2">
        <f>Speed!B60</f>
        <v>14.086111109999999</v>
      </c>
      <c r="D60" s="9">
        <f>Odometer!A60</f>
        <v>45701.281840277778</v>
      </c>
      <c r="E60" s="9">
        <f t="shared" si="2"/>
        <v>45701.281840277778</v>
      </c>
      <c r="F60" s="2">
        <f>Odometer!B60</f>
        <v>428750258</v>
      </c>
      <c r="G60" s="2">
        <f t="shared" si="3"/>
        <v>5</v>
      </c>
      <c r="H60" s="2">
        <f>SUM($G$2:G60)</f>
        <v>365</v>
      </c>
      <c r="I60" s="10">
        <f t="shared" si="4"/>
        <v>45701.281817129631</v>
      </c>
      <c r="J60" s="10">
        <f t="shared" si="5"/>
        <v>45701.281817129624</v>
      </c>
      <c r="K60" s="3">
        <f t="shared" si="7"/>
        <v>332</v>
      </c>
      <c r="L60">
        <f t="shared" si="0"/>
        <v>14.097222220000001</v>
      </c>
      <c r="M60">
        <f t="shared" si="6"/>
        <v>50.749999992000006</v>
      </c>
    </row>
    <row r="61" spans="1:13" x14ac:dyDescent="0.25">
      <c r="A61" s="9">
        <f>Speed!A61</f>
        <v>45701.281828703701</v>
      </c>
      <c r="B61" s="9">
        <f t="shared" si="1"/>
        <v>45701.281828703701</v>
      </c>
      <c r="C61" s="2">
        <f>Speed!B61</f>
        <v>14.20277778</v>
      </c>
      <c r="D61" s="9">
        <f>Odometer!A61</f>
        <v>45701.281840277778</v>
      </c>
      <c r="E61" s="9">
        <f t="shared" si="2"/>
        <v>45701.281840277778</v>
      </c>
      <c r="F61" s="2">
        <f>Odometer!B61</f>
        <v>428750263</v>
      </c>
      <c r="G61" s="2">
        <f t="shared" si="3"/>
        <v>1</v>
      </c>
      <c r="H61" s="2">
        <f>SUM($G$2:G61)</f>
        <v>366</v>
      </c>
      <c r="I61" s="10">
        <f t="shared" si="4"/>
        <v>45701.281828703701</v>
      </c>
      <c r="J61" s="10">
        <f t="shared" si="5"/>
        <v>45701.281828703701</v>
      </c>
      <c r="K61" s="3">
        <f t="shared" si="7"/>
        <v>360</v>
      </c>
      <c r="L61">
        <f t="shared" si="0"/>
        <v>14.20277778</v>
      </c>
      <c r="M61">
        <f t="shared" si="6"/>
        <v>51.130000008000003</v>
      </c>
    </row>
    <row r="62" spans="1:13" x14ac:dyDescent="0.25">
      <c r="A62" s="9">
        <f>Speed!A62</f>
        <v>45701.281840277778</v>
      </c>
      <c r="B62" s="9">
        <f t="shared" si="1"/>
        <v>45701.281840277778</v>
      </c>
      <c r="C62" s="2">
        <f>Speed!B62</f>
        <v>14.28611111</v>
      </c>
      <c r="D62" s="9">
        <f>Odometer!A62</f>
        <v>45701.281840277778</v>
      </c>
      <c r="E62" s="9">
        <f t="shared" si="2"/>
        <v>45701.281840277778</v>
      </c>
      <c r="F62" s="2">
        <f>Odometer!B62</f>
        <v>428750264</v>
      </c>
      <c r="G62" s="2">
        <f t="shared" si="3"/>
        <v>9</v>
      </c>
      <c r="H62" s="2">
        <f>SUM($G$2:G62)</f>
        <v>375</v>
      </c>
      <c r="I62" s="10">
        <f t="shared" si="4"/>
        <v>45701.281840277778</v>
      </c>
      <c r="J62" s="10">
        <f t="shared" si="5"/>
        <v>45701.281840277778</v>
      </c>
      <c r="K62" s="3">
        <f t="shared" si="7"/>
        <v>365</v>
      </c>
      <c r="L62">
        <f t="shared" si="0"/>
        <v>14.28611111</v>
      </c>
      <c r="M62">
        <f t="shared" si="6"/>
        <v>51.429999995999999</v>
      </c>
    </row>
    <row r="63" spans="1:13" x14ac:dyDescent="0.25">
      <c r="A63" s="9">
        <f>Speed!A63</f>
        <v>45701.281840277778</v>
      </c>
      <c r="B63" s="9">
        <f t="shared" si="1"/>
        <v>45701.281840277778</v>
      </c>
      <c r="C63" s="2">
        <f>Speed!B63</f>
        <v>14.33888889</v>
      </c>
      <c r="D63" s="9">
        <f>Odometer!A63</f>
        <v>45701.281851851854</v>
      </c>
      <c r="E63" s="9">
        <f t="shared" si="2"/>
        <v>45701.281851851847</v>
      </c>
      <c r="F63" s="2">
        <f>Odometer!B63</f>
        <v>428750273</v>
      </c>
      <c r="G63" s="2">
        <f t="shared" si="3"/>
        <v>2</v>
      </c>
      <c r="H63" s="2">
        <f>SUM($G$2:G63)</f>
        <v>377</v>
      </c>
      <c r="I63" s="10">
        <f t="shared" si="4"/>
        <v>45701.281840277778</v>
      </c>
      <c r="J63" s="10">
        <f t="shared" si="5"/>
        <v>45701.281840277778</v>
      </c>
      <c r="K63" s="3">
        <f t="shared" si="7"/>
        <v>365</v>
      </c>
      <c r="L63">
        <f t="shared" si="0"/>
        <v>14.28611111</v>
      </c>
      <c r="M63">
        <f t="shared" si="6"/>
        <v>51.429999995999999</v>
      </c>
    </row>
    <row r="64" spans="1:13" x14ac:dyDescent="0.25">
      <c r="A64" s="9">
        <f>Speed!A64</f>
        <v>45701.281840277778</v>
      </c>
      <c r="B64" s="9">
        <f t="shared" si="1"/>
        <v>45701.281840277778</v>
      </c>
      <c r="C64" s="2">
        <f>Speed!B64</f>
        <v>14.35277778</v>
      </c>
      <c r="D64" s="9">
        <f>Odometer!A64</f>
        <v>45701.281851851854</v>
      </c>
      <c r="E64" s="9">
        <f t="shared" si="2"/>
        <v>45701.281851851847</v>
      </c>
      <c r="F64" s="2">
        <f>Odometer!B64</f>
        <v>428750275</v>
      </c>
      <c r="G64" s="2">
        <f t="shared" si="3"/>
        <v>6</v>
      </c>
      <c r="H64" s="2">
        <f>SUM($G$2:G64)</f>
        <v>383</v>
      </c>
      <c r="I64" s="10">
        <f t="shared" si="4"/>
        <v>45701.281840277778</v>
      </c>
      <c r="J64" s="10">
        <f t="shared" si="5"/>
        <v>45701.281840277778</v>
      </c>
      <c r="K64" s="3">
        <f t="shared" si="7"/>
        <v>365</v>
      </c>
      <c r="L64">
        <f t="shared" si="0"/>
        <v>14.28611111</v>
      </c>
      <c r="M64">
        <f t="shared" si="6"/>
        <v>51.429999995999999</v>
      </c>
    </row>
    <row r="65" spans="1:13" x14ac:dyDescent="0.25">
      <c r="A65" s="9">
        <f>Speed!A65</f>
        <v>45701.281851851854</v>
      </c>
      <c r="B65" s="9">
        <f t="shared" si="1"/>
        <v>45701.281851851847</v>
      </c>
      <c r="C65" s="2">
        <f>Speed!B65</f>
        <v>14.38888889</v>
      </c>
      <c r="D65" s="9">
        <f>Odometer!A65</f>
        <v>45701.281851851854</v>
      </c>
      <c r="E65" s="9">
        <f t="shared" si="2"/>
        <v>45701.281851851847</v>
      </c>
      <c r="F65" s="2">
        <f>Odometer!B65</f>
        <v>428750281</v>
      </c>
      <c r="G65" s="2">
        <f t="shared" si="3"/>
        <v>7</v>
      </c>
      <c r="H65" s="2">
        <f>SUM($G$2:G65)</f>
        <v>390</v>
      </c>
      <c r="I65" s="10">
        <f t="shared" si="4"/>
        <v>45701.281851851854</v>
      </c>
      <c r="J65" s="10">
        <f t="shared" si="5"/>
        <v>45701.281851851847</v>
      </c>
      <c r="K65" s="3">
        <f t="shared" si="7"/>
        <v>377</v>
      </c>
      <c r="L65">
        <f t="shared" si="0"/>
        <v>14.38888889</v>
      </c>
      <c r="M65">
        <f t="shared" si="6"/>
        <v>51.800000004000005</v>
      </c>
    </row>
    <row r="66" spans="1:13" x14ac:dyDescent="0.25">
      <c r="A66" s="9">
        <f>Speed!A66</f>
        <v>45701.281851851854</v>
      </c>
      <c r="B66" s="9">
        <f t="shared" si="1"/>
        <v>45701.281851851847</v>
      </c>
      <c r="C66" s="2">
        <f>Speed!B66</f>
        <v>14.391666669999999</v>
      </c>
      <c r="D66" s="9">
        <f>Odometer!A66</f>
        <v>45701.281863425924</v>
      </c>
      <c r="E66" s="9">
        <f t="shared" si="2"/>
        <v>45701.281863425924</v>
      </c>
      <c r="F66" s="2">
        <f>Odometer!B66</f>
        <v>428750288</v>
      </c>
      <c r="G66" s="2">
        <f t="shared" si="3"/>
        <v>7</v>
      </c>
      <c r="H66" s="2">
        <f>SUM($G$2:G66)</f>
        <v>397</v>
      </c>
      <c r="I66" s="10">
        <f t="shared" si="4"/>
        <v>45701.281851851854</v>
      </c>
      <c r="J66" s="10">
        <f t="shared" si="5"/>
        <v>45701.281851851847</v>
      </c>
      <c r="K66" s="3">
        <f t="shared" si="7"/>
        <v>377</v>
      </c>
      <c r="L66">
        <f t="shared" ref="L66:L129" si="8">INDEX($C$2:$C$2000, MATCH(I66,$A$2:$A$2000,0))</f>
        <v>14.38888889</v>
      </c>
      <c r="M66">
        <f t="shared" si="6"/>
        <v>51.800000004000005</v>
      </c>
    </row>
    <row r="67" spans="1:13" x14ac:dyDescent="0.25">
      <c r="A67" s="9">
        <f>Speed!A67</f>
        <v>45701.281851851854</v>
      </c>
      <c r="B67" s="9">
        <f t="shared" ref="B67:B130" si="9">MROUND(A67,"00:00:01")</f>
        <v>45701.281851851847</v>
      </c>
      <c r="C67" s="2">
        <f>Speed!B67</f>
        <v>14.35277778</v>
      </c>
      <c r="D67" s="9">
        <f>Odometer!A67</f>
        <v>45701.281875000001</v>
      </c>
      <c r="E67" s="9">
        <f t="shared" ref="E67:E130" si="10">MROUND(D67,"00:00:01")</f>
        <v>45701.281875000001</v>
      </c>
      <c r="F67" s="2">
        <f>Odometer!B67</f>
        <v>428750295</v>
      </c>
      <c r="G67" s="2">
        <f t="shared" ref="G67:G130" si="11">IF(F68-F67&lt;0,0,F68-F67)</f>
        <v>33</v>
      </c>
      <c r="H67" s="2">
        <f>SUM($G$2:G67)</f>
        <v>430</v>
      </c>
      <c r="I67" s="10">
        <f t="shared" ref="I67:I130" si="12">A67</f>
        <v>45701.281851851854</v>
      </c>
      <c r="J67" s="10">
        <f t="shared" ref="J67:J130" si="13">MROUND(I67,"0:00:01")</f>
        <v>45701.281851851847</v>
      </c>
      <c r="K67" s="3">
        <f t="shared" si="7"/>
        <v>377</v>
      </c>
      <c r="L67">
        <f t="shared" si="8"/>
        <v>14.38888889</v>
      </c>
      <c r="M67">
        <f t="shared" ref="M67:M130" si="14">L67*3.6</f>
        <v>51.800000004000005</v>
      </c>
    </row>
    <row r="68" spans="1:13" x14ac:dyDescent="0.25">
      <c r="A68" s="9">
        <f>Speed!A68</f>
        <v>45701.281863425924</v>
      </c>
      <c r="B68" s="9">
        <f t="shared" si="9"/>
        <v>45701.281863425924</v>
      </c>
      <c r="C68" s="2">
        <f>Speed!B68</f>
        <v>14.311111110000001</v>
      </c>
      <c r="D68" s="9">
        <f>Odometer!A68</f>
        <v>45701.281898148147</v>
      </c>
      <c r="E68" s="9">
        <f t="shared" si="10"/>
        <v>45701.281898148147</v>
      </c>
      <c r="F68" s="2">
        <f>Odometer!B68</f>
        <v>428750328</v>
      </c>
      <c r="G68" s="2">
        <f t="shared" si="11"/>
        <v>2</v>
      </c>
      <c r="H68" s="2">
        <f>SUM($G$2:G68)</f>
        <v>432</v>
      </c>
      <c r="I68" s="10">
        <f t="shared" si="12"/>
        <v>45701.281863425924</v>
      </c>
      <c r="J68" s="10">
        <f t="shared" si="13"/>
        <v>45701.281863425924</v>
      </c>
      <c r="K68" s="3">
        <f t="shared" ref="K68:K131" si="15">IFERROR(INDEX($H$2:$H$2000,MATCH(J68,$E$2:$E$2000,0)),NA())</f>
        <v>397</v>
      </c>
      <c r="L68">
        <f t="shared" si="8"/>
        <v>14.311111110000001</v>
      </c>
      <c r="M68">
        <f t="shared" si="14"/>
        <v>51.519999996000003</v>
      </c>
    </row>
    <row r="69" spans="1:13" x14ac:dyDescent="0.25">
      <c r="A69" s="9">
        <f>Speed!A69</f>
        <v>45701.281875000001</v>
      </c>
      <c r="B69" s="9">
        <f t="shared" si="9"/>
        <v>45701.281875000001</v>
      </c>
      <c r="C69" s="2">
        <f>Speed!B69</f>
        <v>14.08333333</v>
      </c>
      <c r="D69" s="9">
        <f>Odometer!A69</f>
        <v>45701.281898148147</v>
      </c>
      <c r="E69" s="9">
        <f t="shared" si="10"/>
        <v>45701.281898148147</v>
      </c>
      <c r="F69" s="2">
        <f>Odometer!B69</f>
        <v>428750330</v>
      </c>
      <c r="G69" s="2">
        <f t="shared" si="11"/>
        <v>12</v>
      </c>
      <c r="H69" s="2">
        <f>SUM($G$2:G69)</f>
        <v>444</v>
      </c>
      <c r="I69" s="10">
        <f t="shared" si="12"/>
        <v>45701.281875000001</v>
      </c>
      <c r="J69" s="10">
        <f t="shared" si="13"/>
        <v>45701.281875000001</v>
      </c>
      <c r="K69" s="3">
        <f t="shared" si="15"/>
        <v>430</v>
      </c>
      <c r="L69">
        <f t="shared" si="8"/>
        <v>14.08333333</v>
      </c>
      <c r="M69">
        <f t="shared" si="14"/>
        <v>50.699999988000002</v>
      </c>
    </row>
    <row r="70" spans="1:13" x14ac:dyDescent="0.25">
      <c r="A70" s="9">
        <f>Speed!A70</f>
        <v>45701.281898148147</v>
      </c>
      <c r="B70" s="9">
        <f t="shared" si="9"/>
        <v>45701.281898148147</v>
      </c>
      <c r="C70" s="2">
        <f>Speed!B70</f>
        <v>13.419444439999999</v>
      </c>
      <c r="D70" s="9">
        <f>Odometer!A70</f>
        <v>45701.281898148147</v>
      </c>
      <c r="E70" s="9">
        <f t="shared" si="10"/>
        <v>45701.281898148147</v>
      </c>
      <c r="F70" s="2">
        <f>Odometer!B70</f>
        <v>428750342</v>
      </c>
      <c r="G70" s="2">
        <f t="shared" si="11"/>
        <v>13</v>
      </c>
      <c r="H70" s="2">
        <f>SUM($G$2:G70)</f>
        <v>457</v>
      </c>
      <c r="I70" s="10">
        <f t="shared" si="12"/>
        <v>45701.281898148147</v>
      </c>
      <c r="J70" s="10">
        <f t="shared" si="13"/>
        <v>45701.281898148147</v>
      </c>
      <c r="K70" s="3">
        <f t="shared" si="15"/>
        <v>432</v>
      </c>
      <c r="L70">
        <f t="shared" si="8"/>
        <v>13.419444439999999</v>
      </c>
      <c r="M70">
        <f t="shared" si="14"/>
        <v>48.309999984000001</v>
      </c>
    </row>
    <row r="71" spans="1:13" x14ac:dyDescent="0.25">
      <c r="A71" s="9">
        <f>Speed!A71</f>
        <v>45701.281898148147</v>
      </c>
      <c r="B71" s="9">
        <f t="shared" si="9"/>
        <v>45701.281898148147</v>
      </c>
      <c r="C71" s="2">
        <f>Speed!B71</f>
        <v>13.425000000000001</v>
      </c>
      <c r="D71" s="9">
        <f>Odometer!A71</f>
        <v>45701.281921296293</v>
      </c>
      <c r="E71" s="9">
        <f t="shared" si="10"/>
        <v>45701.281921296293</v>
      </c>
      <c r="F71" s="2">
        <f>Odometer!B71</f>
        <v>428750355</v>
      </c>
      <c r="G71" s="2">
        <f t="shared" si="11"/>
        <v>12</v>
      </c>
      <c r="H71" s="2">
        <f>SUM($G$2:G71)</f>
        <v>469</v>
      </c>
      <c r="I71" s="10">
        <f t="shared" si="12"/>
        <v>45701.281898148147</v>
      </c>
      <c r="J71" s="10">
        <f t="shared" si="13"/>
        <v>45701.281898148147</v>
      </c>
      <c r="K71" s="3">
        <f t="shared" si="15"/>
        <v>432</v>
      </c>
      <c r="L71">
        <f t="shared" si="8"/>
        <v>13.419444439999999</v>
      </c>
      <c r="M71">
        <f t="shared" si="14"/>
        <v>48.309999984000001</v>
      </c>
    </row>
    <row r="72" spans="1:13" x14ac:dyDescent="0.25">
      <c r="A72" s="9">
        <f>Speed!A72</f>
        <v>45701.281898148147</v>
      </c>
      <c r="B72" s="9">
        <f t="shared" si="9"/>
        <v>45701.281898148147</v>
      </c>
      <c r="C72" s="2">
        <f>Speed!B72</f>
        <v>13.14722222</v>
      </c>
      <c r="D72" s="9">
        <f>Odometer!A72</f>
        <v>45701.28193287037</v>
      </c>
      <c r="E72" s="9">
        <f t="shared" si="10"/>
        <v>45701.28193287037</v>
      </c>
      <c r="F72" s="2">
        <f>Odometer!B72</f>
        <v>428750367</v>
      </c>
      <c r="G72" s="2">
        <f t="shared" si="11"/>
        <v>12</v>
      </c>
      <c r="H72" s="2">
        <f>SUM($G$2:G72)</f>
        <v>481</v>
      </c>
      <c r="I72" s="10">
        <f t="shared" si="12"/>
        <v>45701.281898148147</v>
      </c>
      <c r="J72" s="10">
        <f t="shared" si="13"/>
        <v>45701.281898148147</v>
      </c>
      <c r="K72" s="3">
        <f t="shared" si="15"/>
        <v>432</v>
      </c>
      <c r="L72">
        <f t="shared" si="8"/>
        <v>13.419444439999999</v>
      </c>
      <c r="M72">
        <f t="shared" si="14"/>
        <v>48.309999984000001</v>
      </c>
    </row>
    <row r="73" spans="1:13" x14ac:dyDescent="0.25">
      <c r="A73" s="9">
        <f>Speed!A73</f>
        <v>45701.281921296293</v>
      </c>
      <c r="B73" s="9">
        <f t="shared" si="9"/>
        <v>45701.281921296293</v>
      </c>
      <c r="C73" s="2">
        <f>Speed!B73</f>
        <v>12.77222222</v>
      </c>
      <c r="D73" s="9">
        <f>Odometer!A73</f>
        <v>45701.281944444447</v>
      </c>
      <c r="E73" s="9">
        <f t="shared" si="10"/>
        <v>45701.281944444439</v>
      </c>
      <c r="F73" s="2">
        <f>Odometer!B73</f>
        <v>428750379</v>
      </c>
      <c r="G73" s="2">
        <f t="shared" si="11"/>
        <v>11</v>
      </c>
      <c r="H73" s="2">
        <f>SUM($G$2:G73)</f>
        <v>492</v>
      </c>
      <c r="I73" s="10">
        <f t="shared" si="12"/>
        <v>45701.281921296293</v>
      </c>
      <c r="J73" s="10">
        <f t="shared" si="13"/>
        <v>45701.281921296293</v>
      </c>
      <c r="K73" s="3">
        <f t="shared" si="15"/>
        <v>469</v>
      </c>
      <c r="L73">
        <f t="shared" si="8"/>
        <v>12.77222222</v>
      </c>
      <c r="M73">
        <f t="shared" si="14"/>
        <v>45.979999992000003</v>
      </c>
    </row>
    <row r="74" spans="1:13" x14ac:dyDescent="0.25">
      <c r="A74" s="9">
        <f>Speed!A74</f>
        <v>45701.28193287037</v>
      </c>
      <c r="B74" s="9">
        <f t="shared" si="9"/>
        <v>45701.28193287037</v>
      </c>
      <c r="C74" s="2">
        <f>Speed!B74</f>
        <v>12.175000000000001</v>
      </c>
      <c r="D74" s="9">
        <f>Odometer!A74</f>
        <v>45701.281956018516</v>
      </c>
      <c r="E74" s="9">
        <f t="shared" si="10"/>
        <v>45701.281956018516</v>
      </c>
      <c r="F74" s="2">
        <f>Odometer!B74</f>
        <v>428750390</v>
      </c>
      <c r="G74" s="2">
        <f t="shared" si="11"/>
        <v>1</v>
      </c>
      <c r="H74" s="2">
        <f>SUM($G$2:G74)</f>
        <v>493</v>
      </c>
      <c r="I74" s="10">
        <f t="shared" si="12"/>
        <v>45701.28193287037</v>
      </c>
      <c r="J74" s="10">
        <f t="shared" si="13"/>
        <v>45701.28193287037</v>
      </c>
      <c r="K74" s="3">
        <f t="shared" si="15"/>
        <v>481</v>
      </c>
      <c r="L74">
        <f t="shared" si="8"/>
        <v>12.175000000000001</v>
      </c>
      <c r="M74">
        <f t="shared" si="14"/>
        <v>43.830000000000005</v>
      </c>
    </row>
    <row r="75" spans="1:13" x14ac:dyDescent="0.25">
      <c r="A75" s="9">
        <f>Speed!A75</f>
        <v>45701.281944444447</v>
      </c>
      <c r="B75" s="9">
        <f t="shared" si="9"/>
        <v>45701.281944444439</v>
      </c>
      <c r="C75" s="2">
        <f>Speed!B75</f>
        <v>11.563888889999999</v>
      </c>
      <c r="D75" s="9">
        <f>Odometer!A75</f>
        <v>45701.281956018516</v>
      </c>
      <c r="E75" s="9">
        <f t="shared" si="10"/>
        <v>45701.281956018516</v>
      </c>
      <c r="F75" s="2">
        <f>Odometer!B75</f>
        <v>428750391</v>
      </c>
      <c r="G75" s="2">
        <f t="shared" si="11"/>
        <v>10</v>
      </c>
      <c r="H75" s="2">
        <f>SUM($G$2:G75)</f>
        <v>503</v>
      </c>
      <c r="I75" s="10">
        <f t="shared" si="12"/>
        <v>45701.281944444447</v>
      </c>
      <c r="J75" s="10">
        <f t="shared" si="13"/>
        <v>45701.281944444439</v>
      </c>
      <c r="K75" s="3">
        <f t="shared" si="15"/>
        <v>492</v>
      </c>
      <c r="L75">
        <f t="shared" si="8"/>
        <v>11.563888889999999</v>
      </c>
      <c r="M75">
        <f t="shared" si="14"/>
        <v>41.630000003999996</v>
      </c>
    </row>
    <row r="76" spans="1:13" x14ac:dyDescent="0.25">
      <c r="A76" s="9">
        <f>Speed!A76</f>
        <v>45701.281956018516</v>
      </c>
      <c r="B76" s="9">
        <f t="shared" si="9"/>
        <v>45701.281956018516</v>
      </c>
      <c r="C76" s="2">
        <f>Speed!B76</f>
        <v>11.04166667</v>
      </c>
      <c r="D76" s="9">
        <f>Odometer!A76</f>
        <v>45701.281967592593</v>
      </c>
      <c r="E76" s="9">
        <f t="shared" si="10"/>
        <v>45701.281967592593</v>
      </c>
      <c r="F76" s="2">
        <f>Odometer!B76</f>
        <v>428750401</v>
      </c>
      <c r="G76" s="2">
        <f t="shared" si="11"/>
        <v>11</v>
      </c>
      <c r="H76" s="2">
        <f>SUM($G$2:G76)</f>
        <v>514</v>
      </c>
      <c r="I76" s="10">
        <f t="shared" si="12"/>
        <v>45701.281956018516</v>
      </c>
      <c r="J76" s="10">
        <f t="shared" si="13"/>
        <v>45701.281956018516</v>
      </c>
      <c r="K76" s="3">
        <f t="shared" si="15"/>
        <v>493</v>
      </c>
      <c r="L76">
        <f t="shared" si="8"/>
        <v>11.04166667</v>
      </c>
      <c r="M76">
        <f t="shared" si="14"/>
        <v>39.750000012000001</v>
      </c>
    </row>
    <row r="77" spans="1:13" x14ac:dyDescent="0.25">
      <c r="A77" s="9">
        <f>Speed!A77</f>
        <v>45701.281956018516</v>
      </c>
      <c r="B77" s="9">
        <f t="shared" si="9"/>
        <v>45701.281956018516</v>
      </c>
      <c r="C77" s="2">
        <f>Speed!B77</f>
        <v>11.002777780000001</v>
      </c>
      <c r="D77" s="9">
        <f>Odometer!A77</f>
        <v>45701.28197916667</v>
      </c>
      <c r="E77" s="9">
        <f t="shared" si="10"/>
        <v>45701.281979166662</v>
      </c>
      <c r="F77" s="2">
        <f>Odometer!B77</f>
        <v>428750412</v>
      </c>
      <c r="G77" s="2">
        <f t="shared" si="11"/>
        <v>10</v>
      </c>
      <c r="H77" s="2">
        <f>SUM($G$2:G77)</f>
        <v>524</v>
      </c>
      <c r="I77" s="10">
        <f t="shared" si="12"/>
        <v>45701.281956018516</v>
      </c>
      <c r="J77" s="10">
        <f t="shared" si="13"/>
        <v>45701.281956018516</v>
      </c>
      <c r="K77" s="3">
        <f t="shared" si="15"/>
        <v>493</v>
      </c>
      <c r="L77">
        <f t="shared" si="8"/>
        <v>11.04166667</v>
      </c>
      <c r="M77">
        <f t="shared" si="14"/>
        <v>39.750000012000001</v>
      </c>
    </row>
    <row r="78" spans="1:13" x14ac:dyDescent="0.25">
      <c r="A78" s="9">
        <f>Speed!A78</f>
        <v>45701.281967592593</v>
      </c>
      <c r="B78" s="9">
        <f t="shared" si="9"/>
        <v>45701.281967592593</v>
      </c>
      <c r="C78" s="2">
        <f>Speed!B78</f>
        <v>10.56944444</v>
      </c>
      <c r="D78" s="9">
        <f>Odometer!A78</f>
        <v>45701.281990740739</v>
      </c>
      <c r="E78" s="9">
        <f t="shared" si="10"/>
        <v>45701.281990740739</v>
      </c>
      <c r="F78" s="2">
        <f>Odometer!B78</f>
        <v>428750422</v>
      </c>
      <c r="G78" s="2">
        <f t="shared" si="11"/>
        <v>9</v>
      </c>
      <c r="H78" s="2">
        <f>SUM($G$2:G78)</f>
        <v>533</v>
      </c>
      <c r="I78" s="10">
        <f t="shared" si="12"/>
        <v>45701.281967592593</v>
      </c>
      <c r="J78" s="10">
        <f t="shared" si="13"/>
        <v>45701.281967592593</v>
      </c>
      <c r="K78" s="3">
        <f t="shared" si="15"/>
        <v>514</v>
      </c>
      <c r="L78">
        <f t="shared" si="8"/>
        <v>10.56944444</v>
      </c>
      <c r="M78">
        <f t="shared" si="14"/>
        <v>38.049999984000003</v>
      </c>
    </row>
    <row r="79" spans="1:13" x14ac:dyDescent="0.25">
      <c r="A79" s="9">
        <f>Speed!A79</f>
        <v>45701.28197916667</v>
      </c>
      <c r="B79" s="9">
        <f t="shared" si="9"/>
        <v>45701.281979166662</v>
      </c>
      <c r="C79" s="2">
        <f>Speed!B79</f>
        <v>10.13888889</v>
      </c>
      <c r="D79" s="9">
        <f>Odometer!A79</f>
        <v>45701.282002314816</v>
      </c>
      <c r="E79" s="9">
        <f t="shared" si="10"/>
        <v>45701.282002314816</v>
      </c>
      <c r="F79" s="2">
        <f>Odometer!B79</f>
        <v>428750431</v>
      </c>
      <c r="G79" s="2">
        <f t="shared" si="11"/>
        <v>9</v>
      </c>
      <c r="H79" s="2">
        <f>SUM($G$2:G79)</f>
        <v>542</v>
      </c>
      <c r="I79" s="10">
        <f t="shared" si="12"/>
        <v>45701.28197916667</v>
      </c>
      <c r="J79" s="10">
        <f t="shared" si="13"/>
        <v>45701.281979166662</v>
      </c>
      <c r="K79" s="3">
        <f t="shared" si="15"/>
        <v>524</v>
      </c>
      <c r="L79">
        <f t="shared" si="8"/>
        <v>10.13888889</v>
      </c>
      <c r="M79">
        <f t="shared" si="14"/>
        <v>36.500000004</v>
      </c>
    </row>
    <row r="80" spans="1:13" x14ac:dyDescent="0.25">
      <c r="A80" s="9">
        <f>Speed!A80</f>
        <v>45701.281990740739</v>
      </c>
      <c r="B80" s="9">
        <f t="shared" si="9"/>
        <v>45701.281990740739</v>
      </c>
      <c r="C80" s="2">
        <f>Speed!B80</f>
        <v>9.6999999999999993</v>
      </c>
      <c r="D80" s="9">
        <f>Odometer!A80</f>
        <v>45701.282013888886</v>
      </c>
      <c r="E80" s="9">
        <f t="shared" si="10"/>
        <v>45701.282013888886</v>
      </c>
      <c r="F80" s="2">
        <f>Odometer!B80</f>
        <v>428750440</v>
      </c>
      <c r="G80" s="2">
        <f t="shared" si="11"/>
        <v>9</v>
      </c>
      <c r="H80" s="2">
        <f>SUM($G$2:G80)</f>
        <v>551</v>
      </c>
      <c r="I80" s="10">
        <f t="shared" si="12"/>
        <v>45701.281990740739</v>
      </c>
      <c r="J80" s="10">
        <f t="shared" si="13"/>
        <v>45701.281990740739</v>
      </c>
      <c r="K80" s="3">
        <f t="shared" si="15"/>
        <v>533</v>
      </c>
      <c r="L80">
        <f t="shared" si="8"/>
        <v>9.6999999999999993</v>
      </c>
      <c r="M80">
        <f t="shared" si="14"/>
        <v>34.92</v>
      </c>
    </row>
    <row r="81" spans="1:13" x14ac:dyDescent="0.25">
      <c r="A81" s="9">
        <f>Speed!A81</f>
        <v>45701.282002314816</v>
      </c>
      <c r="B81" s="9">
        <f t="shared" si="9"/>
        <v>45701.282002314816</v>
      </c>
      <c r="C81" s="2">
        <f>Speed!B81</f>
        <v>9.2361111109999996</v>
      </c>
      <c r="D81" s="9">
        <f>Odometer!A81</f>
        <v>45701.282025462962</v>
      </c>
      <c r="E81" s="9">
        <f t="shared" si="10"/>
        <v>45701.282025462962</v>
      </c>
      <c r="F81" s="2">
        <f>Odometer!B81</f>
        <v>428750449</v>
      </c>
      <c r="G81" s="2">
        <f t="shared" si="11"/>
        <v>7</v>
      </c>
      <c r="H81" s="2">
        <f>SUM($G$2:G81)</f>
        <v>558</v>
      </c>
      <c r="I81" s="10">
        <f t="shared" si="12"/>
        <v>45701.282002314816</v>
      </c>
      <c r="J81" s="10">
        <f t="shared" si="13"/>
        <v>45701.282002314816</v>
      </c>
      <c r="K81" s="3">
        <f t="shared" si="15"/>
        <v>542</v>
      </c>
      <c r="L81">
        <f t="shared" si="8"/>
        <v>9.2361111109999996</v>
      </c>
      <c r="M81">
        <f t="shared" si="14"/>
        <v>33.2499999996</v>
      </c>
    </row>
    <row r="82" spans="1:13" x14ac:dyDescent="0.25">
      <c r="A82" s="9">
        <f>Speed!A82</f>
        <v>45701.282002314816</v>
      </c>
      <c r="B82" s="9">
        <f t="shared" si="9"/>
        <v>45701.282002314816</v>
      </c>
      <c r="C82" s="2">
        <f>Speed!B82</f>
        <v>9.1833333330000002</v>
      </c>
      <c r="D82" s="9">
        <f>Odometer!A82</f>
        <v>45701.282037037039</v>
      </c>
      <c r="E82" s="9">
        <f t="shared" si="10"/>
        <v>45701.282037037032</v>
      </c>
      <c r="F82" s="2">
        <f>Odometer!B82</f>
        <v>428750456</v>
      </c>
      <c r="G82" s="2">
        <f t="shared" si="11"/>
        <v>7</v>
      </c>
      <c r="H82" s="2">
        <f>SUM($G$2:G82)</f>
        <v>565</v>
      </c>
      <c r="I82" s="10">
        <f t="shared" si="12"/>
        <v>45701.282002314816</v>
      </c>
      <c r="J82" s="10">
        <f t="shared" si="13"/>
        <v>45701.282002314816</v>
      </c>
      <c r="K82" s="3">
        <f t="shared" si="15"/>
        <v>542</v>
      </c>
      <c r="L82">
        <f t="shared" si="8"/>
        <v>9.2361111109999996</v>
      </c>
      <c r="M82">
        <f t="shared" si="14"/>
        <v>33.2499999996</v>
      </c>
    </row>
    <row r="83" spans="1:13" x14ac:dyDescent="0.25">
      <c r="A83" s="9">
        <f>Speed!A83</f>
        <v>45701.282013888886</v>
      </c>
      <c r="B83" s="9">
        <f t="shared" si="9"/>
        <v>45701.282013888886</v>
      </c>
      <c r="C83" s="2">
        <f>Speed!B83</f>
        <v>8.6111111109999996</v>
      </c>
      <c r="D83" s="9">
        <f>Odometer!A83</f>
        <v>45701.282048611109</v>
      </c>
      <c r="E83" s="9">
        <f t="shared" si="10"/>
        <v>45701.282048611109</v>
      </c>
      <c r="F83" s="2">
        <f>Odometer!B83</f>
        <v>428750463</v>
      </c>
      <c r="G83" s="2">
        <f t="shared" si="11"/>
        <v>7</v>
      </c>
      <c r="H83" s="2">
        <f>SUM($G$2:G83)</f>
        <v>572</v>
      </c>
      <c r="I83" s="10">
        <f t="shared" si="12"/>
        <v>45701.282013888886</v>
      </c>
      <c r="J83" s="10">
        <f t="shared" si="13"/>
        <v>45701.282013888886</v>
      </c>
      <c r="K83" s="3">
        <f t="shared" si="15"/>
        <v>551</v>
      </c>
      <c r="L83">
        <f t="shared" si="8"/>
        <v>8.6111111109999996</v>
      </c>
      <c r="M83">
        <f t="shared" si="14"/>
        <v>30.9999999996</v>
      </c>
    </row>
    <row r="84" spans="1:13" x14ac:dyDescent="0.25">
      <c r="A84" s="9">
        <f>Speed!A84</f>
        <v>45701.282013888886</v>
      </c>
      <c r="B84" s="9">
        <f t="shared" si="9"/>
        <v>45701.282013888886</v>
      </c>
      <c r="C84" s="2">
        <f>Speed!B84</f>
        <v>8.5611111110000007</v>
      </c>
      <c r="D84" s="9">
        <f>Odometer!A84</f>
        <v>45701.282060185185</v>
      </c>
      <c r="E84" s="9">
        <f t="shared" si="10"/>
        <v>45701.282060185185</v>
      </c>
      <c r="F84" s="2">
        <f>Odometer!B84</f>
        <v>428750470</v>
      </c>
      <c r="G84" s="2">
        <f t="shared" si="11"/>
        <v>5</v>
      </c>
      <c r="H84" s="2">
        <f>SUM($G$2:G84)</f>
        <v>577</v>
      </c>
      <c r="I84" s="10">
        <f t="shared" si="12"/>
        <v>45701.282013888886</v>
      </c>
      <c r="J84" s="10">
        <f t="shared" si="13"/>
        <v>45701.282013888886</v>
      </c>
      <c r="K84" s="3">
        <f t="shared" si="15"/>
        <v>551</v>
      </c>
      <c r="L84">
        <f t="shared" si="8"/>
        <v>8.6111111109999996</v>
      </c>
      <c r="M84">
        <f t="shared" si="14"/>
        <v>30.9999999996</v>
      </c>
    </row>
    <row r="85" spans="1:13" x14ac:dyDescent="0.25">
      <c r="A85" s="9">
        <f>Speed!A85</f>
        <v>45701.282025462962</v>
      </c>
      <c r="B85" s="9">
        <f t="shared" si="9"/>
        <v>45701.282025462962</v>
      </c>
      <c r="C85" s="2">
        <f>Speed!B85</f>
        <v>7.8944444440000003</v>
      </c>
      <c r="D85" s="9">
        <f>Odometer!A85</f>
        <v>45701.282071759262</v>
      </c>
      <c r="E85" s="9">
        <f t="shared" si="10"/>
        <v>45701.282071759255</v>
      </c>
      <c r="F85" s="2">
        <f>Odometer!B85</f>
        <v>428750475</v>
      </c>
      <c r="G85" s="2">
        <f t="shared" si="11"/>
        <v>5</v>
      </c>
      <c r="H85" s="2">
        <f>SUM($G$2:G85)</f>
        <v>582</v>
      </c>
      <c r="I85" s="10">
        <f t="shared" si="12"/>
        <v>45701.282025462962</v>
      </c>
      <c r="J85" s="10">
        <f t="shared" si="13"/>
        <v>45701.282025462962</v>
      </c>
      <c r="K85" s="3">
        <f t="shared" si="15"/>
        <v>558</v>
      </c>
      <c r="L85">
        <f t="shared" si="8"/>
        <v>7.8944444440000003</v>
      </c>
      <c r="M85">
        <f t="shared" si="14"/>
        <v>28.419999998400002</v>
      </c>
    </row>
    <row r="86" spans="1:13" x14ac:dyDescent="0.25">
      <c r="A86" s="9">
        <f>Speed!A86</f>
        <v>45701.282037037039</v>
      </c>
      <c r="B86" s="9">
        <f t="shared" si="9"/>
        <v>45701.282037037032</v>
      </c>
      <c r="C86" s="2">
        <f>Speed!B86</f>
        <v>7.4083333329999999</v>
      </c>
      <c r="D86" s="9">
        <f>Odometer!A86</f>
        <v>45701.282083333332</v>
      </c>
      <c r="E86" s="9">
        <f t="shared" si="10"/>
        <v>45701.282083333332</v>
      </c>
      <c r="F86" s="2">
        <f>Odometer!B86</f>
        <v>428750480</v>
      </c>
      <c r="G86" s="2">
        <f t="shared" si="11"/>
        <v>4</v>
      </c>
      <c r="H86" s="2">
        <f>SUM($G$2:G86)</f>
        <v>586</v>
      </c>
      <c r="I86" s="10">
        <f t="shared" si="12"/>
        <v>45701.282037037039</v>
      </c>
      <c r="J86" s="10">
        <f t="shared" si="13"/>
        <v>45701.282037037032</v>
      </c>
      <c r="K86" s="3">
        <f t="shared" si="15"/>
        <v>565</v>
      </c>
      <c r="L86">
        <f t="shared" si="8"/>
        <v>7.4083333329999999</v>
      </c>
      <c r="M86">
        <f t="shared" si="14"/>
        <v>26.669999998800002</v>
      </c>
    </row>
    <row r="87" spans="1:13" x14ac:dyDescent="0.25">
      <c r="A87" s="9">
        <f>Speed!A87</f>
        <v>45701.282048611109</v>
      </c>
      <c r="B87" s="9">
        <f t="shared" si="9"/>
        <v>45701.282048611109</v>
      </c>
      <c r="C87" s="2">
        <f>Speed!B87</f>
        <v>6.886111111</v>
      </c>
      <c r="D87" s="9">
        <f>Odometer!A87</f>
        <v>45701.282094907408</v>
      </c>
      <c r="E87" s="9">
        <f t="shared" si="10"/>
        <v>45701.282094907408</v>
      </c>
      <c r="F87" s="2">
        <f>Odometer!B87</f>
        <v>428750484</v>
      </c>
      <c r="G87" s="2">
        <f t="shared" si="11"/>
        <v>3</v>
      </c>
      <c r="H87" s="2">
        <f>SUM($G$2:G87)</f>
        <v>589</v>
      </c>
      <c r="I87" s="10">
        <f t="shared" si="12"/>
        <v>45701.282048611109</v>
      </c>
      <c r="J87" s="10">
        <f t="shared" si="13"/>
        <v>45701.282048611109</v>
      </c>
      <c r="K87" s="3">
        <f t="shared" si="15"/>
        <v>572</v>
      </c>
      <c r="L87">
        <f t="shared" si="8"/>
        <v>6.886111111</v>
      </c>
      <c r="M87">
        <f t="shared" si="14"/>
        <v>24.789999999599999</v>
      </c>
    </row>
    <row r="88" spans="1:13" x14ac:dyDescent="0.25">
      <c r="A88" s="9">
        <f>Speed!A88</f>
        <v>45701.282060185185</v>
      </c>
      <c r="B88" s="9">
        <f t="shared" si="9"/>
        <v>45701.282060185185</v>
      </c>
      <c r="C88" s="2">
        <f>Speed!B88</f>
        <v>6.2027777779999997</v>
      </c>
      <c r="D88" s="9">
        <f>Odometer!A88</f>
        <v>45701.282106481478</v>
      </c>
      <c r="E88" s="9">
        <f t="shared" si="10"/>
        <v>45701.282106481478</v>
      </c>
      <c r="F88" s="2">
        <f>Odometer!B88</f>
        <v>428750487</v>
      </c>
      <c r="G88" s="2">
        <f t="shared" si="11"/>
        <v>1</v>
      </c>
      <c r="H88" s="2">
        <f>SUM($G$2:G88)</f>
        <v>590</v>
      </c>
      <c r="I88" s="10">
        <f t="shared" si="12"/>
        <v>45701.282060185185</v>
      </c>
      <c r="J88" s="10">
        <f t="shared" si="13"/>
        <v>45701.282060185185</v>
      </c>
      <c r="K88" s="3">
        <f t="shared" si="15"/>
        <v>577</v>
      </c>
      <c r="L88">
        <f t="shared" si="8"/>
        <v>6.2027777779999997</v>
      </c>
      <c r="M88">
        <f t="shared" si="14"/>
        <v>22.330000000799998</v>
      </c>
    </row>
    <row r="89" spans="1:13" x14ac:dyDescent="0.25">
      <c r="A89" s="9">
        <f>Speed!A89</f>
        <v>45701.282071759262</v>
      </c>
      <c r="B89" s="9">
        <f t="shared" si="9"/>
        <v>45701.282071759255</v>
      </c>
      <c r="C89" s="2">
        <f>Speed!B89</f>
        <v>5.375</v>
      </c>
      <c r="D89" s="9">
        <f>Odometer!A89</f>
        <v>45701.282118055555</v>
      </c>
      <c r="E89" s="9">
        <f t="shared" si="10"/>
        <v>45701.282118055555</v>
      </c>
      <c r="F89" s="2">
        <f>Odometer!B89</f>
        <v>428750488</v>
      </c>
      <c r="G89" s="2">
        <f t="shared" si="11"/>
        <v>1</v>
      </c>
      <c r="H89" s="2">
        <f>SUM($G$2:G89)</f>
        <v>591</v>
      </c>
      <c r="I89" s="10">
        <f t="shared" si="12"/>
        <v>45701.282071759262</v>
      </c>
      <c r="J89" s="10">
        <f t="shared" si="13"/>
        <v>45701.282071759255</v>
      </c>
      <c r="K89" s="3">
        <f t="shared" si="15"/>
        <v>582</v>
      </c>
      <c r="L89">
        <f t="shared" si="8"/>
        <v>5.375</v>
      </c>
      <c r="M89">
        <f t="shared" si="14"/>
        <v>19.350000000000001</v>
      </c>
    </row>
    <row r="90" spans="1:13" x14ac:dyDescent="0.25">
      <c r="A90" s="9">
        <f>Speed!A90</f>
        <v>45701.282083333332</v>
      </c>
      <c r="B90" s="9">
        <f t="shared" si="9"/>
        <v>45701.282083333332</v>
      </c>
      <c r="C90" s="2">
        <f>Speed!B90</f>
        <v>4.3888888890000004</v>
      </c>
      <c r="D90" s="9">
        <f>Odometer!A90</f>
        <v>45701.282118055555</v>
      </c>
      <c r="E90" s="9">
        <f t="shared" si="10"/>
        <v>45701.282118055555</v>
      </c>
      <c r="F90" s="2">
        <f>Odometer!B90</f>
        <v>428750489</v>
      </c>
      <c r="G90" s="2">
        <f t="shared" si="11"/>
        <v>1</v>
      </c>
      <c r="H90" s="2">
        <f>SUM($G$2:G90)</f>
        <v>592</v>
      </c>
      <c r="I90" s="10">
        <f t="shared" si="12"/>
        <v>45701.282083333332</v>
      </c>
      <c r="J90" s="10">
        <f t="shared" si="13"/>
        <v>45701.282083333332</v>
      </c>
      <c r="K90" s="3">
        <f t="shared" si="15"/>
        <v>586</v>
      </c>
      <c r="L90">
        <f t="shared" si="8"/>
        <v>4.3888888890000004</v>
      </c>
      <c r="M90">
        <f t="shared" si="14"/>
        <v>15.800000000400003</v>
      </c>
    </row>
    <row r="91" spans="1:13" x14ac:dyDescent="0.25">
      <c r="A91" s="9">
        <f>Speed!A91</f>
        <v>45701.282094907408</v>
      </c>
      <c r="B91" s="9">
        <f t="shared" si="9"/>
        <v>45701.282094907408</v>
      </c>
      <c r="C91" s="2">
        <f>Speed!B91</f>
        <v>3.2055555560000002</v>
      </c>
      <c r="D91" s="9">
        <f>Odometer!A91</f>
        <v>45701.282141203701</v>
      </c>
      <c r="E91" s="9">
        <f t="shared" si="10"/>
        <v>45701.282141203701</v>
      </c>
      <c r="F91" s="2">
        <f>Odometer!B91</f>
        <v>428750490</v>
      </c>
      <c r="G91" s="2">
        <f t="shared" si="11"/>
        <v>2</v>
      </c>
      <c r="H91" s="2">
        <f>SUM($G$2:G91)</f>
        <v>594</v>
      </c>
      <c r="I91" s="10">
        <f t="shared" si="12"/>
        <v>45701.282094907408</v>
      </c>
      <c r="J91" s="10">
        <f t="shared" si="13"/>
        <v>45701.282094907408</v>
      </c>
      <c r="K91" s="3">
        <f t="shared" si="15"/>
        <v>589</v>
      </c>
      <c r="L91">
        <f t="shared" si="8"/>
        <v>3.2055555560000002</v>
      </c>
      <c r="M91">
        <f t="shared" si="14"/>
        <v>11.540000001600001</v>
      </c>
    </row>
    <row r="92" spans="1:13" x14ac:dyDescent="0.25">
      <c r="A92" s="9">
        <f>Speed!A92</f>
        <v>45701.282106481478</v>
      </c>
      <c r="B92" s="9">
        <f t="shared" si="9"/>
        <v>45701.282106481478</v>
      </c>
      <c r="C92" s="2">
        <f>Speed!B92</f>
        <v>2.238888889</v>
      </c>
      <c r="D92" s="9">
        <f>Odometer!A92</f>
        <v>45701.282418981478</v>
      </c>
      <c r="E92" s="9">
        <f t="shared" si="10"/>
        <v>45701.282418981478</v>
      </c>
      <c r="F92" s="2">
        <f>Odometer!B92</f>
        <v>428750492</v>
      </c>
      <c r="G92" s="2">
        <f t="shared" si="11"/>
        <v>3</v>
      </c>
      <c r="H92" s="2">
        <f>SUM($G$2:G92)</f>
        <v>597</v>
      </c>
      <c r="I92" s="10">
        <f t="shared" si="12"/>
        <v>45701.282106481478</v>
      </c>
      <c r="J92" s="10">
        <f t="shared" si="13"/>
        <v>45701.282106481478</v>
      </c>
      <c r="K92" s="3">
        <f t="shared" si="15"/>
        <v>590</v>
      </c>
      <c r="L92">
        <f t="shared" si="8"/>
        <v>2.238888889</v>
      </c>
      <c r="M92">
        <f t="shared" si="14"/>
        <v>8.0600000004000005</v>
      </c>
    </row>
    <row r="93" spans="1:13" x14ac:dyDescent="0.25">
      <c r="A93" s="9">
        <f>Speed!A93</f>
        <v>45701.282118055555</v>
      </c>
      <c r="B93" s="9">
        <f t="shared" si="9"/>
        <v>45701.282118055555</v>
      </c>
      <c r="C93" s="2">
        <f>Speed!B93</f>
        <v>1.438888889</v>
      </c>
      <c r="D93" s="9">
        <f>Odometer!A93</f>
        <v>45701.282430555555</v>
      </c>
      <c r="E93" s="9">
        <f t="shared" si="10"/>
        <v>45701.282430555555</v>
      </c>
      <c r="F93" s="2">
        <f>Odometer!B93</f>
        <v>428750495</v>
      </c>
      <c r="G93" s="2">
        <f t="shared" si="11"/>
        <v>5</v>
      </c>
      <c r="H93" s="2">
        <f>SUM($G$2:G93)</f>
        <v>602</v>
      </c>
      <c r="I93" s="10">
        <f t="shared" si="12"/>
        <v>45701.282118055555</v>
      </c>
      <c r="J93" s="10">
        <f t="shared" si="13"/>
        <v>45701.282118055555</v>
      </c>
      <c r="K93" s="3">
        <f t="shared" si="15"/>
        <v>591</v>
      </c>
      <c r="L93">
        <f t="shared" si="8"/>
        <v>1.438888889</v>
      </c>
      <c r="M93">
        <f t="shared" si="14"/>
        <v>5.1800000003999997</v>
      </c>
    </row>
    <row r="94" spans="1:13" x14ac:dyDescent="0.25">
      <c r="A94" s="9">
        <f>Speed!A94</f>
        <v>45701.282118055555</v>
      </c>
      <c r="B94" s="9">
        <f t="shared" si="9"/>
        <v>45701.282118055555</v>
      </c>
      <c r="C94" s="2">
        <f>Speed!B94</f>
        <v>1.297222222</v>
      </c>
      <c r="D94" s="9">
        <f>Odometer!A94</f>
        <v>45701.282442129632</v>
      </c>
      <c r="E94" s="9">
        <f t="shared" si="10"/>
        <v>45701.282442129625</v>
      </c>
      <c r="F94" s="2">
        <f>Odometer!B94</f>
        <v>428750500</v>
      </c>
      <c r="G94" s="2">
        <f t="shared" si="11"/>
        <v>4</v>
      </c>
      <c r="H94" s="2">
        <f>SUM($G$2:G94)</f>
        <v>606</v>
      </c>
      <c r="I94" s="10">
        <f t="shared" si="12"/>
        <v>45701.282118055555</v>
      </c>
      <c r="J94" s="10">
        <f t="shared" si="13"/>
        <v>45701.282118055555</v>
      </c>
      <c r="K94" s="3">
        <f t="shared" si="15"/>
        <v>591</v>
      </c>
      <c r="L94">
        <f t="shared" si="8"/>
        <v>1.438888889</v>
      </c>
      <c r="M94">
        <f t="shared" si="14"/>
        <v>5.1800000003999997</v>
      </c>
    </row>
    <row r="95" spans="1:13" x14ac:dyDescent="0.25">
      <c r="A95" s="9">
        <f>Speed!A95</f>
        <v>45701.282129629632</v>
      </c>
      <c r="B95" s="9">
        <f t="shared" si="9"/>
        <v>45701.282129629624</v>
      </c>
      <c r="C95" s="2">
        <f>Speed!B95</f>
        <v>0.37777777800000001</v>
      </c>
      <c r="D95" s="9">
        <f>Odometer!A95</f>
        <v>45701.282442129632</v>
      </c>
      <c r="E95" s="9">
        <f t="shared" si="10"/>
        <v>45701.282442129625</v>
      </c>
      <c r="F95" s="2">
        <f>Odometer!B95</f>
        <v>428750504</v>
      </c>
      <c r="G95" s="2">
        <f t="shared" si="11"/>
        <v>1</v>
      </c>
      <c r="H95" s="2">
        <f>SUM($G$2:G95)</f>
        <v>607</v>
      </c>
      <c r="I95" s="10">
        <f t="shared" si="12"/>
        <v>45701.282129629632</v>
      </c>
      <c r="J95" s="10">
        <f t="shared" si="13"/>
        <v>45701.282129629624</v>
      </c>
      <c r="K95" s="3" t="e">
        <f t="shared" si="15"/>
        <v>#N/A</v>
      </c>
      <c r="L95">
        <f t="shared" si="8"/>
        <v>0.37777777800000001</v>
      </c>
      <c r="M95">
        <f t="shared" si="14"/>
        <v>1.3600000008000002</v>
      </c>
    </row>
    <row r="96" spans="1:13" x14ac:dyDescent="0.25">
      <c r="A96" s="9">
        <f>Speed!A96</f>
        <v>45701.282141203701</v>
      </c>
      <c r="B96" s="9">
        <f t="shared" si="9"/>
        <v>45701.282141203701</v>
      </c>
      <c r="C96" s="2">
        <f>Speed!B96</f>
        <v>0.15555555600000001</v>
      </c>
      <c r="D96" s="9">
        <f>Odometer!A96</f>
        <v>45701.282453703701</v>
      </c>
      <c r="E96" s="9">
        <f t="shared" si="10"/>
        <v>45701.282453703701</v>
      </c>
      <c r="F96" s="2">
        <f>Odometer!B96</f>
        <v>428750505</v>
      </c>
      <c r="G96" s="2">
        <f t="shared" si="11"/>
        <v>8</v>
      </c>
      <c r="H96" s="2">
        <f>SUM($G$2:G96)</f>
        <v>615</v>
      </c>
      <c r="I96" s="10">
        <f t="shared" si="12"/>
        <v>45701.282141203701</v>
      </c>
      <c r="J96" s="10">
        <f t="shared" si="13"/>
        <v>45701.282141203701</v>
      </c>
      <c r="K96" s="3">
        <f t="shared" si="15"/>
        <v>594</v>
      </c>
      <c r="L96">
        <f t="shared" si="8"/>
        <v>0.15555555600000001</v>
      </c>
      <c r="M96">
        <f t="shared" si="14"/>
        <v>0.56000000160000007</v>
      </c>
    </row>
    <row r="97" spans="1:13" x14ac:dyDescent="0.25">
      <c r="A97" s="9">
        <f>Speed!A97</f>
        <v>45701.282141203701</v>
      </c>
      <c r="B97" s="9">
        <f t="shared" si="9"/>
        <v>45701.282141203701</v>
      </c>
      <c r="C97" s="2">
        <f>Speed!B97</f>
        <v>4.7222222000000001E-2</v>
      </c>
      <c r="D97" s="9">
        <f>Odometer!A97</f>
        <v>45701.282465277778</v>
      </c>
      <c r="E97" s="9">
        <f t="shared" si="10"/>
        <v>45701.282465277778</v>
      </c>
      <c r="F97" s="2">
        <f>Odometer!B97</f>
        <v>428750513</v>
      </c>
      <c r="G97" s="2">
        <f t="shared" si="11"/>
        <v>8</v>
      </c>
      <c r="H97" s="2">
        <f>SUM($G$2:G97)</f>
        <v>623</v>
      </c>
      <c r="I97" s="10">
        <f t="shared" si="12"/>
        <v>45701.282141203701</v>
      </c>
      <c r="J97" s="10">
        <f t="shared" si="13"/>
        <v>45701.282141203701</v>
      </c>
      <c r="K97" s="3">
        <f t="shared" si="15"/>
        <v>594</v>
      </c>
      <c r="L97">
        <f t="shared" si="8"/>
        <v>0.15555555600000001</v>
      </c>
      <c r="M97">
        <f t="shared" si="14"/>
        <v>0.56000000160000007</v>
      </c>
    </row>
    <row r="98" spans="1:13" x14ac:dyDescent="0.25">
      <c r="A98" s="9">
        <f>Speed!A98</f>
        <v>45701.282152777778</v>
      </c>
      <c r="B98" s="9">
        <f t="shared" si="9"/>
        <v>45701.282152777778</v>
      </c>
      <c r="C98" s="2">
        <f>Speed!B98</f>
        <v>3.6111111000000001E-2</v>
      </c>
      <c r="D98" s="9">
        <f>Odometer!A98</f>
        <v>45701.282476851855</v>
      </c>
      <c r="E98" s="9">
        <f t="shared" si="10"/>
        <v>45701.282476851848</v>
      </c>
      <c r="F98" s="2">
        <f>Odometer!B98</f>
        <v>428750521</v>
      </c>
      <c r="G98" s="2">
        <f t="shared" si="11"/>
        <v>9</v>
      </c>
      <c r="H98" s="2">
        <f>SUM($G$2:G98)</f>
        <v>632</v>
      </c>
      <c r="I98" s="10">
        <f t="shared" si="12"/>
        <v>45701.282152777778</v>
      </c>
      <c r="J98" s="10">
        <f t="shared" si="13"/>
        <v>45701.282152777778</v>
      </c>
      <c r="K98" s="3" t="e">
        <f t="shared" si="15"/>
        <v>#N/A</v>
      </c>
      <c r="L98">
        <f t="shared" si="8"/>
        <v>3.6111111000000001E-2</v>
      </c>
      <c r="M98">
        <f t="shared" si="14"/>
        <v>0.1299999996</v>
      </c>
    </row>
    <row r="99" spans="1:13" x14ac:dyDescent="0.25">
      <c r="A99" s="9">
        <f>Speed!A99</f>
        <v>45701.282164351855</v>
      </c>
      <c r="B99" s="9">
        <f t="shared" si="9"/>
        <v>45701.282164351847</v>
      </c>
      <c r="C99" s="2">
        <f>Speed!B99</f>
        <v>0</v>
      </c>
      <c r="D99" s="9">
        <f>Odometer!A99</f>
        <v>45701.282488425924</v>
      </c>
      <c r="E99" s="9">
        <f t="shared" si="10"/>
        <v>45701.282488425924</v>
      </c>
      <c r="F99" s="2">
        <f>Odometer!B99</f>
        <v>428750530</v>
      </c>
      <c r="G99" s="2">
        <f t="shared" si="11"/>
        <v>10</v>
      </c>
      <c r="H99" s="2">
        <f>SUM($G$2:G99)</f>
        <v>642</v>
      </c>
      <c r="I99" s="10">
        <f t="shared" si="12"/>
        <v>45701.282164351855</v>
      </c>
      <c r="J99" s="10">
        <f t="shared" si="13"/>
        <v>45701.282164351847</v>
      </c>
      <c r="K99" s="3" t="e">
        <f t="shared" si="15"/>
        <v>#N/A</v>
      </c>
      <c r="L99">
        <f t="shared" si="8"/>
        <v>0</v>
      </c>
      <c r="M99">
        <f t="shared" si="14"/>
        <v>0</v>
      </c>
    </row>
    <row r="100" spans="1:13" x14ac:dyDescent="0.25">
      <c r="A100" s="9">
        <f>Speed!A100</f>
        <v>45701.282395833332</v>
      </c>
      <c r="B100" s="9">
        <f t="shared" si="9"/>
        <v>45701.282395833332</v>
      </c>
      <c r="C100" s="2">
        <f>Speed!B100</f>
        <v>3.3333333E-2</v>
      </c>
      <c r="D100" s="9">
        <f>Odometer!A100</f>
        <v>45701.282500000001</v>
      </c>
      <c r="E100" s="9">
        <f t="shared" si="10"/>
        <v>45701.282500000001</v>
      </c>
      <c r="F100" s="2">
        <f>Odometer!B100</f>
        <v>428750540</v>
      </c>
      <c r="G100" s="2">
        <f t="shared" si="11"/>
        <v>11</v>
      </c>
      <c r="H100" s="2">
        <f>SUM($G$2:G100)</f>
        <v>653</v>
      </c>
      <c r="I100" s="10">
        <f t="shared" si="12"/>
        <v>45701.282395833332</v>
      </c>
      <c r="J100" s="10">
        <f t="shared" si="13"/>
        <v>45701.282395833332</v>
      </c>
      <c r="K100" s="3" t="e">
        <f t="shared" si="15"/>
        <v>#N/A</v>
      </c>
      <c r="L100">
        <f t="shared" si="8"/>
        <v>3.3333333E-2</v>
      </c>
      <c r="M100">
        <f t="shared" si="14"/>
        <v>0.11999999880000001</v>
      </c>
    </row>
    <row r="101" spans="1:13" x14ac:dyDescent="0.25">
      <c r="A101" s="9">
        <f>Speed!A101</f>
        <v>45701.282395833332</v>
      </c>
      <c r="B101" s="9">
        <f t="shared" si="9"/>
        <v>45701.282395833332</v>
      </c>
      <c r="C101" s="2">
        <f>Speed!B101</f>
        <v>0.86388888900000005</v>
      </c>
      <c r="D101" s="9">
        <f>Odometer!A101</f>
        <v>45701.282511574071</v>
      </c>
      <c r="E101" s="9">
        <f t="shared" si="10"/>
        <v>45701.282511574071</v>
      </c>
      <c r="F101" s="2">
        <f>Odometer!B101</f>
        <v>428750551</v>
      </c>
      <c r="G101" s="2">
        <f t="shared" si="11"/>
        <v>9</v>
      </c>
      <c r="H101" s="2">
        <f>SUM($G$2:G101)</f>
        <v>662</v>
      </c>
      <c r="I101" s="10">
        <f t="shared" si="12"/>
        <v>45701.282395833332</v>
      </c>
      <c r="J101" s="10">
        <f t="shared" si="13"/>
        <v>45701.282395833332</v>
      </c>
      <c r="K101" s="3" t="e">
        <f t="shared" si="15"/>
        <v>#N/A</v>
      </c>
      <c r="L101">
        <f t="shared" si="8"/>
        <v>3.3333333E-2</v>
      </c>
      <c r="M101">
        <f t="shared" si="14"/>
        <v>0.11999999880000001</v>
      </c>
    </row>
    <row r="102" spans="1:13" x14ac:dyDescent="0.25">
      <c r="A102" s="9">
        <f>Speed!A102</f>
        <v>45701.282407407409</v>
      </c>
      <c r="B102" s="9">
        <f t="shared" si="9"/>
        <v>45701.282407407409</v>
      </c>
      <c r="C102" s="2">
        <f>Speed!B102</f>
        <v>1.1944444439999999</v>
      </c>
      <c r="D102" s="9">
        <f>Odometer!A102</f>
        <v>45701.282511574071</v>
      </c>
      <c r="E102" s="9">
        <f t="shared" si="10"/>
        <v>45701.282511574071</v>
      </c>
      <c r="F102" s="2">
        <f>Odometer!B102</f>
        <v>428750560</v>
      </c>
      <c r="G102" s="2">
        <f t="shared" si="11"/>
        <v>3</v>
      </c>
      <c r="H102" s="2">
        <f>SUM($G$2:G102)</f>
        <v>665</v>
      </c>
      <c r="I102" s="10">
        <f t="shared" si="12"/>
        <v>45701.282407407409</v>
      </c>
      <c r="J102" s="10">
        <f t="shared" si="13"/>
        <v>45701.282407407409</v>
      </c>
      <c r="K102" s="3" t="e">
        <f t="shared" si="15"/>
        <v>#N/A</v>
      </c>
      <c r="L102">
        <f t="shared" si="8"/>
        <v>1.1944444439999999</v>
      </c>
      <c r="M102">
        <f t="shared" si="14"/>
        <v>4.2999999983999997</v>
      </c>
    </row>
    <row r="103" spans="1:13" x14ac:dyDescent="0.25">
      <c r="A103" s="9">
        <f>Speed!A103</f>
        <v>45701.282418981478</v>
      </c>
      <c r="B103" s="9">
        <f t="shared" si="9"/>
        <v>45701.282418981478</v>
      </c>
      <c r="C103" s="2">
        <f>Speed!B103</f>
        <v>2.483333333</v>
      </c>
      <c r="D103" s="9">
        <f>Odometer!A103</f>
        <v>45701.282523148147</v>
      </c>
      <c r="E103" s="9">
        <f t="shared" si="10"/>
        <v>45701.282523148147</v>
      </c>
      <c r="F103" s="2">
        <f>Odometer!B103</f>
        <v>428750563</v>
      </c>
      <c r="G103" s="2">
        <f t="shared" si="11"/>
        <v>1</v>
      </c>
      <c r="H103" s="2">
        <f>SUM($G$2:G103)</f>
        <v>666</v>
      </c>
      <c r="I103" s="10">
        <f t="shared" si="12"/>
        <v>45701.282418981478</v>
      </c>
      <c r="J103" s="10">
        <f t="shared" si="13"/>
        <v>45701.282418981478</v>
      </c>
      <c r="K103" s="3">
        <f t="shared" si="15"/>
        <v>597</v>
      </c>
      <c r="L103">
        <f t="shared" si="8"/>
        <v>2.483333333</v>
      </c>
      <c r="M103">
        <f t="shared" si="14"/>
        <v>8.9399999988000012</v>
      </c>
    </row>
    <row r="104" spans="1:13" x14ac:dyDescent="0.25">
      <c r="A104" s="9">
        <f>Speed!A104</f>
        <v>45701.282430555555</v>
      </c>
      <c r="B104" s="9">
        <f t="shared" si="9"/>
        <v>45701.282430555555</v>
      </c>
      <c r="C104" s="2">
        <f>Speed!B104</f>
        <v>3.8416666670000001</v>
      </c>
      <c r="D104" s="9">
        <f>Odometer!A104</f>
        <v>45701.282523148147</v>
      </c>
      <c r="E104" s="9">
        <f t="shared" si="10"/>
        <v>45701.282523148147</v>
      </c>
      <c r="F104" s="2">
        <f>Odometer!B104</f>
        <v>428750564</v>
      </c>
      <c r="G104" s="2">
        <f t="shared" si="11"/>
        <v>12</v>
      </c>
      <c r="H104" s="2">
        <f>SUM($G$2:G104)</f>
        <v>678</v>
      </c>
      <c r="I104" s="10">
        <f t="shared" si="12"/>
        <v>45701.282430555555</v>
      </c>
      <c r="J104" s="10">
        <f t="shared" si="13"/>
        <v>45701.282430555555</v>
      </c>
      <c r="K104" s="3">
        <f t="shared" si="15"/>
        <v>602</v>
      </c>
      <c r="L104">
        <f t="shared" si="8"/>
        <v>3.8416666670000001</v>
      </c>
      <c r="M104">
        <f t="shared" si="14"/>
        <v>13.8300000012</v>
      </c>
    </row>
    <row r="105" spans="1:13" x14ac:dyDescent="0.25">
      <c r="A105" s="9">
        <f>Speed!A105</f>
        <v>45701.282442129632</v>
      </c>
      <c r="B105" s="9">
        <f t="shared" si="9"/>
        <v>45701.282442129625</v>
      </c>
      <c r="C105" s="2">
        <f>Speed!B105</f>
        <v>5.1166666669999996</v>
      </c>
      <c r="D105" s="9">
        <f>Odometer!A105</f>
        <v>45701.282523148147</v>
      </c>
      <c r="E105" s="9">
        <f t="shared" si="10"/>
        <v>45701.282523148147</v>
      </c>
      <c r="F105" s="2">
        <f>Odometer!B105</f>
        <v>428750576</v>
      </c>
      <c r="G105" s="2">
        <f t="shared" si="11"/>
        <v>11</v>
      </c>
      <c r="H105" s="2">
        <f>SUM($G$2:G105)</f>
        <v>689</v>
      </c>
      <c r="I105" s="10">
        <f t="shared" si="12"/>
        <v>45701.282442129632</v>
      </c>
      <c r="J105" s="10">
        <f t="shared" si="13"/>
        <v>45701.282442129625</v>
      </c>
      <c r="K105" s="3">
        <f t="shared" si="15"/>
        <v>606</v>
      </c>
      <c r="L105">
        <f t="shared" si="8"/>
        <v>5.1166666669999996</v>
      </c>
      <c r="M105">
        <f t="shared" si="14"/>
        <v>18.420000001199998</v>
      </c>
    </row>
    <row r="106" spans="1:13" x14ac:dyDescent="0.25">
      <c r="A106" s="9">
        <f>Speed!A106</f>
        <v>45701.282442129632</v>
      </c>
      <c r="B106" s="9">
        <f t="shared" si="9"/>
        <v>45701.282442129625</v>
      </c>
      <c r="C106" s="2">
        <f>Speed!B106</f>
        <v>5.1888888890000002</v>
      </c>
      <c r="D106" s="9">
        <f>Odometer!A106</f>
        <v>45701.282546296294</v>
      </c>
      <c r="E106" s="9">
        <f t="shared" si="10"/>
        <v>45701.282546296294</v>
      </c>
      <c r="F106" s="2">
        <f>Odometer!B106</f>
        <v>428750587</v>
      </c>
      <c r="G106" s="2">
        <f t="shared" si="11"/>
        <v>13</v>
      </c>
      <c r="H106" s="2">
        <f>SUM($G$2:G106)</f>
        <v>702</v>
      </c>
      <c r="I106" s="10">
        <f t="shared" si="12"/>
        <v>45701.282442129632</v>
      </c>
      <c r="J106" s="10">
        <f t="shared" si="13"/>
        <v>45701.282442129625</v>
      </c>
      <c r="K106" s="3">
        <f t="shared" si="15"/>
        <v>606</v>
      </c>
      <c r="L106">
        <f t="shared" si="8"/>
        <v>5.1166666669999996</v>
      </c>
      <c r="M106">
        <f t="shared" si="14"/>
        <v>18.420000001199998</v>
      </c>
    </row>
    <row r="107" spans="1:13" x14ac:dyDescent="0.25">
      <c r="A107" s="9">
        <f>Speed!A107</f>
        <v>45701.282442129632</v>
      </c>
      <c r="B107" s="9">
        <f t="shared" si="9"/>
        <v>45701.282442129625</v>
      </c>
      <c r="C107" s="2">
        <f>Speed!B107</f>
        <v>6.0722222219999997</v>
      </c>
      <c r="D107" s="9">
        <f>Odometer!A107</f>
        <v>45701.282557870371</v>
      </c>
      <c r="E107" s="9">
        <f t="shared" si="10"/>
        <v>45701.282557870371</v>
      </c>
      <c r="F107" s="2">
        <f>Odometer!B107</f>
        <v>428750600</v>
      </c>
      <c r="G107" s="2">
        <f t="shared" si="11"/>
        <v>8</v>
      </c>
      <c r="H107" s="2">
        <f>SUM($G$2:G107)</f>
        <v>710</v>
      </c>
      <c r="I107" s="10">
        <f t="shared" si="12"/>
        <v>45701.282442129632</v>
      </c>
      <c r="J107" s="10">
        <f t="shared" si="13"/>
        <v>45701.282442129625</v>
      </c>
      <c r="K107" s="3">
        <f t="shared" si="15"/>
        <v>606</v>
      </c>
      <c r="L107">
        <f t="shared" si="8"/>
        <v>5.1166666669999996</v>
      </c>
      <c r="M107">
        <f t="shared" si="14"/>
        <v>18.420000001199998</v>
      </c>
    </row>
    <row r="108" spans="1:13" x14ac:dyDescent="0.25">
      <c r="A108" s="9">
        <f>Speed!A108</f>
        <v>45701.282453703701</v>
      </c>
      <c r="B108" s="9">
        <f t="shared" si="9"/>
        <v>45701.282453703701</v>
      </c>
      <c r="C108" s="2">
        <f>Speed!B108</f>
        <v>6.2361111109999996</v>
      </c>
      <c r="D108" s="9">
        <f>Odometer!A108</f>
        <v>45701.282557870371</v>
      </c>
      <c r="E108" s="9">
        <f t="shared" si="10"/>
        <v>45701.282557870371</v>
      </c>
      <c r="F108" s="2">
        <f>Odometer!B108</f>
        <v>428750608</v>
      </c>
      <c r="G108" s="2">
        <f t="shared" si="11"/>
        <v>4</v>
      </c>
      <c r="H108" s="2">
        <f>SUM($G$2:G108)</f>
        <v>714</v>
      </c>
      <c r="I108" s="10">
        <f t="shared" si="12"/>
        <v>45701.282453703701</v>
      </c>
      <c r="J108" s="10">
        <f t="shared" si="13"/>
        <v>45701.282453703701</v>
      </c>
      <c r="K108" s="3">
        <f t="shared" si="15"/>
        <v>615</v>
      </c>
      <c r="L108">
        <f t="shared" si="8"/>
        <v>6.2361111109999996</v>
      </c>
      <c r="M108">
        <f t="shared" si="14"/>
        <v>22.449999999599999</v>
      </c>
    </row>
    <row r="109" spans="1:13" x14ac:dyDescent="0.25">
      <c r="A109" s="9">
        <f>Speed!A109</f>
        <v>45701.282465277778</v>
      </c>
      <c r="B109" s="9">
        <f t="shared" si="9"/>
        <v>45701.282465277778</v>
      </c>
      <c r="C109" s="2">
        <f>Speed!B109</f>
        <v>7.6444444440000003</v>
      </c>
      <c r="D109" s="9">
        <f>Odometer!A109</f>
        <v>45701.282569444447</v>
      </c>
      <c r="E109" s="9">
        <f t="shared" si="10"/>
        <v>45701.28256944444</v>
      </c>
      <c r="F109" s="2">
        <f>Odometer!B109</f>
        <v>428750612</v>
      </c>
      <c r="G109" s="2">
        <f t="shared" si="11"/>
        <v>4</v>
      </c>
      <c r="H109" s="2">
        <f>SUM($G$2:G109)</f>
        <v>718</v>
      </c>
      <c r="I109" s="10">
        <f t="shared" si="12"/>
        <v>45701.282465277778</v>
      </c>
      <c r="J109" s="10">
        <f t="shared" si="13"/>
        <v>45701.282465277778</v>
      </c>
      <c r="K109" s="3">
        <f t="shared" si="15"/>
        <v>623</v>
      </c>
      <c r="L109">
        <f t="shared" si="8"/>
        <v>7.6444444440000003</v>
      </c>
      <c r="M109">
        <f t="shared" si="14"/>
        <v>27.519999998400003</v>
      </c>
    </row>
    <row r="110" spans="1:13" x14ac:dyDescent="0.25">
      <c r="A110" s="9">
        <f>Speed!A110</f>
        <v>45701.282476851855</v>
      </c>
      <c r="B110" s="9">
        <f t="shared" si="9"/>
        <v>45701.282476851848</v>
      </c>
      <c r="C110" s="2">
        <f>Speed!B110</f>
        <v>8.9</v>
      </c>
      <c r="D110" s="9">
        <f>Odometer!A110</f>
        <v>45701.282569444447</v>
      </c>
      <c r="E110" s="9">
        <f t="shared" si="10"/>
        <v>45701.28256944444</v>
      </c>
      <c r="F110" s="2">
        <f>Odometer!B110</f>
        <v>428750616</v>
      </c>
      <c r="G110" s="2">
        <f t="shared" si="11"/>
        <v>4</v>
      </c>
      <c r="H110" s="2">
        <f>SUM($G$2:G110)</f>
        <v>722</v>
      </c>
      <c r="I110" s="10">
        <f t="shared" si="12"/>
        <v>45701.282476851855</v>
      </c>
      <c r="J110" s="10">
        <f t="shared" si="13"/>
        <v>45701.282476851848</v>
      </c>
      <c r="K110" s="3">
        <f t="shared" si="15"/>
        <v>632</v>
      </c>
      <c r="L110">
        <f t="shared" si="8"/>
        <v>8.9</v>
      </c>
      <c r="M110">
        <f t="shared" si="14"/>
        <v>32.04</v>
      </c>
    </row>
    <row r="111" spans="1:13" x14ac:dyDescent="0.25">
      <c r="A111" s="9">
        <f>Speed!A111</f>
        <v>45701.282488425924</v>
      </c>
      <c r="B111" s="9">
        <f t="shared" si="9"/>
        <v>45701.282488425924</v>
      </c>
      <c r="C111" s="2">
        <f>Speed!B111</f>
        <v>9.7777777780000008</v>
      </c>
      <c r="D111" s="9">
        <f>Odometer!A111</f>
        <v>45701.282581018517</v>
      </c>
      <c r="E111" s="9">
        <f t="shared" si="10"/>
        <v>45701.282581018517</v>
      </c>
      <c r="F111" s="2">
        <f>Odometer!B111</f>
        <v>428750620</v>
      </c>
      <c r="G111" s="2">
        <f t="shared" si="11"/>
        <v>5</v>
      </c>
      <c r="H111" s="2">
        <f>SUM($G$2:G111)</f>
        <v>727</v>
      </c>
      <c r="I111" s="10">
        <f t="shared" si="12"/>
        <v>45701.282488425924</v>
      </c>
      <c r="J111" s="10">
        <f t="shared" si="13"/>
        <v>45701.282488425924</v>
      </c>
      <c r="K111" s="3">
        <f t="shared" si="15"/>
        <v>642</v>
      </c>
      <c r="L111">
        <f t="shared" si="8"/>
        <v>9.7777777780000008</v>
      </c>
      <c r="M111">
        <f t="shared" si="14"/>
        <v>35.200000000800003</v>
      </c>
    </row>
    <row r="112" spans="1:13" x14ac:dyDescent="0.25">
      <c r="A112" s="9">
        <f>Speed!A112</f>
        <v>45701.282500000001</v>
      </c>
      <c r="B112" s="9">
        <f t="shared" si="9"/>
        <v>45701.282500000001</v>
      </c>
      <c r="C112" s="2">
        <f>Speed!B112</f>
        <v>10.686111110000001</v>
      </c>
      <c r="D112" s="9">
        <f>Odometer!A112</f>
        <v>45701.282581018517</v>
      </c>
      <c r="E112" s="9">
        <f t="shared" si="10"/>
        <v>45701.282581018517</v>
      </c>
      <c r="F112" s="2">
        <f>Odometer!B112</f>
        <v>428750625</v>
      </c>
      <c r="G112" s="2">
        <f t="shared" si="11"/>
        <v>12</v>
      </c>
      <c r="H112" s="2">
        <f>SUM($G$2:G112)</f>
        <v>739</v>
      </c>
      <c r="I112" s="10">
        <f t="shared" si="12"/>
        <v>45701.282500000001</v>
      </c>
      <c r="J112" s="10">
        <f t="shared" si="13"/>
        <v>45701.282500000001</v>
      </c>
      <c r="K112" s="3">
        <f t="shared" si="15"/>
        <v>653</v>
      </c>
      <c r="L112">
        <f t="shared" si="8"/>
        <v>10.686111110000001</v>
      </c>
      <c r="M112">
        <f t="shared" si="14"/>
        <v>38.469999996000006</v>
      </c>
    </row>
    <row r="113" spans="1:13" x14ac:dyDescent="0.25">
      <c r="A113" s="9">
        <f>Speed!A113</f>
        <v>45701.282511574071</v>
      </c>
      <c r="B113" s="9">
        <f t="shared" si="9"/>
        <v>45701.282511574071</v>
      </c>
      <c r="C113" s="2">
        <f>Speed!B113</f>
        <v>11.54722222</v>
      </c>
      <c r="D113" s="9">
        <f>Odometer!A113</f>
        <v>45701.282592592594</v>
      </c>
      <c r="E113" s="9">
        <f t="shared" si="10"/>
        <v>45701.282592592594</v>
      </c>
      <c r="F113" s="2">
        <f>Odometer!B113</f>
        <v>428750637</v>
      </c>
      <c r="G113" s="2">
        <f t="shared" si="11"/>
        <v>12</v>
      </c>
      <c r="H113" s="2">
        <f>SUM($G$2:G113)</f>
        <v>751</v>
      </c>
      <c r="I113" s="10">
        <f t="shared" si="12"/>
        <v>45701.282511574071</v>
      </c>
      <c r="J113" s="10">
        <f t="shared" si="13"/>
        <v>45701.282511574071</v>
      </c>
      <c r="K113" s="3">
        <f t="shared" si="15"/>
        <v>662</v>
      </c>
      <c r="L113">
        <f t="shared" si="8"/>
        <v>11.54722222</v>
      </c>
      <c r="M113">
        <f t="shared" si="14"/>
        <v>41.569999992</v>
      </c>
    </row>
    <row r="114" spans="1:13" x14ac:dyDescent="0.25">
      <c r="A114" s="9">
        <f>Speed!A114</f>
        <v>45701.282511574071</v>
      </c>
      <c r="B114" s="9">
        <f t="shared" si="9"/>
        <v>45701.282511574071</v>
      </c>
      <c r="C114" s="2">
        <f>Speed!B114</f>
        <v>11.872222219999999</v>
      </c>
      <c r="D114" s="9">
        <f>Odometer!A114</f>
        <v>45701.282604166663</v>
      </c>
      <c r="E114" s="9">
        <f t="shared" si="10"/>
        <v>45701.282604166663</v>
      </c>
      <c r="F114" s="2">
        <f>Odometer!B114</f>
        <v>428750649</v>
      </c>
      <c r="G114" s="2">
        <f t="shared" si="11"/>
        <v>10</v>
      </c>
      <c r="H114" s="2">
        <f>SUM($G$2:G114)</f>
        <v>761</v>
      </c>
      <c r="I114" s="10">
        <f t="shared" si="12"/>
        <v>45701.282511574071</v>
      </c>
      <c r="J114" s="10">
        <f t="shared" si="13"/>
        <v>45701.282511574071</v>
      </c>
      <c r="K114" s="3">
        <f t="shared" si="15"/>
        <v>662</v>
      </c>
      <c r="L114">
        <f t="shared" si="8"/>
        <v>11.54722222</v>
      </c>
      <c r="M114">
        <f t="shared" si="14"/>
        <v>41.569999992</v>
      </c>
    </row>
    <row r="115" spans="1:13" x14ac:dyDescent="0.25">
      <c r="A115" s="9">
        <f>Speed!A115</f>
        <v>45701.282523148147</v>
      </c>
      <c r="B115" s="9">
        <f t="shared" si="9"/>
        <v>45701.282523148147</v>
      </c>
      <c r="C115" s="2">
        <f>Speed!B115</f>
        <v>11.91111111</v>
      </c>
      <c r="D115" s="9">
        <f>Odometer!A115</f>
        <v>45701.28261574074</v>
      </c>
      <c r="E115" s="9">
        <f t="shared" si="10"/>
        <v>45701.28261574074</v>
      </c>
      <c r="F115" s="2">
        <f>Odometer!B115</f>
        <v>428750659</v>
      </c>
      <c r="G115" s="2">
        <f t="shared" si="11"/>
        <v>11</v>
      </c>
      <c r="H115" s="2">
        <f>SUM($G$2:G115)</f>
        <v>772</v>
      </c>
      <c r="I115" s="10">
        <f t="shared" si="12"/>
        <v>45701.282523148147</v>
      </c>
      <c r="J115" s="10">
        <f t="shared" si="13"/>
        <v>45701.282523148147</v>
      </c>
      <c r="K115" s="3">
        <f t="shared" si="15"/>
        <v>666</v>
      </c>
      <c r="L115">
        <f t="shared" si="8"/>
        <v>11.91111111</v>
      </c>
      <c r="M115">
        <f t="shared" si="14"/>
        <v>42.879999996000002</v>
      </c>
    </row>
    <row r="116" spans="1:13" x14ac:dyDescent="0.25">
      <c r="A116" s="9">
        <f>Speed!A116</f>
        <v>45701.282523148147</v>
      </c>
      <c r="B116" s="9">
        <f t="shared" si="9"/>
        <v>45701.282523148147</v>
      </c>
      <c r="C116" s="2">
        <f>Speed!B116</f>
        <v>11.919444439999999</v>
      </c>
      <c r="D116" s="9">
        <f>Odometer!A116</f>
        <v>45701.282627314817</v>
      </c>
      <c r="E116" s="9">
        <f t="shared" si="10"/>
        <v>45701.282627314809</v>
      </c>
      <c r="F116" s="2">
        <f>Odometer!B116</f>
        <v>428750670</v>
      </c>
      <c r="G116" s="2">
        <f t="shared" si="11"/>
        <v>13</v>
      </c>
      <c r="H116" s="2">
        <f>SUM($G$2:G116)</f>
        <v>785</v>
      </c>
      <c r="I116" s="10">
        <f t="shared" si="12"/>
        <v>45701.282523148147</v>
      </c>
      <c r="J116" s="10">
        <f t="shared" si="13"/>
        <v>45701.282523148147</v>
      </c>
      <c r="K116" s="3">
        <f t="shared" si="15"/>
        <v>666</v>
      </c>
      <c r="L116">
        <f t="shared" si="8"/>
        <v>11.91111111</v>
      </c>
      <c r="M116">
        <f t="shared" si="14"/>
        <v>42.879999996000002</v>
      </c>
    </row>
    <row r="117" spans="1:13" x14ac:dyDescent="0.25">
      <c r="A117" s="9">
        <f>Speed!A117</f>
        <v>45701.282534722224</v>
      </c>
      <c r="B117" s="9">
        <f t="shared" si="9"/>
        <v>45701.282534722217</v>
      </c>
      <c r="C117" s="2">
        <f>Speed!B117</f>
        <v>12.141666669999999</v>
      </c>
      <c r="D117" s="9">
        <f>Odometer!A117</f>
        <v>45701.282638888886</v>
      </c>
      <c r="E117" s="9">
        <f t="shared" si="10"/>
        <v>45701.282638888886</v>
      </c>
      <c r="F117" s="2">
        <f>Odometer!B117</f>
        <v>428750683</v>
      </c>
      <c r="G117" s="2">
        <f t="shared" si="11"/>
        <v>9</v>
      </c>
      <c r="H117" s="2">
        <f>SUM($G$2:G117)</f>
        <v>794</v>
      </c>
      <c r="I117" s="10">
        <f t="shared" si="12"/>
        <v>45701.282534722224</v>
      </c>
      <c r="J117" s="10">
        <f t="shared" si="13"/>
        <v>45701.282534722217</v>
      </c>
      <c r="K117" s="3" t="e">
        <f t="shared" si="15"/>
        <v>#N/A</v>
      </c>
      <c r="L117">
        <f t="shared" si="8"/>
        <v>12.141666669999999</v>
      </c>
      <c r="M117">
        <f t="shared" si="14"/>
        <v>43.710000012000002</v>
      </c>
    </row>
    <row r="118" spans="1:13" x14ac:dyDescent="0.25">
      <c r="A118" s="9">
        <f>Speed!A118</f>
        <v>45701.282546296294</v>
      </c>
      <c r="B118" s="9">
        <f t="shared" si="9"/>
        <v>45701.282546296294</v>
      </c>
      <c r="C118" s="2">
        <f>Speed!B118</f>
        <v>12.35</v>
      </c>
      <c r="D118" s="9">
        <f>Odometer!A118</f>
        <v>45701.282650462963</v>
      </c>
      <c r="E118" s="9">
        <f t="shared" si="10"/>
        <v>45701.282650462963</v>
      </c>
      <c r="F118" s="2">
        <f>Odometer!B118</f>
        <v>428750692</v>
      </c>
      <c r="G118" s="2">
        <f t="shared" si="11"/>
        <v>8</v>
      </c>
      <c r="H118" s="2">
        <f>SUM($G$2:G118)</f>
        <v>802</v>
      </c>
      <c r="I118" s="10">
        <f t="shared" si="12"/>
        <v>45701.282546296294</v>
      </c>
      <c r="J118" s="10">
        <f t="shared" si="13"/>
        <v>45701.282546296294</v>
      </c>
      <c r="K118" s="3">
        <f t="shared" si="15"/>
        <v>702</v>
      </c>
      <c r="L118">
        <f t="shared" si="8"/>
        <v>12.35</v>
      </c>
      <c r="M118">
        <f t="shared" si="14"/>
        <v>44.46</v>
      </c>
    </row>
    <row r="119" spans="1:13" x14ac:dyDescent="0.25">
      <c r="A119" s="9">
        <f>Speed!A119</f>
        <v>45701.282557870371</v>
      </c>
      <c r="B119" s="9">
        <f t="shared" si="9"/>
        <v>45701.282557870371</v>
      </c>
      <c r="C119" s="2">
        <f>Speed!B119</f>
        <v>12.563888889999999</v>
      </c>
      <c r="D119" s="9">
        <f>Odometer!A119</f>
        <v>45701.28266203704</v>
      </c>
      <c r="E119" s="9">
        <f t="shared" si="10"/>
        <v>45701.282662037032</v>
      </c>
      <c r="F119" s="2">
        <f>Odometer!B119</f>
        <v>428750700</v>
      </c>
      <c r="G119" s="2">
        <f t="shared" si="11"/>
        <v>2</v>
      </c>
      <c r="H119" s="2">
        <f>SUM($G$2:G119)</f>
        <v>804</v>
      </c>
      <c r="I119" s="10">
        <f t="shared" si="12"/>
        <v>45701.282557870371</v>
      </c>
      <c r="J119" s="10">
        <f t="shared" si="13"/>
        <v>45701.282557870371</v>
      </c>
      <c r="K119" s="3">
        <f t="shared" si="15"/>
        <v>710</v>
      </c>
      <c r="L119">
        <f t="shared" si="8"/>
        <v>12.563888889999999</v>
      </c>
      <c r="M119">
        <f t="shared" si="14"/>
        <v>45.230000003999997</v>
      </c>
    </row>
    <row r="120" spans="1:13" x14ac:dyDescent="0.25">
      <c r="A120" s="9">
        <f>Speed!A120</f>
        <v>45701.282557870371</v>
      </c>
      <c r="B120" s="9">
        <f t="shared" si="9"/>
        <v>45701.282557870371</v>
      </c>
      <c r="C120" s="2">
        <f>Speed!B120</f>
        <v>12.59166667</v>
      </c>
      <c r="D120" s="9">
        <f>Odometer!A120</f>
        <v>45701.28266203704</v>
      </c>
      <c r="E120" s="9">
        <f t="shared" si="10"/>
        <v>45701.282662037032</v>
      </c>
      <c r="F120" s="2">
        <f>Odometer!B120</f>
        <v>428750702</v>
      </c>
      <c r="G120" s="2">
        <f t="shared" si="11"/>
        <v>3</v>
      </c>
      <c r="H120" s="2">
        <f>SUM($G$2:G120)</f>
        <v>807</v>
      </c>
      <c r="I120" s="10">
        <f t="shared" si="12"/>
        <v>45701.282557870371</v>
      </c>
      <c r="J120" s="10">
        <f t="shared" si="13"/>
        <v>45701.282557870371</v>
      </c>
      <c r="K120" s="3">
        <f t="shared" si="15"/>
        <v>710</v>
      </c>
      <c r="L120">
        <f t="shared" si="8"/>
        <v>12.563888889999999</v>
      </c>
      <c r="M120">
        <f t="shared" si="14"/>
        <v>45.230000003999997</v>
      </c>
    </row>
    <row r="121" spans="1:13" x14ac:dyDescent="0.25">
      <c r="A121" s="9">
        <f>Speed!A121</f>
        <v>45701.282569444447</v>
      </c>
      <c r="B121" s="9">
        <f t="shared" si="9"/>
        <v>45701.28256944444</v>
      </c>
      <c r="C121" s="2">
        <f>Speed!B121</f>
        <v>12.53055556</v>
      </c>
      <c r="D121" s="9">
        <f>Odometer!A121</f>
        <v>45701.28266203704</v>
      </c>
      <c r="E121" s="9">
        <f t="shared" si="10"/>
        <v>45701.282662037032</v>
      </c>
      <c r="F121" s="2">
        <f>Odometer!B121</f>
        <v>428750705</v>
      </c>
      <c r="G121" s="2">
        <f t="shared" si="11"/>
        <v>6</v>
      </c>
      <c r="H121" s="2">
        <f>SUM($G$2:G121)</f>
        <v>813</v>
      </c>
      <c r="I121" s="10">
        <f t="shared" si="12"/>
        <v>45701.282569444447</v>
      </c>
      <c r="J121" s="10">
        <f t="shared" si="13"/>
        <v>45701.28256944444</v>
      </c>
      <c r="K121" s="3">
        <f t="shared" si="15"/>
        <v>718</v>
      </c>
      <c r="L121">
        <f t="shared" si="8"/>
        <v>12.53055556</v>
      </c>
      <c r="M121">
        <f t="shared" si="14"/>
        <v>45.110000016000001</v>
      </c>
    </row>
    <row r="122" spans="1:13" x14ac:dyDescent="0.25">
      <c r="A122" s="9">
        <f>Speed!A122</f>
        <v>45701.282569444447</v>
      </c>
      <c r="B122" s="9">
        <f t="shared" si="9"/>
        <v>45701.28256944444</v>
      </c>
      <c r="C122" s="2">
        <f>Speed!B122</f>
        <v>12.48888889</v>
      </c>
      <c r="D122" s="9">
        <f>Odometer!A122</f>
        <v>45701.28266203704</v>
      </c>
      <c r="E122" s="9">
        <f t="shared" si="10"/>
        <v>45701.282662037032</v>
      </c>
      <c r="F122" s="2">
        <f>Odometer!B122</f>
        <v>428750711</v>
      </c>
      <c r="G122" s="2">
        <f t="shared" si="11"/>
        <v>11</v>
      </c>
      <c r="H122" s="2">
        <f>SUM($G$2:G122)</f>
        <v>824</v>
      </c>
      <c r="I122" s="10">
        <f t="shared" si="12"/>
        <v>45701.282569444447</v>
      </c>
      <c r="J122" s="10">
        <f t="shared" si="13"/>
        <v>45701.28256944444</v>
      </c>
      <c r="K122" s="3">
        <f t="shared" si="15"/>
        <v>718</v>
      </c>
      <c r="L122">
        <f t="shared" si="8"/>
        <v>12.53055556</v>
      </c>
      <c r="M122">
        <f t="shared" si="14"/>
        <v>45.110000016000001</v>
      </c>
    </row>
    <row r="123" spans="1:13" x14ac:dyDescent="0.25">
      <c r="A123" s="9">
        <f>Speed!A123</f>
        <v>45701.282581018517</v>
      </c>
      <c r="B123" s="9">
        <f t="shared" si="9"/>
        <v>45701.282581018517</v>
      </c>
      <c r="C123" s="2">
        <f>Speed!B123</f>
        <v>12.425000000000001</v>
      </c>
      <c r="D123" s="9">
        <f>Odometer!A123</f>
        <v>45701.282685185186</v>
      </c>
      <c r="E123" s="9">
        <f t="shared" si="10"/>
        <v>45701.282685185186</v>
      </c>
      <c r="F123" s="2">
        <f>Odometer!B123</f>
        <v>428750722</v>
      </c>
      <c r="G123" s="2">
        <f t="shared" si="11"/>
        <v>10</v>
      </c>
      <c r="H123" s="2">
        <f>SUM($G$2:G123)</f>
        <v>834</v>
      </c>
      <c r="I123" s="10">
        <f t="shared" si="12"/>
        <v>45701.282581018517</v>
      </c>
      <c r="J123" s="10">
        <f t="shared" si="13"/>
        <v>45701.282581018517</v>
      </c>
      <c r="K123" s="3">
        <f t="shared" si="15"/>
        <v>727</v>
      </c>
      <c r="L123">
        <f t="shared" si="8"/>
        <v>12.425000000000001</v>
      </c>
      <c r="M123">
        <f t="shared" si="14"/>
        <v>44.730000000000004</v>
      </c>
    </row>
    <row r="124" spans="1:13" x14ac:dyDescent="0.25">
      <c r="A124" s="9">
        <f>Speed!A124</f>
        <v>45701.282581018517</v>
      </c>
      <c r="B124" s="9">
        <f t="shared" si="9"/>
        <v>45701.282581018517</v>
      </c>
      <c r="C124" s="2">
        <f>Speed!B124</f>
        <v>12.28611111</v>
      </c>
      <c r="D124" s="9">
        <f>Odometer!A124</f>
        <v>45701.282696759263</v>
      </c>
      <c r="E124" s="9">
        <f t="shared" si="10"/>
        <v>45701.282696759255</v>
      </c>
      <c r="F124" s="2">
        <f>Odometer!B124</f>
        <v>428750732</v>
      </c>
      <c r="G124" s="2">
        <f t="shared" si="11"/>
        <v>21</v>
      </c>
      <c r="H124" s="2">
        <f>SUM($G$2:G124)</f>
        <v>855</v>
      </c>
      <c r="I124" s="10">
        <f t="shared" si="12"/>
        <v>45701.282581018517</v>
      </c>
      <c r="J124" s="10">
        <f t="shared" si="13"/>
        <v>45701.282581018517</v>
      </c>
      <c r="K124" s="3">
        <f t="shared" si="15"/>
        <v>727</v>
      </c>
      <c r="L124">
        <f t="shared" si="8"/>
        <v>12.425000000000001</v>
      </c>
      <c r="M124">
        <f t="shared" si="14"/>
        <v>44.730000000000004</v>
      </c>
    </row>
    <row r="125" spans="1:13" x14ac:dyDescent="0.25">
      <c r="A125" s="9">
        <f>Speed!A125</f>
        <v>45701.282592592594</v>
      </c>
      <c r="B125" s="9">
        <f t="shared" si="9"/>
        <v>45701.282592592594</v>
      </c>
      <c r="C125" s="2">
        <f>Speed!B125</f>
        <v>11.79166667</v>
      </c>
      <c r="D125" s="9">
        <f>Odometer!A125</f>
        <v>45701.282719907409</v>
      </c>
      <c r="E125" s="9">
        <f t="shared" si="10"/>
        <v>45701.282719907402</v>
      </c>
      <c r="F125" s="2">
        <f>Odometer!B125</f>
        <v>428750753</v>
      </c>
      <c r="G125" s="2">
        <f t="shared" si="11"/>
        <v>10</v>
      </c>
      <c r="H125" s="2">
        <f>SUM($G$2:G125)</f>
        <v>865</v>
      </c>
      <c r="I125" s="10">
        <f t="shared" si="12"/>
        <v>45701.282592592594</v>
      </c>
      <c r="J125" s="10">
        <f t="shared" si="13"/>
        <v>45701.282592592594</v>
      </c>
      <c r="K125" s="3">
        <f t="shared" si="15"/>
        <v>751</v>
      </c>
      <c r="L125">
        <f t="shared" si="8"/>
        <v>11.79166667</v>
      </c>
      <c r="M125">
        <f t="shared" si="14"/>
        <v>42.450000011999997</v>
      </c>
    </row>
    <row r="126" spans="1:13" x14ac:dyDescent="0.25">
      <c r="A126" s="9">
        <f>Speed!A126</f>
        <v>45701.282604166663</v>
      </c>
      <c r="B126" s="9">
        <f t="shared" si="9"/>
        <v>45701.282604166663</v>
      </c>
      <c r="C126" s="2">
        <f>Speed!B126</f>
        <v>11.255555559999999</v>
      </c>
      <c r="D126" s="9">
        <f>Odometer!A126</f>
        <v>45701.282731481479</v>
      </c>
      <c r="E126" s="9">
        <f t="shared" si="10"/>
        <v>45701.282731481479</v>
      </c>
      <c r="F126" s="2">
        <f>Odometer!B126</f>
        <v>428750763</v>
      </c>
      <c r="G126" s="2">
        <f t="shared" si="11"/>
        <v>9</v>
      </c>
      <c r="H126" s="2">
        <f>SUM($G$2:G126)</f>
        <v>874</v>
      </c>
      <c r="I126" s="10">
        <f t="shared" si="12"/>
        <v>45701.282604166663</v>
      </c>
      <c r="J126" s="10">
        <f t="shared" si="13"/>
        <v>45701.282604166663</v>
      </c>
      <c r="K126" s="3">
        <f t="shared" si="15"/>
        <v>761</v>
      </c>
      <c r="L126">
        <f t="shared" si="8"/>
        <v>11.255555559999999</v>
      </c>
      <c r="M126">
        <f t="shared" si="14"/>
        <v>40.520000015999997</v>
      </c>
    </row>
    <row r="127" spans="1:13" x14ac:dyDescent="0.25">
      <c r="A127" s="9">
        <f>Speed!A127</f>
        <v>45701.28261574074</v>
      </c>
      <c r="B127" s="9">
        <f t="shared" si="9"/>
        <v>45701.28261574074</v>
      </c>
      <c r="C127" s="2">
        <f>Speed!B127</f>
        <v>10.96944444</v>
      </c>
      <c r="D127" s="9">
        <f>Odometer!A127</f>
        <v>45701.282743055555</v>
      </c>
      <c r="E127" s="9">
        <f t="shared" si="10"/>
        <v>45701.282743055555</v>
      </c>
      <c r="F127" s="2">
        <f>Odometer!B127</f>
        <v>428750772</v>
      </c>
      <c r="G127" s="2">
        <f t="shared" si="11"/>
        <v>11</v>
      </c>
      <c r="H127" s="2">
        <f>SUM($G$2:G127)</f>
        <v>885</v>
      </c>
      <c r="I127" s="10">
        <f t="shared" si="12"/>
        <v>45701.28261574074</v>
      </c>
      <c r="J127" s="10">
        <f t="shared" si="13"/>
        <v>45701.28261574074</v>
      </c>
      <c r="K127" s="3">
        <f t="shared" si="15"/>
        <v>772</v>
      </c>
      <c r="L127">
        <f t="shared" si="8"/>
        <v>10.96944444</v>
      </c>
      <c r="M127">
        <f t="shared" si="14"/>
        <v>39.489999984000001</v>
      </c>
    </row>
    <row r="128" spans="1:13" x14ac:dyDescent="0.25">
      <c r="A128" s="9">
        <f>Speed!A128</f>
        <v>45701.282627314817</v>
      </c>
      <c r="B128" s="9">
        <f t="shared" si="9"/>
        <v>45701.282627314809</v>
      </c>
      <c r="C128" s="2">
        <f>Speed!B128</f>
        <v>10.730555560000001</v>
      </c>
      <c r="D128" s="9">
        <f>Odometer!A128</f>
        <v>45701.282754629632</v>
      </c>
      <c r="E128" s="9">
        <f t="shared" si="10"/>
        <v>45701.282754629625</v>
      </c>
      <c r="F128" s="2">
        <f>Odometer!B128</f>
        <v>428750783</v>
      </c>
      <c r="G128" s="2">
        <f t="shared" si="11"/>
        <v>10</v>
      </c>
      <c r="H128" s="2">
        <f>SUM($G$2:G128)</f>
        <v>895</v>
      </c>
      <c r="I128" s="10">
        <f t="shared" si="12"/>
        <v>45701.282627314817</v>
      </c>
      <c r="J128" s="10">
        <f t="shared" si="13"/>
        <v>45701.282627314809</v>
      </c>
      <c r="K128" s="3">
        <f t="shared" si="15"/>
        <v>785</v>
      </c>
      <c r="L128">
        <f t="shared" si="8"/>
        <v>10.730555560000001</v>
      </c>
      <c r="M128">
        <f t="shared" si="14"/>
        <v>38.630000016000004</v>
      </c>
    </row>
    <row r="129" spans="1:13" x14ac:dyDescent="0.25">
      <c r="A129" s="9">
        <f>Speed!A129</f>
        <v>45701.282638888886</v>
      </c>
      <c r="B129" s="9">
        <f t="shared" si="9"/>
        <v>45701.282638888886</v>
      </c>
      <c r="C129" s="2">
        <f>Speed!B129</f>
        <v>10.502777780000001</v>
      </c>
      <c r="D129" s="9">
        <f>Odometer!A129</f>
        <v>45701.282766203702</v>
      </c>
      <c r="E129" s="9">
        <f t="shared" si="10"/>
        <v>45701.282766203702</v>
      </c>
      <c r="F129" s="2">
        <f>Odometer!B129</f>
        <v>428750793</v>
      </c>
      <c r="G129" s="2">
        <f t="shared" si="11"/>
        <v>10</v>
      </c>
      <c r="H129" s="2">
        <f>SUM($G$2:G129)</f>
        <v>905</v>
      </c>
      <c r="I129" s="10">
        <f t="shared" si="12"/>
        <v>45701.282638888886</v>
      </c>
      <c r="J129" s="10">
        <f t="shared" si="13"/>
        <v>45701.282638888886</v>
      </c>
      <c r="K129" s="3">
        <f t="shared" si="15"/>
        <v>794</v>
      </c>
      <c r="L129">
        <f t="shared" si="8"/>
        <v>10.502777780000001</v>
      </c>
      <c r="M129">
        <f t="shared" si="14"/>
        <v>37.810000008000003</v>
      </c>
    </row>
    <row r="130" spans="1:13" x14ac:dyDescent="0.25">
      <c r="A130" s="9">
        <f>Speed!A130</f>
        <v>45701.282650462963</v>
      </c>
      <c r="B130" s="9">
        <f t="shared" si="9"/>
        <v>45701.282650462963</v>
      </c>
      <c r="C130" s="2">
        <f>Speed!B130</f>
        <v>10.35</v>
      </c>
      <c r="D130" s="9">
        <f>Odometer!A130</f>
        <v>45701.282777777778</v>
      </c>
      <c r="E130" s="9">
        <f t="shared" si="10"/>
        <v>45701.282777777778</v>
      </c>
      <c r="F130" s="2">
        <f>Odometer!B130</f>
        <v>428750803</v>
      </c>
      <c r="G130" s="2">
        <f t="shared" si="11"/>
        <v>10</v>
      </c>
      <c r="H130" s="2">
        <f>SUM($G$2:G130)</f>
        <v>915</v>
      </c>
      <c r="I130" s="10">
        <f t="shared" si="12"/>
        <v>45701.282650462963</v>
      </c>
      <c r="J130" s="10">
        <f t="shared" si="13"/>
        <v>45701.282650462963</v>
      </c>
      <c r="K130" s="3">
        <f t="shared" si="15"/>
        <v>802</v>
      </c>
      <c r="L130">
        <f t="shared" ref="L130:L193" si="16">INDEX($C$2:$C$2000, MATCH(I130,$A$2:$A$2000,0))</f>
        <v>10.35</v>
      </c>
      <c r="M130">
        <f t="shared" si="14"/>
        <v>37.26</v>
      </c>
    </row>
    <row r="131" spans="1:13" x14ac:dyDescent="0.25">
      <c r="A131" s="9">
        <f>Speed!A131</f>
        <v>45701.28266203704</v>
      </c>
      <c r="B131" s="9">
        <f t="shared" ref="B131:B194" si="17">MROUND(A131,"00:00:01")</f>
        <v>45701.282662037032</v>
      </c>
      <c r="C131" s="2">
        <f>Speed!B131</f>
        <v>10.23888889</v>
      </c>
      <c r="D131" s="9">
        <f>Odometer!A131</f>
        <v>45701.282789351855</v>
      </c>
      <c r="E131" s="9">
        <f t="shared" ref="E131:E194" si="18">MROUND(D131,"00:00:01")</f>
        <v>45701.282789351848</v>
      </c>
      <c r="F131" s="2">
        <f>Odometer!B131</f>
        <v>428750813</v>
      </c>
      <c r="G131" s="2">
        <f t="shared" ref="G131:G194" si="19">IF(F132-F131&lt;0,0,F132-F131)</f>
        <v>11</v>
      </c>
      <c r="H131" s="2">
        <f>SUM($G$2:G131)</f>
        <v>926</v>
      </c>
      <c r="I131" s="10">
        <f t="shared" ref="I131:I194" si="20">A131</f>
        <v>45701.28266203704</v>
      </c>
      <c r="J131" s="10">
        <f t="shared" ref="J131:J194" si="21">MROUND(I131,"0:00:01")</f>
        <v>45701.282662037032</v>
      </c>
      <c r="K131" s="3">
        <f t="shared" si="15"/>
        <v>804</v>
      </c>
      <c r="L131">
        <f t="shared" si="16"/>
        <v>10.23888889</v>
      </c>
      <c r="M131">
        <f t="shared" ref="M131:M194" si="22">L131*3.6</f>
        <v>36.860000004</v>
      </c>
    </row>
    <row r="132" spans="1:13" x14ac:dyDescent="0.25">
      <c r="A132" s="9">
        <f>Speed!A132</f>
        <v>45701.28266203704</v>
      </c>
      <c r="B132" s="9">
        <f t="shared" si="17"/>
        <v>45701.282662037032</v>
      </c>
      <c r="C132" s="2">
        <f>Speed!B132</f>
        <v>10.19444444</v>
      </c>
      <c r="D132" s="9">
        <f>Odometer!A132</f>
        <v>45701.282789351855</v>
      </c>
      <c r="E132" s="9">
        <f t="shared" si="18"/>
        <v>45701.282789351848</v>
      </c>
      <c r="F132" s="2">
        <f>Odometer!B132</f>
        <v>428750824</v>
      </c>
      <c r="G132" s="2">
        <f t="shared" si="19"/>
        <v>14</v>
      </c>
      <c r="H132" s="2">
        <f>SUM($G$2:G132)</f>
        <v>940</v>
      </c>
      <c r="I132" s="10">
        <f t="shared" si="20"/>
        <v>45701.28266203704</v>
      </c>
      <c r="J132" s="10">
        <f t="shared" si="21"/>
        <v>45701.282662037032</v>
      </c>
      <c r="K132" s="3">
        <f t="shared" ref="K132:K195" si="23">IFERROR(INDEX($H$2:$H$2000,MATCH(J132,$E$2:$E$2000,0)),NA())</f>
        <v>804</v>
      </c>
      <c r="L132">
        <f t="shared" si="16"/>
        <v>10.23888889</v>
      </c>
      <c r="M132">
        <f t="shared" si="22"/>
        <v>36.860000004</v>
      </c>
    </row>
    <row r="133" spans="1:13" x14ac:dyDescent="0.25">
      <c r="A133" s="9">
        <f>Speed!A133</f>
        <v>45701.28266203704</v>
      </c>
      <c r="B133" s="9">
        <f t="shared" si="17"/>
        <v>45701.282662037032</v>
      </c>
      <c r="C133" s="2">
        <f>Speed!B133</f>
        <v>10.13888889</v>
      </c>
      <c r="D133" s="9">
        <f>Odometer!A133</f>
        <v>45701.282812500001</v>
      </c>
      <c r="E133" s="9">
        <f t="shared" si="18"/>
        <v>45701.282812499994</v>
      </c>
      <c r="F133" s="2">
        <f>Odometer!B133</f>
        <v>428750838</v>
      </c>
      <c r="G133" s="2">
        <f t="shared" si="19"/>
        <v>14</v>
      </c>
      <c r="H133" s="2">
        <f>SUM($G$2:G133)</f>
        <v>954</v>
      </c>
      <c r="I133" s="10">
        <f t="shared" si="20"/>
        <v>45701.28266203704</v>
      </c>
      <c r="J133" s="10">
        <f t="shared" si="21"/>
        <v>45701.282662037032</v>
      </c>
      <c r="K133" s="3">
        <f t="shared" si="23"/>
        <v>804</v>
      </c>
      <c r="L133">
        <f t="shared" si="16"/>
        <v>10.23888889</v>
      </c>
      <c r="M133">
        <f t="shared" si="22"/>
        <v>36.860000004</v>
      </c>
    </row>
    <row r="134" spans="1:13" x14ac:dyDescent="0.25">
      <c r="A134" s="9">
        <f>Speed!A134</f>
        <v>45701.28266203704</v>
      </c>
      <c r="B134" s="9">
        <f t="shared" si="17"/>
        <v>45701.282662037032</v>
      </c>
      <c r="C134" s="2">
        <f>Speed!B134</f>
        <v>10.1</v>
      </c>
      <c r="D134" s="9">
        <f>Odometer!A134</f>
        <v>45701.282824074071</v>
      </c>
      <c r="E134" s="9">
        <f t="shared" si="18"/>
        <v>45701.282824074071</v>
      </c>
      <c r="F134" s="2">
        <f>Odometer!B134</f>
        <v>428750852</v>
      </c>
      <c r="G134" s="2">
        <f t="shared" si="19"/>
        <v>1</v>
      </c>
      <c r="H134" s="2">
        <f>SUM($G$2:G134)</f>
        <v>955</v>
      </c>
      <c r="I134" s="10">
        <f t="shared" si="20"/>
        <v>45701.28266203704</v>
      </c>
      <c r="J134" s="10">
        <f t="shared" si="21"/>
        <v>45701.282662037032</v>
      </c>
      <c r="K134" s="3">
        <f t="shared" si="23"/>
        <v>804</v>
      </c>
      <c r="L134">
        <f t="shared" si="16"/>
        <v>10.23888889</v>
      </c>
      <c r="M134">
        <f t="shared" si="22"/>
        <v>36.860000004</v>
      </c>
    </row>
    <row r="135" spans="1:13" x14ac:dyDescent="0.25">
      <c r="A135" s="9">
        <f>Speed!A135</f>
        <v>45701.282685185186</v>
      </c>
      <c r="B135" s="9">
        <f t="shared" si="17"/>
        <v>45701.282685185186</v>
      </c>
      <c r="C135" s="2">
        <f>Speed!B135</f>
        <v>10.08333333</v>
      </c>
      <c r="D135" s="9">
        <f>Odometer!A135</f>
        <v>45701.282824074071</v>
      </c>
      <c r="E135" s="9">
        <f t="shared" si="18"/>
        <v>45701.282824074071</v>
      </c>
      <c r="F135" s="2">
        <f>Odometer!B135</f>
        <v>428750853</v>
      </c>
      <c r="G135" s="2">
        <f t="shared" si="19"/>
        <v>13</v>
      </c>
      <c r="H135" s="2">
        <f>SUM($G$2:G135)</f>
        <v>968</v>
      </c>
      <c r="I135" s="10">
        <f t="shared" si="20"/>
        <v>45701.282685185186</v>
      </c>
      <c r="J135" s="10">
        <f t="shared" si="21"/>
        <v>45701.282685185186</v>
      </c>
      <c r="K135" s="3">
        <f t="shared" si="23"/>
        <v>834</v>
      </c>
      <c r="L135">
        <f t="shared" si="16"/>
        <v>10.08333333</v>
      </c>
      <c r="M135">
        <f t="shared" si="22"/>
        <v>36.299999988000003</v>
      </c>
    </row>
    <row r="136" spans="1:13" x14ac:dyDescent="0.25">
      <c r="A136" s="9">
        <f>Speed!A136</f>
        <v>45701.282696759263</v>
      </c>
      <c r="B136" s="9">
        <f t="shared" si="17"/>
        <v>45701.282696759255</v>
      </c>
      <c r="C136" s="2">
        <f>Speed!B136</f>
        <v>10.105555560000001</v>
      </c>
      <c r="D136" s="9">
        <f>Odometer!A136</f>
        <v>45701.282835648148</v>
      </c>
      <c r="E136" s="9">
        <f t="shared" si="18"/>
        <v>45701.282835648148</v>
      </c>
      <c r="F136" s="2">
        <f>Odometer!B136</f>
        <v>428750866</v>
      </c>
      <c r="G136" s="2">
        <f t="shared" si="19"/>
        <v>15</v>
      </c>
      <c r="H136" s="2">
        <f>SUM($G$2:G136)</f>
        <v>983</v>
      </c>
      <c r="I136" s="10">
        <f t="shared" si="20"/>
        <v>45701.282696759263</v>
      </c>
      <c r="J136" s="10">
        <f t="shared" si="21"/>
        <v>45701.282696759255</v>
      </c>
      <c r="K136" s="3">
        <f t="shared" si="23"/>
        <v>855</v>
      </c>
      <c r="L136">
        <f t="shared" si="16"/>
        <v>10.105555560000001</v>
      </c>
      <c r="M136">
        <f t="shared" si="22"/>
        <v>36.380000016000004</v>
      </c>
    </row>
    <row r="137" spans="1:13" x14ac:dyDescent="0.25">
      <c r="A137" s="9">
        <f>Speed!A137</f>
        <v>45701.282719907409</v>
      </c>
      <c r="B137" s="9">
        <f t="shared" si="17"/>
        <v>45701.282719907402</v>
      </c>
      <c r="C137" s="2">
        <f>Speed!B137</f>
        <v>10.108333330000001</v>
      </c>
      <c r="D137" s="9">
        <f>Odometer!A137</f>
        <v>45701.282847222225</v>
      </c>
      <c r="E137" s="9">
        <f t="shared" si="18"/>
        <v>45701.282847222217</v>
      </c>
      <c r="F137" s="2">
        <f>Odometer!B137</f>
        <v>428750881</v>
      </c>
      <c r="G137" s="2">
        <f t="shared" si="19"/>
        <v>13</v>
      </c>
      <c r="H137" s="2">
        <f>SUM($G$2:G137)</f>
        <v>996</v>
      </c>
      <c r="I137" s="10">
        <f t="shared" si="20"/>
        <v>45701.282719907409</v>
      </c>
      <c r="J137" s="10">
        <f t="shared" si="21"/>
        <v>45701.282719907402</v>
      </c>
      <c r="K137" s="3">
        <f t="shared" si="23"/>
        <v>865</v>
      </c>
      <c r="L137">
        <f t="shared" si="16"/>
        <v>10.108333330000001</v>
      </c>
      <c r="M137">
        <f t="shared" si="22"/>
        <v>36.389999988000007</v>
      </c>
    </row>
    <row r="138" spans="1:13" x14ac:dyDescent="0.25">
      <c r="A138" s="9">
        <f>Speed!A138</f>
        <v>45701.282731481479</v>
      </c>
      <c r="B138" s="9">
        <f t="shared" si="17"/>
        <v>45701.282731481479</v>
      </c>
      <c r="C138" s="2">
        <f>Speed!B138</f>
        <v>10.125</v>
      </c>
      <c r="D138" s="9">
        <f>Odometer!A138</f>
        <v>45701.282858796294</v>
      </c>
      <c r="E138" s="9">
        <f t="shared" si="18"/>
        <v>45701.282858796294</v>
      </c>
      <c r="F138" s="2">
        <f>Odometer!B138</f>
        <v>428750894</v>
      </c>
      <c r="G138" s="2">
        <f t="shared" si="19"/>
        <v>15</v>
      </c>
      <c r="H138" s="2">
        <f>SUM($G$2:G138)</f>
        <v>1011</v>
      </c>
      <c r="I138" s="10">
        <f t="shared" si="20"/>
        <v>45701.282731481479</v>
      </c>
      <c r="J138" s="10">
        <f t="shared" si="21"/>
        <v>45701.282731481479</v>
      </c>
      <c r="K138" s="3">
        <f t="shared" si="23"/>
        <v>874</v>
      </c>
      <c r="L138">
        <f t="shared" si="16"/>
        <v>10.125</v>
      </c>
      <c r="M138">
        <f t="shared" si="22"/>
        <v>36.450000000000003</v>
      </c>
    </row>
    <row r="139" spans="1:13" x14ac:dyDescent="0.25">
      <c r="A139" s="9">
        <f>Speed!A139</f>
        <v>45701.282743055555</v>
      </c>
      <c r="B139" s="9">
        <f t="shared" si="17"/>
        <v>45701.282743055555</v>
      </c>
      <c r="C139" s="2">
        <f>Speed!B139</f>
        <v>10.127777780000001</v>
      </c>
      <c r="D139" s="9">
        <f>Odometer!A139</f>
        <v>45701.282858796294</v>
      </c>
      <c r="E139" s="9">
        <f t="shared" si="18"/>
        <v>45701.282858796294</v>
      </c>
      <c r="F139" s="2">
        <f>Odometer!B139</f>
        <v>428750909</v>
      </c>
      <c r="G139" s="2">
        <f t="shared" si="19"/>
        <v>1</v>
      </c>
      <c r="H139" s="2">
        <f>SUM($G$2:G139)</f>
        <v>1012</v>
      </c>
      <c r="I139" s="10">
        <f t="shared" si="20"/>
        <v>45701.282743055555</v>
      </c>
      <c r="J139" s="10">
        <f t="shared" si="21"/>
        <v>45701.282743055555</v>
      </c>
      <c r="K139" s="3">
        <f t="shared" si="23"/>
        <v>885</v>
      </c>
      <c r="L139">
        <f t="shared" si="16"/>
        <v>10.127777780000001</v>
      </c>
      <c r="M139">
        <f t="shared" si="22"/>
        <v>36.460000008000002</v>
      </c>
    </row>
    <row r="140" spans="1:13" x14ac:dyDescent="0.25">
      <c r="A140" s="9">
        <f>Speed!A140</f>
        <v>45701.282754629632</v>
      </c>
      <c r="B140" s="9">
        <f t="shared" si="17"/>
        <v>45701.282754629625</v>
      </c>
      <c r="C140" s="2">
        <f>Speed!B140</f>
        <v>10.09166667</v>
      </c>
      <c r="D140" s="9">
        <f>Odometer!A140</f>
        <v>45701.282870370371</v>
      </c>
      <c r="E140" s="9">
        <f t="shared" si="18"/>
        <v>45701.282870370371</v>
      </c>
      <c r="F140" s="2">
        <f>Odometer!B140</f>
        <v>428750910</v>
      </c>
      <c r="G140" s="2">
        <f t="shared" si="19"/>
        <v>15</v>
      </c>
      <c r="H140" s="2">
        <f>SUM($G$2:G140)</f>
        <v>1027</v>
      </c>
      <c r="I140" s="10">
        <f t="shared" si="20"/>
        <v>45701.282754629632</v>
      </c>
      <c r="J140" s="10">
        <f t="shared" si="21"/>
        <v>45701.282754629625</v>
      </c>
      <c r="K140" s="3">
        <f t="shared" si="23"/>
        <v>895</v>
      </c>
      <c r="L140">
        <f t="shared" si="16"/>
        <v>10.09166667</v>
      </c>
      <c r="M140">
        <f t="shared" si="22"/>
        <v>36.330000011999999</v>
      </c>
    </row>
    <row r="141" spans="1:13" x14ac:dyDescent="0.25">
      <c r="A141" s="9">
        <f>Speed!A141</f>
        <v>45701.282766203702</v>
      </c>
      <c r="B141" s="9">
        <f t="shared" si="17"/>
        <v>45701.282766203702</v>
      </c>
      <c r="C141" s="2">
        <f>Speed!B141</f>
        <v>10.06944444</v>
      </c>
      <c r="D141" s="9">
        <f>Odometer!A141</f>
        <v>45701.282881944448</v>
      </c>
      <c r="E141" s="9">
        <f t="shared" si="18"/>
        <v>45701.28288194444</v>
      </c>
      <c r="F141" s="2">
        <f>Odometer!B141</f>
        <v>428750925</v>
      </c>
      <c r="G141" s="2">
        <f t="shared" si="19"/>
        <v>1</v>
      </c>
      <c r="H141" s="2">
        <f>SUM($G$2:G141)</f>
        <v>1028</v>
      </c>
      <c r="I141" s="10">
        <f t="shared" si="20"/>
        <v>45701.282766203702</v>
      </c>
      <c r="J141" s="10">
        <f t="shared" si="21"/>
        <v>45701.282766203702</v>
      </c>
      <c r="K141" s="3">
        <f t="shared" si="23"/>
        <v>905</v>
      </c>
      <c r="L141">
        <f t="shared" si="16"/>
        <v>10.06944444</v>
      </c>
      <c r="M141">
        <f t="shared" si="22"/>
        <v>36.249999983999999</v>
      </c>
    </row>
    <row r="142" spans="1:13" x14ac:dyDescent="0.25">
      <c r="A142" s="9">
        <f>Speed!A142</f>
        <v>45701.282777777778</v>
      </c>
      <c r="B142" s="9">
        <f t="shared" si="17"/>
        <v>45701.282777777778</v>
      </c>
      <c r="C142" s="2">
        <f>Speed!B142</f>
        <v>10.175000000000001</v>
      </c>
      <c r="D142" s="9">
        <f>Odometer!A142</f>
        <v>45701.282881944448</v>
      </c>
      <c r="E142" s="9">
        <f t="shared" si="18"/>
        <v>45701.28288194444</v>
      </c>
      <c r="F142" s="2">
        <f>Odometer!B142</f>
        <v>428750926</v>
      </c>
      <c r="G142" s="2">
        <f t="shared" si="19"/>
        <v>13</v>
      </c>
      <c r="H142" s="2">
        <f>SUM($G$2:G142)</f>
        <v>1041</v>
      </c>
      <c r="I142" s="10">
        <f t="shared" si="20"/>
        <v>45701.282777777778</v>
      </c>
      <c r="J142" s="10">
        <f t="shared" si="21"/>
        <v>45701.282777777778</v>
      </c>
      <c r="K142" s="3">
        <f t="shared" si="23"/>
        <v>915</v>
      </c>
      <c r="L142">
        <f t="shared" si="16"/>
        <v>10.175000000000001</v>
      </c>
      <c r="M142">
        <f t="shared" si="22"/>
        <v>36.630000000000003</v>
      </c>
    </row>
    <row r="143" spans="1:13" x14ac:dyDescent="0.25">
      <c r="A143" s="9">
        <f>Speed!A143</f>
        <v>45701.282789351855</v>
      </c>
      <c r="B143" s="9">
        <f t="shared" si="17"/>
        <v>45701.282789351848</v>
      </c>
      <c r="C143" s="2">
        <f>Speed!B143</f>
        <v>11.019444439999999</v>
      </c>
      <c r="D143" s="9">
        <f>Odometer!A143</f>
        <v>45701.282893518517</v>
      </c>
      <c r="E143" s="9">
        <f t="shared" si="18"/>
        <v>45701.282893518517</v>
      </c>
      <c r="F143" s="2">
        <f>Odometer!B143</f>
        <v>428750939</v>
      </c>
      <c r="G143" s="2">
        <f t="shared" si="19"/>
        <v>16</v>
      </c>
      <c r="H143" s="2">
        <f>SUM($G$2:G143)</f>
        <v>1057</v>
      </c>
      <c r="I143" s="10">
        <f t="shared" si="20"/>
        <v>45701.282789351855</v>
      </c>
      <c r="J143" s="10">
        <f t="shared" si="21"/>
        <v>45701.282789351848</v>
      </c>
      <c r="K143" s="3">
        <f t="shared" si="23"/>
        <v>926</v>
      </c>
      <c r="L143">
        <f t="shared" si="16"/>
        <v>11.019444439999999</v>
      </c>
      <c r="M143">
        <f t="shared" si="22"/>
        <v>39.669999984</v>
      </c>
    </row>
    <row r="144" spans="1:13" x14ac:dyDescent="0.25">
      <c r="A144" s="9">
        <f>Speed!A144</f>
        <v>45701.282789351855</v>
      </c>
      <c r="B144" s="9">
        <f t="shared" si="17"/>
        <v>45701.282789351848</v>
      </c>
      <c r="C144" s="2">
        <f>Speed!B144</f>
        <v>12.266666669999999</v>
      </c>
      <c r="D144" s="9">
        <f>Odometer!A144</f>
        <v>45701.282905092594</v>
      </c>
      <c r="E144" s="9">
        <f t="shared" si="18"/>
        <v>45701.282905092594</v>
      </c>
      <c r="F144" s="2">
        <f>Odometer!B144</f>
        <v>428750955</v>
      </c>
      <c r="G144" s="2">
        <f t="shared" si="19"/>
        <v>16</v>
      </c>
      <c r="H144" s="2">
        <f>SUM($G$2:G144)</f>
        <v>1073</v>
      </c>
      <c r="I144" s="10">
        <f t="shared" si="20"/>
        <v>45701.282789351855</v>
      </c>
      <c r="J144" s="10">
        <f t="shared" si="21"/>
        <v>45701.282789351848</v>
      </c>
      <c r="K144" s="3">
        <f t="shared" si="23"/>
        <v>926</v>
      </c>
      <c r="L144">
        <f t="shared" si="16"/>
        <v>11.019444439999999</v>
      </c>
      <c r="M144">
        <f t="shared" si="22"/>
        <v>39.669999984</v>
      </c>
    </row>
    <row r="145" spans="1:13" x14ac:dyDescent="0.25">
      <c r="A145" s="9">
        <f>Speed!A145</f>
        <v>45701.282812500001</v>
      </c>
      <c r="B145" s="9">
        <f t="shared" si="17"/>
        <v>45701.282812499994</v>
      </c>
      <c r="C145" s="2">
        <f>Speed!B145</f>
        <v>13.369444440000001</v>
      </c>
      <c r="D145" s="9">
        <f>Odometer!A145</f>
        <v>45701.282916666663</v>
      </c>
      <c r="E145" s="9">
        <f t="shared" si="18"/>
        <v>45701.282916666663</v>
      </c>
      <c r="F145" s="2">
        <f>Odometer!B145</f>
        <v>428750971</v>
      </c>
      <c r="G145" s="2">
        <f t="shared" si="19"/>
        <v>15</v>
      </c>
      <c r="H145" s="2">
        <f>SUM($G$2:G145)</f>
        <v>1088</v>
      </c>
      <c r="I145" s="10">
        <f t="shared" si="20"/>
        <v>45701.282812500001</v>
      </c>
      <c r="J145" s="10">
        <f t="shared" si="21"/>
        <v>45701.282812499994</v>
      </c>
      <c r="K145" s="3">
        <f t="shared" si="23"/>
        <v>954</v>
      </c>
      <c r="L145">
        <f t="shared" si="16"/>
        <v>13.369444440000001</v>
      </c>
      <c r="M145">
        <f t="shared" si="22"/>
        <v>48.129999984000001</v>
      </c>
    </row>
    <row r="146" spans="1:13" x14ac:dyDescent="0.25">
      <c r="A146" s="9">
        <f>Speed!A146</f>
        <v>45701.282824074071</v>
      </c>
      <c r="B146" s="9">
        <f t="shared" si="17"/>
        <v>45701.282824074071</v>
      </c>
      <c r="C146" s="2">
        <f>Speed!B146</f>
        <v>13.83333333</v>
      </c>
      <c r="D146" s="9">
        <f>Odometer!A146</f>
        <v>45701.28292824074</v>
      </c>
      <c r="E146" s="9">
        <f t="shared" si="18"/>
        <v>45701.28292824074</v>
      </c>
      <c r="F146" s="2">
        <f>Odometer!B146</f>
        <v>428750986</v>
      </c>
      <c r="G146" s="2">
        <f t="shared" si="19"/>
        <v>14</v>
      </c>
      <c r="H146" s="2">
        <f>SUM($G$2:G146)</f>
        <v>1102</v>
      </c>
      <c r="I146" s="10">
        <f t="shared" si="20"/>
        <v>45701.282824074071</v>
      </c>
      <c r="J146" s="10">
        <f t="shared" si="21"/>
        <v>45701.282824074071</v>
      </c>
      <c r="K146" s="3">
        <f t="shared" si="23"/>
        <v>955</v>
      </c>
      <c r="L146">
        <f t="shared" si="16"/>
        <v>13.83333333</v>
      </c>
      <c r="M146">
        <f t="shared" si="22"/>
        <v>49.799999988000003</v>
      </c>
    </row>
    <row r="147" spans="1:13" x14ac:dyDescent="0.25">
      <c r="A147" s="9">
        <f>Speed!A147</f>
        <v>45701.282824074071</v>
      </c>
      <c r="B147" s="9">
        <f t="shared" si="17"/>
        <v>45701.282824074071</v>
      </c>
      <c r="C147" s="2">
        <f>Speed!B147</f>
        <v>13.85277778</v>
      </c>
      <c r="D147" s="9">
        <f>Odometer!A147</f>
        <v>45701.282939814817</v>
      </c>
      <c r="E147" s="9">
        <f t="shared" si="18"/>
        <v>45701.28293981481</v>
      </c>
      <c r="F147" s="2">
        <f>Odometer!B147</f>
        <v>428751000</v>
      </c>
      <c r="G147" s="2">
        <f t="shared" si="19"/>
        <v>1</v>
      </c>
      <c r="H147" s="2">
        <f>SUM($G$2:G147)</f>
        <v>1103</v>
      </c>
      <c r="I147" s="10">
        <f t="shared" si="20"/>
        <v>45701.282824074071</v>
      </c>
      <c r="J147" s="10">
        <f t="shared" si="21"/>
        <v>45701.282824074071</v>
      </c>
      <c r="K147" s="3">
        <f t="shared" si="23"/>
        <v>955</v>
      </c>
      <c r="L147">
        <f t="shared" si="16"/>
        <v>13.83333333</v>
      </c>
      <c r="M147">
        <f t="shared" si="22"/>
        <v>49.799999988000003</v>
      </c>
    </row>
    <row r="148" spans="1:13" x14ac:dyDescent="0.25">
      <c r="A148" s="9">
        <f>Speed!A148</f>
        <v>45701.282835648148</v>
      </c>
      <c r="B148" s="9">
        <f t="shared" si="17"/>
        <v>45701.282835648148</v>
      </c>
      <c r="C148" s="2">
        <f>Speed!B148</f>
        <v>14.21388889</v>
      </c>
      <c r="D148" s="9">
        <f>Odometer!A148</f>
        <v>45701.282939814817</v>
      </c>
      <c r="E148" s="9">
        <f t="shared" si="18"/>
        <v>45701.28293981481</v>
      </c>
      <c r="F148" s="2">
        <f>Odometer!B148</f>
        <v>428751001</v>
      </c>
      <c r="G148" s="2">
        <f t="shared" si="19"/>
        <v>14</v>
      </c>
      <c r="H148" s="2">
        <f>SUM($G$2:G148)</f>
        <v>1117</v>
      </c>
      <c r="I148" s="10">
        <f t="shared" si="20"/>
        <v>45701.282835648148</v>
      </c>
      <c r="J148" s="10">
        <f t="shared" si="21"/>
        <v>45701.282835648148</v>
      </c>
      <c r="K148" s="3">
        <f t="shared" si="23"/>
        <v>983</v>
      </c>
      <c r="L148">
        <f t="shared" si="16"/>
        <v>14.21388889</v>
      </c>
      <c r="M148">
        <f t="shared" si="22"/>
        <v>51.170000004000002</v>
      </c>
    </row>
    <row r="149" spans="1:13" x14ac:dyDescent="0.25">
      <c r="A149" s="9">
        <f>Speed!A149</f>
        <v>45701.282835648148</v>
      </c>
      <c r="B149" s="9">
        <f t="shared" si="17"/>
        <v>45701.282835648148</v>
      </c>
      <c r="C149" s="2">
        <f>Speed!B149</f>
        <v>14.19166667</v>
      </c>
      <c r="D149" s="9">
        <f>Odometer!A149</f>
        <v>45701.282951388886</v>
      </c>
      <c r="E149" s="9">
        <f t="shared" si="18"/>
        <v>45701.282951388886</v>
      </c>
      <c r="F149" s="2">
        <f>Odometer!B149</f>
        <v>428751015</v>
      </c>
      <c r="G149" s="2">
        <f t="shared" si="19"/>
        <v>15</v>
      </c>
      <c r="H149" s="2">
        <f>SUM($G$2:G149)</f>
        <v>1132</v>
      </c>
      <c r="I149" s="10">
        <f t="shared" si="20"/>
        <v>45701.282835648148</v>
      </c>
      <c r="J149" s="10">
        <f t="shared" si="21"/>
        <v>45701.282835648148</v>
      </c>
      <c r="K149" s="3">
        <f t="shared" si="23"/>
        <v>983</v>
      </c>
      <c r="L149">
        <f t="shared" si="16"/>
        <v>14.21388889</v>
      </c>
      <c r="M149">
        <f t="shared" si="22"/>
        <v>51.170000004000002</v>
      </c>
    </row>
    <row r="150" spans="1:13" x14ac:dyDescent="0.25">
      <c r="A150" s="9">
        <f>Speed!A150</f>
        <v>45701.282847222225</v>
      </c>
      <c r="B150" s="9">
        <f t="shared" si="17"/>
        <v>45701.282847222217</v>
      </c>
      <c r="C150" s="2">
        <f>Speed!B150</f>
        <v>14.580555560000001</v>
      </c>
      <c r="D150" s="9">
        <f>Odometer!A150</f>
        <v>45701.282962962963</v>
      </c>
      <c r="E150" s="9">
        <f t="shared" si="18"/>
        <v>45701.282962962963</v>
      </c>
      <c r="F150" s="2">
        <f>Odometer!B150</f>
        <v>428751030</v>
      </c>
      <c r="G150" s="2">
        <f t="shared" si="19"/>
        <v>10</v>
      </c>
      <c r="H150" s="2">
        <f>SUM($G$2:G150)</f>
        <v>1142</v>
      </c>
      <c r="I150" s="10">
        <f t="shared" si="20"/>
        <v>45701.282847222225</v>
      </c>
      <c r="J150" s="10">
        <f t="shared" si="21"/>
        <v>45701.282847222217</v>
      </c>
      <c r="K150" s="3">
        <f t="shared" si="23"/>
        <v>996</v>
      </c>
      <c r="L150">
        <f t="shared" si="16"/>
        <v>14.580555560000001</v>
      </c>
      <c r="M150">
        <f t="shared" si="22"/>
        <v>52.490000016000003</v>
      </c>
    </row>
    <row r="151" spans="1:13" x14ac:dyDescent="0.25">
      <c r="A151" s="9">
        <f>Speed!A151</f>
        <v>45701.282858796294</v>
      </c>
      <c r="B151" s="9">
        <f t="shared" si="17"/>
        <v>45701.282858796294</v>
      </c>
      <c r="C151" s="2">
        <f>Speed!B151</f>
        <v>14.86111111</v>
      </c>
      <c r="D151" s="9">
        <f>Odometer!A151</f>
        <v>45701.282962962963</v>
      </c>
      <c r="E151" s="9">
        <f t="shared" si="18"/>
        <v>45701.282962962963</v>
      </c>
      <c r="F151" s="2">
        <f>Odometer!B151</f>
        <v>428751040</v>
      </c>
      <c r="G151" s="2">
        <f t="shared" si="19"/>
        <v>5</v>
      </c>
      <c r="H151" s="2">
        <f>SUM($G$2:G151)</f>
        <v>1147</v>
      </c>
      <c r="I151" s="10">
        <f t="shared" si="20"/>
        <v>45701.282858796294</v>
      </c>
      <c r="J151" s="10">
        <f t="shared" si="21"/>
        <v>45701.282858796294</v>
      </c>
      <c r="K151" s="3">
        <f t="shared" si="23"/>
        <v>1011</v>
      </c>
      <c r="L151">
        <f t="shared" si="16"/>
        <v>14.86111111</v>
      </c>
      <c r="M151">
        <f t="shared" si="22"/>
        <v>53.499999996</v>
      </c>
    </row>
    <row r="152" spans="1:13" x14ac:dyDescent="0.25">
      <c r="A152" s="9">
        <f>Speed!A152</f>
        <v>45701.282858796294</v>
      </c>
      <c r="B152" s="9">
        <f t="shared" si="17"/>
        <v>45701.282858796294</v>
      </c>
      <c r="C152" s="2">
        <f>Speed!B152</f>
        <v>15.13888889</v>
      </c>
      <c r="D152" s="9">
        <f>Odometer!A152</f>
        <v>45701.28297453704</v>
      </c>
      <c r="E152" s="9">
        <f t="shared" si="18"/>
        <v>45701.282974537033</v>
      </c>
      <c r="F152" s="2">
        <f>Odometer!B152</f>
        <v>428751045</v>
      </c>
      <c r="G152" s="2">
        <f t="shared" si="19"/>
        <v>4</v>
      </c>
      <c r="H152" s="2">
        <f>SUM($G$2:G152)</f>
        <v>1151</v>
      </c>
      <c r="I152" s="10">
        <f t="shared" si="20"/>
        <v>45701.282858796294</v>
      </c>
      <c r="J152" s="10">
        <f t="shared" si="21"/>
        <v>45701.282858796294</v>
      </c>
      <c r="K152" s="3">
        <f t="shared" si="23"/>
        <v>1011</v>
      </c>
      <c r="L152">
        <f t="shared" si="16"/>
        <v>14.86111111</v>
      </c>
      <c r="M152">
        <f t="shared" si="22"/>
        <v>53.499999996</v>
      </c>
    </row>
    <row r="153" spans="1:13" x14ac:dyDescent="0.25">
      <c r="A153" s="9">
        <f>Speed!A153</f>
        <v>45701.282870370371</v>
      </c>
      <c r="B153" s="9">
        <f t="shared" si="17"/>
        <v>45701.282870370371</v>
      </c>
      <c r="C153" s="2">
        <f>Speed!B153</f>
        <v>15.15</v>
      </c>
      <c r="D153" s="9">
        <f>Odometer!A153</f>
        <v>45701.28297453704</v>
      </c>
      <c r="E153" s="9">
        <f t="shared" si="18"/>
        <v>45701.282974537033</v>
      </c>
      <c r="F153" s="2">
        <f>Odometer!B153</f>
        <v>428751049</v>
      </c>
      <c r="G153" s="2">
        <f t="shared" si="19"/>
        <v>10</v>
      </c>
      <c r="H153" s="2">
        <f>SUM($G$2:G153)</f>
        <v>1161</v>
      </c>
      <c r="I153" s="10">
        <f t="shared" si="20"/>
        <v>45701.282870370371</v>
      </c>
      <c r="J153" s="10">
        <f t="shared" si="21"/>
        <v>45701.282870370371</v>
      </c>
      <c r="K153" s="3">
        <f t="shared" si="23"/>
        <v>1027</v>
      </c>
      <c r="L153">
        <f t="shared" si="16"/>
        <v>15.15</v>
      </c>
      <c r="M153">
        <f t="shared" si="22"/>
        <v>54.54</v>
      </c>
    </row>
    <row r="154" spans="1:13" x14ac:dyDescent="0.25">
      <c r="A154" s="9">
        <f>Speed!A154</f>
        <v>45701.282881944448</v>
      </c>
      <c r="B154" s="9">
        <f t="shared" si="17"/>
        <v>45701.28288194444</v>
      </c>
      <c r="C154" s="2">
        <f>Speed!B154</f>
        <v>15.133333329999999</v>
      </c>
      <c r="D154" s="9">
        <f>Odometer!A154</f>
        <v>45701.282986111109</v>
      </c>
      <c r="E154" s="9">
        <f t="shared" si="18"/>
        <v>45701.282986111109</v>
      </c>
      <c r="F154" s="2">
        <f>Odometer!B154</f>
        <v>428751059</v>
      </c>
      <c r="G154" s="2">
        <f t="shared" si="19"/>
        <v>15</v>
      </c>
      <c r="H154" s="2">
        <f>SUM($G$2:G154)</f>
        <v>1176</v>
      </c>
      <c r="I154" s="10">
        <f t="shared" si="20"/>
        <v>45701.282881944448</v>
      </c>
      <c r="J154" s="10">
        <f t="shared" si="21"/>
        <v>45701.28288194444</v>
      </c>
      <c r="K154" s="3">
        <f t="shared" si="23"/>
        <v>1028</v>
      </c>
      <c r="L154">
        <f t="shared" si="16"/>
        <v>15.133333329999999</v>
      </c>
      <c r="M154">
        <f t="shared" si="22"/>
        <v>54.479999987999996</v>
      </c>
    </row>
    <row r="155" spans="1:13" x14ac:dyDescent="0.25">
      <c r="A155" s="9">
        <f>Speed!A155</f>
        <v>45701.282881944448</v>
      </c>
      <c r="B155" s="9">
        <f t="shared" si="17"/>
        <v>45701.28288194444</v>
      </c>
      <c r="C155" s="2">
        <f>Speed!B155</f>
        <v>15.130555559999999</v>
      </c>
      <c r="D155" s="9">
        <f>Odometer!A155</f>
        <v>45701.282997685186</v>
      </c>
      <c r="E155" s="9">
        <f t="shared" si="18"/>
        <v>45701.282997685186</v>
      </c>
      <c r="F155" s="2">
        <f>Odometer!B155</f>
        <v>428751074</v>
      </c>
      <c r="G155" s="2">
        <f t="shared" si="19"/>
        <v>15</v>
      </c>
      <c r="H155" s="2">
        <f>SUM($G$2:G155)</f>
        <v>1191</v>
      </c>
      <c r="I155" s="10">
        <f t="shared" si="20"/>
        <v>45701.282881944448</v>
      </c>
      <c r="J155" s="10">
        <f t="shared" si="21"/>
        <v>45701.28288194444</v>
      </c>
      <c r="K155" s="3">
        <f t="shared" si="23"/>
        <v>1028</v>
      </c>
      <c r="L155">
        <f t="shared" si="16"/>
        <v>15.133333329999999</v>
      </c>
      <c r="M155">
        <f t="shared" si="22"/>
        <v>54.479999987999996</v>
      </c>
    </row>
    <row r="156" spans="1:13" x14ac:dyDescent="0.25">
      <c r="A156" s="9">
        <f>Speed!A156</f>
        <v>45701.282893518517</v>
      </c>
      <c r="B156" s="9">
        <f t="shared" si="17"/>
        <v>45701.282893518517</v>
      </c>
      <c r="C156" s="2">
        <f>Speed!B156</f>
        <v>15.15833333</v>
      </c>
      <c r="D156" s="9">
        <f>Odometer!A156</f>
        <v>45701.283009259256</v>
      </c>
      <c r="E156" s="9">
        <f t="shared" si="18"/>
        <v>45701.283009259256</v>
      </c>
      <c r="F156" s="2">
        <f>Odometer!B156</f>
        <v>428751089</v>
      </c>
      <c r="G156" s="2">
        <f t="shared" si="19"/>
        <v>13</v>
      </c>
      <c r="H156" s="2">
        <f>SUM($G$2:G156)</f>
        <v>1204</v>
      </c>
      <c r="I156" s="10">
        <f t="shared" si="20"/>
        <v>45701.282893518517</v>
      </c>
      <c r="J156" s="10">
        <f t="shared" si="21"/>
        <v>45701.282893518517</v>
      </c>
      <c r="K156" s="3">
        <f t="shared" si="23"/>
        <v>1057</v>
      </c>
      <c r="L156">
        <f t="shared" si="16"/>
        <v>15.15833333</v>
      </c>
      <c r="M156">
        <f t="shared" si="22"/>
        <v>54.569999987999999</v>
      </c>
    </row>
    <row r="157" spans="1:13" x14ac:dyDescent="0.25">
      <c r="A157" s="9">
        <f>Speed!A157</f>
        <v>45701.282905092594</v>
      </c>
      <c r="B157" s="9">
        <f t="shared" si="17"/>
        <v>45701.282905092594</v>
      </c>
      <c r="C157" s="2">
        <f>Speed!B157</f>
        <v>15</v>
      </c>
      <c r="D157" s="9">
        <f>Odometer!A157</f>
        <v>45701.283020833333</v>
      </c>
      <c r="E157" s="9">
        <f t="shared" si="18"/>
        <v>45701.283020833333</v>
      </c>
      <c r="F157" s="2">
        <f>Odometer!B157</f>
        <v>428751102</v>
      </c>
      <c r="G157" s="2">
        <f t="shared" si="19"/>
        <v>12</v>
      </c>
      <c r="H157" s="2">
        <f>SUM($G$2:G157)</f>
        <v>1216</v>
      </c>
      <c r="I157" s="10">
        <f t="shared" si="20"/>
        <v>45701.282905092594</v>
      </c>
      <c r="J157" s="10">
        <f t="shared" si="21"/>
        <v>45701.282905092594</v>
      </c>
      <c r="K157" s="3">
        <f t="shared" si="23"/>
        <v>1073</v>
      </c>
      <c r="L157">
        <f t="shared" si="16"/>
        <v>15</v>
      </c>
      <c r="M157">
        <f t="shared" si="22"/>
        <v>54</v>
      </c>
    </row>
    <row r="158" spans="1:13" x14ac:dyDescent="0.25">
      <c r="A158" s="9">
        <f>Speed!A158</f>
        <v>45701.282916666663</v>
      </c>
      <c r="B158" s="9">
        <f t="shared" si="17"/>
        <v>45701.282916666663</v>
      </c>
      <c r="C158" s="2">
        <f>Speed!B158</f>
        <v>14.938888889999999</v>
      </c>
      <c r="D158" s="9">
        <f>Odometer!A158</f>
        <v>45701.283020833333</v>
      </c>
      <c r="E158" s="9">
        <f t="shared" si="18"/>
        <v>45701.283020833333</v>
      </c>
      <c r="F158" s="2">
        <f>Odometer!B158</f>
        <v>428751114</v>
      </c>
      <c r="G158" s="2">
        <f t="shared" si="19"/>
        <v>13</v>
      </c>
      <c r="H158" s="2">
        <f>SUM($G$2:G158)</f>
        <v>1229</v>
      </c>
      <c r="I158" s="10">
        <f t="shared" si="20"/>
        <v>45701.282916666663</v>
      </c>
      <c r="J158" s="10">
        <f t="shared" si="21"/>
        <v>45701.282916666663</v>
      </c>
      <c r="K158" s="3">
        <f t="shared" si="23"/>
        <v>1088</v>
      </c>
      <c r="L158">
        <f t="shared" si="16"/>
        <v>14.938888889999999</v>
      </c>
      <c r="M158">
        <f t="shared" si="22"/>
        <v>53.780000004000001</v>
      </c>
    </row>
    <row r="159" spans="1:13" x14ac:dyDescent="0.25">
      <c r="A159" s="9">
        <f>Speed!A159</f>
        <v>45701.28292824074</v>
      </c>
      <c r="B159" s="9">
        <f t="shared" si="17"/>
        <v>45701.28292824074</v>
      </c>
      <c r="C159" s="2">
        <f>Speed!B159</f>
        <v>14.93055556</v>
      </c>
      <c r="D159" s="9">
        <f>Odometer!A159</f>
        <v>45701.283043981479</v>
      </c>
      <c r="E159" s="9">
        <f t="shared" si="18"/>
        <v>45701.283043981479</v>
      </c>
      <c r="F159" s="2">
        <f>Odometer!B159</f>
        <v>428751127</v>
      </c>
      <c r="G159" s="2">
        <f t="shared" si="19"/>
        <v>10</v>
      </c>
      <c r="H159" s="2">
        <f>SUM($G$2:G159)</f>
        <v>1239</v>
      </c>
      <c r="I159" s="10">
        <f t="shared" si="20"/>
        <v>45701.28292824074</v>
      </c>
      <c r="J159" s="10">
        <f t="shared" si="21"/>
        <v>45701.28292824074</v>
      </c>
      <c r="K159" s="3">
        <f t="shared" si="23"/>
        <v>1102</v>
      </c>
      <c r="L159">
        <f t="shared" si="16"/>
        <v>14.93055556</v>
      </c>
      <c r="M159">
        <f t="shared" si="22"/>
        <v>53.750000016000001</v>
      </c>
    </row>
    <row r="160" spans="1:13" x14ac:dyDescent="0.25">
      <c r="A160" s="9">
        <f>Speed!A160</f>
        <v>45701.282939814817</v>
      </c>
      <c r="B160" s="9">
        <f t="shared" si="17"/>
        <v>45701.28293981481</v>
      </c>
      <c r="C160" s="2">
        <f>Speed!B160</f>
        <v>14.93333333</v>
      </c>
      <c r="D160" s="9">
        <f>Odometer!A160</f>
        <v>45701.283043981479</v>
      </c>
      <c r="E160" s="9">
        <f t="shared" si="18"/>
        <v>45701.283043981479</v>
      </c>
      <c r="F160" s="2">
        <f>Odometer!B160</f>
        <v>428751137</v>
      </c>
      <c r="G160" s="2">
        <f t="shared" si="19"/>
        <v>1</v>
      </c>
      <c r="H160" s="2">
        <f>SUM($G$2:G160)</f>
        <v>1240</v>
      </c>
      <c r="I160" s="10">
        <f t="shared" si="20"/>
        <v>45701.282939814817</v>
      </c>
      <c r="J160" s="10">
        <f t="shared" si="21"/>
        <v>45701.28293981481</v>
      </c>
      <c r="K160" s="3">
        <f t="shared" si="23"/>
        <v>1103</v>
      </c>
      <c r="L160">
        <f t="shared" si="16"/>
        <v>14.93333333</v>
      </c>
      <c r="M160">
        <f t="shared" si="22"/>
        <v>53.759999988000004</v>
      </c>
    </row>
    <row r="161" spans="1:13" x14ac:dyDescent="0.25">
      <c r="A161" s="9">
        <f>Speed!A161</f>
        <v>45701.282939814817</v>
      </c>
      <c r="B161" s="9">
        <f t="shared" si="17"/>
        <v>45701.28293981481</v>
      </c>
      <c r="C161" s="2">
        <f>Speed!B161</f>
        <v>14.925000000000001</v>
      </c>
      <c r="D161" s="9">
        <f>Odometer!A161</f>
        <v>45701.283055555556</v>
      </c>
      <c r="E161" s="9">
        <f t="shared" si="18"/>
        <v>45701.283055555556</v>
      </c>
      <c r="F161" s="2">
        <f>Odometer!B161</f>
        <v>428751138</v>
      </c>
      <c r="G161" s="2">
        <f t="shared" si="19"/>
        <v>10</v>
      </c>
      <c r="H161" s="2">
        <f>SUM($G$2:G161)</f>
        <v>1250</v>
      </c>
      <c r="I161" s="10">
        <f t="shared" si="20"/>
        <v>45701.282939814817</v>
      </c>
      <c r="J161" s="10">
        <f t="shared" si="21"/>
        <v>45701.28293981481</v>
      </c>
      <c r="K161" s="3">
        <f t="shared" si="23"/>
        <v>1103</v>
      </c>
      <c r="L161">
        <f t="shared" si="16"/>
        <v>14.93333333</v>
      </c>
      <c r="M161">
        <f t="shared" si="22"/>
        <v>53.759999988000004</v>
      </c>
    </row>
    <row r="162" spans="1:13" x14ac:dyDescent="0.25">
      <c r="A162" s="9">
        <f>Speed!A162</f>
        <v>45701.282951388886</v>
      </c>
      <c r="B162" s="9">
        <f t="shared" si="17"/>
        <v>45701.282951388886</v>
      </c>
      <c r="C162" s="2">
        <f>Speed!B162</f>
        <v>14.92222222</v>
      </c>
      <c r="D162" s="9">
        <f>Odometer!A162</f>
        <v>45701.283067129632</v>
      </c>
      <c r="E162" s="9">
        <f t="shared" si="18"/>
        <v>45701.283067129625</v>
      </c>
      <c r="F162" s="2">
        <f>Odometer!B162</f>
        <v>428751148</v>
      </c>
      <c r="G162" s="2">
        <f t="shared" si="19"/>
        <v>2</v>
      </c>
      <c r="H162" s="2">
        <f>SUM($G$2:G162)</f>
        <v>1252</v>
      </c>
      <c r="I162" s="10">
        <f t="shared" si="20"/>
        <v>45701.282951388886</v>
      </c>
      <c r="J162" s="10">
        <f t="shared" si="21"/>
        <v>45701.282951388886</v>
      </c>
      <c r="K162" s="3">
        <f t="shared" si="23"/>
        <v>1132</v>
      </c>
      <c r="L162">
        <f t="shared" si="16"/>
        <v>14.92222222</v>
      </c>
      <c r="M162">
        <f t="shared" si="22"/>
        <v>53.719999991999998</v>
      </c>
    </row>
    <row r="163" spans="1:13" x14ac:dyDescent="0.25">
      <c r="A163" s="9">
        <f>Speed!A163</f>
        <v>45701.282962962963</v>
      </c>
      <c r="B163" s="9">
        <f t="shared" si="17"/>
        <v>45701.282962962963</v>
      </c>
      <c r="C163" s="2">
        <f>Speed!B163</f>
        <v>14.961111109999999</v>
      </c>
      <c r="D163" s="9">
        <f>Odometer!A163</f>
        <v>45701.283067129632</v>
      </c>
      <c r="E163" s="9">
        <f t="shared" si="18"/>
        <v>45701.283067129625</v>
      </c>
      <c r="F163" s="2">
        <f>Odometer!B163</f>
        <v>428751150</v>
      </c>
      <c r="G163" s="2">
        <f t="shared" si="19"/>
        <v>8</v>
      </c>
      <c r="H163" s="2">
        <f>SUM($G$2:G163)</f>
        <v>1260</v>
      </c>
      <c r="I163" s="10">
        <f t="shared" si="20"/>
        <v>45701.282962962963</v>
      </c>
      <c r="J163" s="10">
        <f t="shared" si="21"/>
        <v>45701.282962962963</v>
      </c>
      <c r="K163" s="3">
        <f t="shared" si="23"/>
        <v>1142</v>
      </c>
      <c r="L163">
        <f t="shared" si="16"/>
        <v>14.961111109999999</v>
      </c>
      <c r="M163">
        <f t="shared" si="22"/>
        <v>53.859999995999999</v>
      </c>
    </row>
    <row r="164" spans="1:13" x14ac:dyDescent="0.25">
      <c r="A164" s="9">
        <f>Speed!A164</f>
        <v>45701.282962962963</v>
      </c>
      <c r="B164" s="9">
        <f t="shared" si="17"/>
        <v>45701.282962962963</v>
      </c>
      <c r="C164" s="2">
        <f>Speed!B164</f>
        <v>14.88888889</v>
      </c>
      <c r="D164" s="9">
        <f>Odometer!A164</f>
        <v>45701.283067129632</v>
      </c>
      <c r="E164" s="9">
        <f t="shared" si="18"/>
        <v>45701.283067129625</v>
      </c>
      <c r="F164" s="2">
        <f>Odometer!B164</f>
        <v>428751158</v>
      </c>
      <c r="G164" s="2">
        <f t="shared" si="19"/>
        <v>1</v>
      </c>
      <c r="H164" s="2">
        <f>SUM($G$2:G164)</f>
        <v>1261</v>
      </c>
      <c r="I164" s="10">
        <f t="shared" si="20"/>
        <v>45701.282962962963</v>
      </c>
      <c r="J164" s="10">
        <f t="shared" si="21"/>
        <v>45701.282962962963</v>
      </c>
      <c r="K164" s="3">
        <f t="shared" si="23"/>
        <v>1142</v>
      </c>
      <c r="L164">
        <f t="shared" si="16"/>
        <v>14.961111109999999</v>
      </c>
      <c r="M164">
        <f t="shared" si="22"/>
        <v>53.859999995999999</v>
      </c>
    </row>
    <row r="165" spans="1:13" x14ac:dyDescent="0.25">
      <c r="A165" s="9">
        <f>Speed!A165</f>
        <v>45701.28297453704</v>
      </c>
      <c r="B165" s="9">
        <f t="shared" si="17"/>
        <v>45701.282974537033</v>
      </c>
      <c r="C165" s="2">
        <f>Speed!B165</f>
        <v>14.83888889</v>
      </c>
      <c r="D165" s="9">
        <f>Odometer!A165</f>
        <v>45701.283078703702</v>
      </c>
      <c r="E165" s="9">
        <f t="shared" si="18"/>
        <v>45701.283078703702</v>
      </c>
      <c r="F165" s="2">
        <f>Odometer!B165</f>
        <v>428751159</v>
      </c>
      <c r="G165" s="2">
        <f t="shared" si="19"/>
        <v>10</v>
      </c>
      <c r="H165" s="2">
        <f>SUM($G$2:G165)</f>
        <v>1271</v>
      </c>
      <c r="I165" s="10">
        <f t="shared" si="20"/>
        <v>45701.28297453704</v>
      </c>
      <c r="J165" s="10">
        <f t="shared" si="21"/>
        <v>45701.282974537033</v>
      </c>
      <c r="K165" s="3">
        <f t="shared" si="23"/>
        <v>1151</v>
      </c>
      <c r="L165">
        <f t="shared" si="16"/>
        <v>14.83888889</v>
      </c>
      <c r="M165">
        <f t="shared" si="22"/>
        <v>53.420000004000002</v>
      </c>
    </row>
    <row r="166" spans="1:13" x14ac:dyDescent="0.25">
      <c r="A166" s="9">
        <f>Speed!A166</f>
        <v>45701.28297453704</v>
      </c>
      <c r="B166" s="9">
        <f t="shared" si="17"/>
        <v>45701.282974537033</v>
      </c>
      <c r="C166" s="2">
        <f>Speed!B166</f>
        <v>14.84166667</v>
      </c>
      <c r="D166" s="9">
        <f>Odometer!A166</f>
        <v>45701.283090277779</v>
      </c>
      <c r="E166" s="9">
        <f t="shared" si="18"/>
        <v>45701.283090277779</v>
      </c>
      <c r="F166" s="2">
        <f>Odometer!B166</f>
        <v>428751169</v>
      </c>
      <c r="G166" s="2">
        <f t="shared" si="19"/>
        <v>1</v>
      </c>
      <c r="H166" s="2">
        <f>SUM($G$2:G166)</f>
        <v>1272</v>
      </c>
      <c r="I166" s="10">
        <f t="shared" si="20"/>
        <v>45701.28297453704</v>
      </c>
      <c r="J166" s="10">
        <f t="shared" si="21"/>
        <v>45701.282974537033</v>
      </c>
      <c r="K166" s="3">
        <f t="shared" si="23"/>
        <v>1151</v>
      </c>
      <c r="L166">
        <f t="shared" si="16"/>
        <v>14.83888889</v>
      </c>
      <c r="M166">
        <f t="shared" si="22"/>
        <v>53.420000004000002</v>
      </c>
    </row>
    <row r="167" spans="1:13" x14ac:dyDescent="0.25">
      <c r="A167" s="9">
        <f>Speed!A167</f>
        <v>45701.282986111109</v>
      </c>
      <c r="B167" s="9">
        <f t="shared" si="17"/>
        <v>45701.282986111109</v>
      </c>
      <c r="C167" s="2">
        <f>Speed!B167</f>
        <v>14.59166667</v>
      </c>
      <c r="D167" s="9">
        <f>Odometer!A167</f>
        <v>45701.283090277779</v>
      </c>
      <c r="E167" s="9">
        <f t="shared" si="18"/>
        <v>45701.283090277779</v>
      </c>
      <c r="F167" s="2">
        <f>Odometer!B167</f>
        <v>428751170</v>
      </c>
      <c r="G167" s="2">
        <f t="shared" si="19"/>
        <v>10</v>
      </c>
      <c r="H167" s="2">
        <f>SUM($G$2:G167)</f>
        <v>1282</v>
      </c>
      <c r="I167" s="10">
        <f t="shared" si="20"/>
        <v>45701.282986111109</v>
      </c>
      <c r="J167" s="10">
        <f t="shared" si="21"/>
        <v>45701.282986111109</v>
      </c>
      <c r="K167" s="3">
        <f t="shared" si="23"/>
        <v>1176</v>
      </c>
      <c r="L167">
        <f t="shared" si="16"/>
        <v>14.59166667</v>
      </c>
      <c r="M167">
        <f t="shared" si="22"/>
        <v>52.530000012000002</v>
      </c>
    </row>
    <row r="168" spans="1:13" x14ac:dyDescent="0.25">
      <c r="A168" s="9">
        <f>Speed!A168</f>
        <v>45701.282997685186</v>
      </c>
      <c r="B168" s="9">
        <f t="shared" si="17"/>
        <v>45701.282997685186</v>
      </c>
      <c r="C168" s="2">
        <f>Speed!B168</f>
        <v>14.17222222</v>
      </c>
      <c r="D168" s="9">
        <f>Odometer!A168</f>
        <v>45701.283101851855</v>
      </c>
      <c r="E168" s="9">
        <f t="shared" si="18"/>
        <v>45701.283101851848</v>
      </c>
      <c r="F168" s="2">
        <f>Odometer!B168</f>
        <v>428751180</v>
      </c>
      <c r="G168" s="2">
        <f t="shared" si="19"/>
        <v>9</v>
      </c>
      <c r="H168" s="2">
        <f>SUM($G$2:G168)</f>
        <v>1291</v>
      </c>
      <c r="I168" s="10">
        <f t="shared" si="20"/>
        <v>45701.282997685186</v>
      </c>
      <c r="J168" s="10">
        <f t="shared" si="21"/>
        <v>45701.282997685186</v>
      </c>
      <c r="K168" s="3">
        <f t="shared" si="23"/>
        <v>1191</v>
      </c>
      <c r="L168">
        <f t="shared" si="16"/>
        <v>14.17222222</v>
      </c>
      <c r="M168">
        <f t="shared" si="22"/>
        <v>51.019999992000002</v>
      </c>
    </row>
    <row r="169" spans="1:13" x14ac:dyDescent="0.25">
      <c r="A169" s="9">
        <f>Speed!A169</f>
        <v>45701.283009259256</v>
      </c>
      <c r="B169" s="9">
        <f t="shared" si="17"/>
        <v>45701.283009259256</v>
      </c>
      <c r="C169" s="2">
        <f>Speed!B169</f>
        <v>13.55277778</v>
      </c>
      <c r="D169" s="9">
        <f>Odometer!A169</f>
        <v>45701.283113425925</v>
      </c>
      <c r="E169" s="9">
        <f t="shared" si="18"/>
        <v>45701.283113425925</v>
      </c>
      <c r="F169" s="2">
        <f>Odometer!B169</f>
        <v>428751189</v>
      </c>
      <c r="G169" s="2">
        <f t="shared" si="19"/>
        <v>1</v>
      </c>
      <c r="H169" s="2">
        <f>SUM($G$2:G169)</f>
        <v>1292</v>
      </c>
      <c r="I169" s="10">
        <f t="shared" si="20"/>
        <v>45701.283009259256</v>
      </c>
      <c r="J169" s="10">
        <f t="shared" si="21"/>
        <v>45701.283009259256</v>
      </c>
      <c r="K169" s="3">
        <f t="shared" si="23"/>
        <v>1204</v>
      </c>
      <c r="L169">
        <f t="shared" si="16"/>
        <v>13.55277778</v>
      </c>
      <c r="M169">
        <f t="shared" si="22"/>
        <v>48.790000008</v>
      </c>
    </row>
    <row r="170" spans="1:13" x14ac:dyDescent="0.25">
      <c r="A170" s="9">
        <f>Speed!A170</f>
        <v>45701.283020833333</v>
      </c>
      <c r="B170" s="9">
        <f t="shared" si="17"/>
        <v>45701.283020833333</v>
      </c>
      <c r="C170" s="2">
        <f>Speed!B170</f>
        <v>12.925000000000001</v>
      </c>
      <c r="D170" s="9">
        <f>Odometer!A170</f>
        <v>45701.283113425925</v>
      </c>
      <c r="E170" s="9">
        <f t="shared" si="18"/>
        <v>45701.283113425925</v>
      </c>
      <c r="F170" s="2">
        <f>Odometer!B170</f>
        <v>428751190</v>
      </c>
      <c r="G170" s="2">
        <f t="shared" si="19"/>
        <v>9</v>
      </c>
      <c r="H170" s="2">
        <f>SUM($G$2:G170)</f>
        <v>1301</v>
      </c>
      <c r="I170" s="10">
        <f t="shared" si="20"/>
        <v>45701.283020833333</v>
      </c>
      <c r="J170" s="10">
        <f t="shared" si="21"/>
        <v>45701.283020833333</v>
      </c>
      <c r="K170" s="3">
        <f t="shared" si="23"/>
        <v>1216</v>
      </c>
      <c r="L170">
        <f t="shared" si="16"/>
        <v>12.925000000000001</v>
      </c>
      <c r="M170">
        <f t="shared" si="22"/>
        <v>46.53</v>
      </c>
    </row>
    <row r="171" spans="1:13" x14ac:dyDescent="0.25">
      <c r="A171" s="9">
        <f>Speed!A171</f>
        <v>45701.283020833333</v>
      </c>
      <c r="B171" s="9">
        <f t="shared" si="17"/>
        <v>45701.283020833333</v>
      </c>
      <c r="C171" s="2">
        <f>Speed!B171</f>
        <v>12.330555560000001</v>
      </c>
      <c r="D171" s="9">
        <f>Odometer!A171</f>
        <v>45701.283125000002</v>
      </c>
      <c r="E171" s="9">
        <f t="shared" si="18"/>
        <v>45701.283124999994</v>
      </c>
      <c r="F171" s="2">
        <f>Odometer!B171</f>
        <v>428751199</v>
      </c>
      <c r="G171" s="2">
        <f t="shared" si="19"/>
        <v>9</v>
      </c>
      <c r="H171" s="2">
        <f>SUM($G$2:G171)</f>
        <v>1310</v>
      </c>
      <c r="I171" s="10">
        <f t="shared" si="20"/>
        <v>45701.283020833333</v>
      </c>
      <c r="J171" s="10">
        <f t="shared" si="21"/>
        <v>45701.283020833333</v>
      </c>
      <c r="K171" s="3">
        <f t="shared" si="23"/>
        <v>1216</v>
      </c>
      <c r="L171">
        <f t="shared" si="16"/>
        <v>12.925000000000001</v>
      </c>
      <c r="M171">
        <f t="shared" si="22"/>
        <v>46.53</v>
      </c>
    </row>
    <row r="172" spans="1:13" x14ac:dyDescent="0.25">
      <c r="A172" s="9">
        <f>Speed!A172</f>
        <v>45701.283032407409</v>
      </c>
      <c r="B172" s="9">
        <f t="shared" si="17"/>
        <v>45701.283032407402</v>
      </c>
      <c r="C172" s="2">
        <f>Speed!B172</f>
        <v>12.28055556</v>
      </c>
      <c r="D172" s="9">
        <f>Odometer!A172</f>
        <v>45701.283136574071</v>
      </c>
      <c r="E172" s="9">
        <f t="shared" si="18"/>
        <v>45701.283136574071</v>
      </c>
      <c r="F172" s="2">
        <f>Odometer!B172</f>
        <v>428751208</v>
      </c>
      <c r="G172" s="2">
        <f t="shared" si="19"/>
        <v>7</v>
      </c>
      <c r="H172" s="2">
        <f>SUM($G$2:G172)</f>
        <v>1317</v>
      </c>
      <c r="I172" s="10">
        <f t="shared" si="20"/>
        <v>45701.283032407409</v>
      </c>
      <c r="J172" s="10">
        <f t="shared" si="21"/>
        <v>45701.283032407402</v>
      </c>
      <c r="K172" s="3" t="e">
        <f t="shared" si="23"/>
        <v>#N/A</v>
      </c>
      <c r="L172">
        <f t="shared" si="16"/>
        <v>12.28055556</v>
      </c>
      <c r="M172">
        <f t="shared" si="22"/>
        <v>44.210000016000002</v>
      </c>
    </row>
    <row r="173" spans="1:13" x14ac:dyDescent="0.25">
      <c r="A173" s="9">
        <f>Speed!A173</f>
        <v>45701.283043981479</v>
      </c>
      <c r="B173" s="9">
        <f t="shared" si="17"/>
        <v>45701.283043981479</v>
      </c>
      <c r="C173" s="2">
        <f>Speed!B173</f>
        <v>11.69444444</v>
      </c>
      <c r="D173" s="9">
        <f>Odometer!A173</f>
        <v>45701.283148148148</v>
      </c>
      <c r="E173" s="9">
        <f t="shared" si="18"/>
        <v>45701.283148148148</v>
      </c>
      <c r="F173" s="2">
        <f>Odometer!B173</f>
        <v>428751215</v>
      </c>
      <c r="G173" s="2">
        <f t="shared" si="19"/>
        <v>8</v>
      </c>
      <c r="H173" s="2">
        <f>SUM($G$2:G173)</f>
        <v>1325</v>
      </c>
      <c r="I173" s="10">
        <f t="shared" si="20"/>
        <v>45701.283043981479</v>
      </c>
      <c r="J173" s="10">
        <f t="shared" si="21"/>
        <v>45701.283043981479</v>
      </c>
      <c r="K173" s="3">
        <f t="shared" si="23"/>
        <v>1239</v>
      </c>
      <c r="L173">
        <f t="shared" si="16"/>
        <v>11.69444444</v>
      </c>
      <c r="M173">
        <f t="shared" si="22"/>
        <v>42.099999984</v>
      </c>
    </row>
    <row r="174" spans="1:13" x14ac:dyDescent="0.25">
      <c r="A174" s="9">
        <f>Speed!A174</f>
        <v>45701.283043981479</v>
      </c>
      <c r="B174" s="9">
        <f t="shared" si="17"/>
        <v>45701.283043981479</v>
      </c>
      <c r="C174" s="2">
        <f>Speed!B174</f>
        <v>11.32222222</v>
      </c>
      <c r="D174" s="9">
        <f>Odometer!A174</f>
        <v>45701.283159722225</v>
      </c>
      <c r="E174" s="9">
        <f t="shared" si="18"/>
        <v>45701.283159722218</v>
      </c>
      <c r="F174" s="2">
        <f>Odometer!B174</f>
        <v>428751223</v>
      </c>
      <c r="G174" s="2">
        <f t="shared" si="19"/>
        <v>7</v>
      </c>
      <c r="H174" s="2">
        <f>SUM($G$2:G174)</f>
        <v>1332</v>
      </c>
      <c r="I174" s="10">
        <f t="shared" si="20"/>
        <v>45701.283043981479</v>
      </c>
      <c r="J174" s="10">
        <f t="shared" si="21"/>
        <v>45701.283043981479</v>
      </c>
      <c r="K174" s="3">
        <f t="shared" si="23"/>
        <v>1239</v>
      </c>
      <c r="L174">
        <f t="shared" si="16"/>
        <v>11.69444444</v>
      </c>
      <c r="M174">
        <f t="shared" si="22"/>
        <v>42.099999984</v>
      </c>
    </row>
    <row r="175" spans="1:13" x14ac:dyDescent="0.25">
      <c r="A175" s="9">
        <f>Speed!A175</f>
        <v>45701.283055555556</v>
      </c>
      <c r="B175" s="9">
        <f t="shared" si="17"/>
        <v>45701.283055555556</v>
      </c>
      <c r="C175" s="2">
        <f>Speed!B175</f>
        <v>11.29166667</v>
      </c>
      <c r="D175" s="9">
        <f>Odometer!A175</f>
        <v>45701.283171296294</v>
      </c>
      <c r="E175" s="9">
        <f t="shared" si="18"/>
        <v>45701.283171296294</v>
      </c>
      <c r="F175" s="2">
        <f>Odometer!B175</f>
        <v>428751230</v>
      </c>
      <c r="G175" s="2">
        <f t="shared" si="19"/>
        <v>7</v>
      </c>
      <c r="H175" s="2">
        <f>SUM($G$2:G175)</f>
        <v>1339</v>
      </c>
      <c r="I175" s="10">
        <f t="shared" si="20"/>
        <v>45701.283055555556</v>
      </c>
      <c r="J175" s="10">
        <f t="shared" si="21"/>
        <v>45701.283055555556</v>
      </c>
      <c r="K175" s="3">
        <f t="shared" si="23"/>
        <v>1250</v>
      </c>
      <c r="L175">
        <f t="shared" si="16"/>
        <v>11.29166667</v>
      </c>
      <c r="M175">
        <f t="shared" si="22"/>
        <v>40.650000012</v>
      </c>
    </row>
    <row r="176" spans="1:13" x14ac:dyDescent="0.25">
      <c r="A176" s="9">
        <f>Speed!A176</f>
        <v>45701.283067129632</v>
      </c>
      <c r="B176" s="9">
        <f t="shared" si="17"/>
        <v>45701.283067129625</v>
      </c>
      <c r="C176" s="2">
        <f>Speed!B176</f>
        <v>10.81666667</v>
      </c>
      <c r="D176" s="9">
        <f>Odometer!A176</f>
        <v>45701.283182870371</v>
      </c>
      <c r="E176" s="9">
        <f t="shared" si="18"/>
        <v>45701.283182870371</v>
      </c>
      <c r="F176" s="2">
        <f>Odometer!B176</f>
        <v>428751237</v>
      </c>
      <c r="G176" s="2">
        <f t="shared" si="19"/>
        <v>5</v>
      </c>
      <c r="H176" s="2">
        <f>SUM($G$2:G176)</f>
        <v>1344</v>
      </c>
      <c r="I176" s="10">
        <f t="shared" si="20"/>
        <v>45701.283067129632</v>
      </c>
      <c r="J176" s="10">
        <f t="shared" si="21"/>
        <v>45701.283067129625</v>
      </c>
      <c r="K176" s="3">
        <f t="shared" si="23"/>
        <v>1252</v>
      </c>
      <c r="L176">
        <f t="shared" si="16"/>
        <v>10.81666667</v>
      </c>
      <c r="M176">
        <f t="shared" si="22"/>
        <v>38.940000011999999</v>
      </c>
    </row>
    <row r="177" spans="1:13" x14ac:dyDescent="0.25">
      <c r="A177" s="9">
        <f>Speed!A177</f>
        <v>45701.283067129632</v>
      </c>
      <c r="B177" s="9">
        <f t="shared" si="17"/>
        <v>45701.283067129625</v>
      </c>
      <c r="C177" s="2">
        <f>Speed!B177</f>
        <v>10.788888890000001</v>
      </c>
      <c r="D177" s="9">
        <f>Odometer!A177</f>
        <v>45701.283194444448</v>
      </c>
      <c r="E177" s="9">
        <f t="shared" si="18"/>
        <v>45701.283194444441</v>
      </c>
      <c r="F177" s="2">
        <f>Odometer!B177</f>
        <v>428751242</v>
      </c>
      <c r="G177" s="2">
        <f t="shared" si="19"/>
        <v>5</v>
      </c>
      <c r="H177" s="2">
        <f>SUM($G$2:G177)</f>
        <v>1349</v>
      </c>
      <c r="I177" s="10">
        <f t="shared" si="20"/>
        <v>45701.283067129632</v>
      </c>
      <c r="J177" s="10">
        <f t="shared" si="21"/>
        <v>45701.283067129625</v>
      </c>
      <c r="K177" s="3">
        <f t="shared" si="23"/>
        <v>1252</v>
      </c>
      <c r="L177">
        <f t="shared" si="16"/>
        <v>10.81666667</v>
      </c>
      <c r="M177">
        <f t="shared" si="22"/>
        <v>38.940000011999999</v>
      </c>
    </row>
    <row r="178" spans="1:13" x14ac:dyDescent="0.25">
      <c r="A178" s="9">
        <f>Speed!A178</f>
        <v>45701.283067129632</v>
      </c>
      <c r="B178" s="9">
        <f t="shared" si="17"/>
        <v>45701.283067129625</v>
      </c>
      <c r="C178" s="2">
        <f>Speed!B178</f>
        <v>10.57222222</v>
      </c>
      <c r="D178" s="9">
        <f>Odometer!A178</f>
        <v>45701.283206018517</v>
      </c>
      <c r="E178" s="9">
        <f t="shared" si="18"/>
        <v>45701.283206018517</v>
      </c>
      <c r="F178" s="2">
        <f>Odometer!B178</f>
        <v>428751247</v>
      </c>
      <c r="G178" s="2">
        <f t="shared" si="19"/>
        <v>4</v>
      </c>
      <c r="H178" s="2">
        <f>SUM($G$2:G178)</f>
        <v>1353</v>
      </c>
      <c r="I178" s="10">
        <f t="shared" si="20"/>
        <v>45701.283067129632</v>
      </c>
      <c r="J178" s="10">
        <f t="shared" si="21"/>
        <v>45701.283067129625</v>
      </c>
      <c r="K178" s="3">
        <f t="shared" si="23"/>
        <v>1252</v>
      </c>
      <c r="L178">
        <f t="shared" si="16"/>
        <v>10.81666667</v>
      </c>
      <c r="M178">
        <f t="shared" si="22"/>
        <v>38.940000011999999</v>
      </c>
    </row>
    <row r="179" spans="1:13" x14ac:dyDescent="0.25">
      <c r="A179" s="9">
        <f>Speed!A179</f>
        <v>45701.283078703702</v>
      </c>
      <c r="B179" s="9">
        <f t="shared" si="17"/>
        <v>45701.283078703702</v>
      </c>
      <c r="C179" s="2">
        <f>Speed!B179</f>
        <v>10.55555556</v>
      </c>
      <c r="D179" s="9">
        <f>Odometer!A179</f>
        <v>45701.283206018517</v>
      </c>
      <c r="E179" s="9">
        <f t="shared" si="18"/>
        <v>45701.283206018517</v>
      </c>
      <c r="F179" s="2">
        <f>Odometer!B179</f>
        <v>428751251</v>
      </c>
      <c r="G179" s="2">
        <f t="shared" si="19"/>
        <v>3</v>
      </c>
      <c r="H179" s="2">
        <f>SUM($G$2:G179)</f>
        <v>1356</v>
      </c>
      <c r="I179" s="10">
        <f t="shared" si="20"/>
        <v>45701.283078703702</v>
      </c>
      <c r="J179" s="10">
        <f t="shared" si="21"/>
        <v>45701.283078703702</v>
      </c>
      <c r="K179" s="3">
        <f t="shared" si="23"/>
        <v>1271</v>
      </c>
      <c r="L179">
        <f t="shared" si="16"/>
        <v>10.55555556</v>
      </c>
      <c r="M179">
        <f t="shared" si="22"/>
        <v>38.000000016000001</v>
      </c>
    </row>
    <row r="180" spans="1:13" x14ac:dyDescent="0.25">
      <c r="A180" s="9">
        <f>Speed!A180</f>
        <v>45701.283090277779</v>
      </c>
      <c r="B180" s="9">
        <f t="shared" si="17"/>
        <v>45701.283090277779</v>
      </c>
      <c r="C180" s="2">
        <f>Speed!B180</f>
        <v>10.330555560000001</v>
      </c>
      <c r="D180" s="9">
        <f>Odometer!A180</f>
        <v>45701.283229166664</v>
      </c>
      <c r="E180" s="9">
        <f t="shared" si="18"/>
        <v>45701.283229166664</v>
      </c>
      <c r="F180" s="2">
        <f>Odometer!B180</f>
        <v>428751254</v>
      </c>
      <c r="G180" s="2">
        <f t="shared" si="19"/>
        <v>2</v>
      </c>
      <c r="H180" s="2">
        <f>SUM($G$2:G180)</f>
        <v>1358</v>
      </c>
      <c r="I180" s="10">
        <f t="shared" si="20"/>
        <v>45701.283090277779</v>
      </c>
      <c r="J180" s="10">
        <f t="shared" si="21"/>
        <v>45701.283090277779</v>
      </c>
      <c r="K180" s="3">
        <f t="shared" si="23"/>
        <v>1272</v>
      </c>
      <c r="L180">
        <f t="shared" si="16"/>
        <v>10.330555560000001</v>
      </c>
      <c r="M180">
        <f t="shared" si="22"/>
        <v>37.190000016000006</v>
      </c>
    </row>
    <row r="181" spans="1:13" x14ac:dyDescent="0.25">
      <c r="A181" s="9">
        <f>Speed!A181</f>
        <v>45701.283090277779</v>
      </c>
      <c r="B181" s="9">
        <f t="shared" si="17"/>
        <v>45701.283090277779</v>
      </c>
      <c r="C181" s="2">
        <f>Speed!B181</f>
        <v>10.313888889999999</v>
      </c>
      <c r="D181" s="9">
        <f>Odometer!A181</f>
        <v>45701.28324074074</v>
      </c>
      <c r="E181" s="9">
        <f t="shared" si="18"/>
        <v>45701.28324074074</v>
      </c>
      <c r="F181" s="2">
        <f>Odometer!B181</f>
        <v>428751256</v>
      </c>
      <c r="G181" s="2">
        <f t="shared" si="19"/>
        <v>1</v>
      </c>
      <c r="H181" s="2">
        <f>SUM($G$2:G181)</f>
        <v>1359</v>
      </c>
      <c r="I181" s="10">
        <f t="shared" si="20"/>
        <v>45701.283090277779</v>
      </c>
      <c r="J181" s="10">
        <f t="shared" si="21"/>
        <v>45701.283090277779</v>
      </c>
      <c r="K181" s="3">
        <f t="shared" si="23"/>
        <v>1272</v>
      </c>
      <c r="L181">
        <f t="shared" si="16"/>
        <v>10.330555560000001</v>
      </c>
      <c r="M181">
        <f t="shared" si="22"/>
        <v>37.190000016000006</v>
      </c>
    </row>
    <row r="182" spans="1:13" x14ac:dyDescent="0.25">
      <c r="A182" s="9">
        <f>Speed!A182</f>
        <v>45701.283101851855</v>
      </c>
      <c r="B182" s="9">
        <f t="shared" si="17"/>
        <v>45701.283101851848</v>
      </c>
      <c r="C182" s="2">
        <f>Speed!B182</f>
        <v>9.9472222220000006</v>
      </c>
      <c r="D182" s="9">
        <f>Odometer!A182</f>
        <v>45701.283252314817</v>
      </c>
      <c r="E182" s="9">
        <f t="shared" si="18"/>
        <v>45701.28325231481</v>
      </c>
      <c r="F182" s="2">
        <f>Odometer!B182</f>
        <v>428751257</v>
      </c>
      <c r="G182" s="2">
        <f t="shared" si="19"/>
        <v>1</v>
      </c>
      <c r="H182" s="2">
        <f>SUM($G$2:G182)</f>
        <v>1360</v>
      </c>
      <c r="I182" s="10">
        <f t="shared" si="20"/>
        <v>45701.283101851855</v>
      </c>
      <c r="J182" s="10">
        <f t="shared" si="21"/>
        <v>45701.283101851848</v>
      </c>
      <c r="K182" s="3">
        <f t="shared" si="23"/>
        <v>1291</v>
      </c>
      <c r="L182">
        <f t="shared" si="16"/>
        <v>9.9472222220000006</v>
      </c>
      <c r="M182">
        <f t="shared" si="22"/>
        <v>35.809999999200002</v>
      </c>
    </row>
    <row r="183" spans="1:13" x14ac:dyDescent="0.25">
      <c r="A183" s="9">
        <f>Speed!A183</f>
        <v>45701.283113425925</v>
      </c>
      <c r="B183" s="9">
        <f t="shared" si="17"/>
        <v>45701.283113425925</v>
      </c>
      <c r="C183" s="2">
        <f>Speed!B183</f>
        <v>9.4944444440000009</v>
      </c>
      <c r="D183" s="9">
        <f>Odometer!A183</f>
        <v>45701.283425925925</v>
      </c>
      <c r="E183" s="9">
        <f t="shared" si="18"/>
        <v>45701.283425925925</v>
      </c>
      <c r="F183" s="2">
        <f>Odometer!B183</f>
        <v>428751258</v>
      </c>
      <c r="G183" s="2">
        <f t="shared" si="19"/>
        <v>2</v>
      </c>
      <c r="H183" s="2">
        <f>SUM($G$2:G183)</f>
        <v>1362</v>
      </c>
      <c r="I183" s="10">
        <f t="shared" si="20"/>
        <v>45701.283113425925</v>
      </c>
      <c r="J183" s="10">
        <f t="shared" si="21"/>
        <v>45701.283113425925</v>
      </c>
      <c r="K183" s="3">
        <f t="shared" si="23"/>
        <v>1292</v>
      </c>
      <c r="L183">
        <f t="shared" si="16"/>
        <v>9.4944444440000009</v>
      </c>
      <c r="M183">
        <f t="shared" si="22"/>
        <v>34.179999998400007</v>
      </c>
    </row>
    <row r="184" spans="1:13" x14ac:dyDescent="0.25">
      <c r="A184" s="9">
        <f>Speed!A184</f>
        <v>45701.283113425925</v>
      </c>
      <c r="B184" s="9">
        <f t="shared" si="17"/>
        <v>45701.283113425925</v>
      </c>
      <c r="C184" s="2">
        <f>Speed!B184</f>
        <v>9.4305555559999998</v>
      </c>
      <c r="D184" s="9">
        <f>Odometer!A184</f>
        <v>45701.283437500002</v>
      </c>
      <c r="E184" s="9">
        <f t="shared" si="18"/>
        <v>45701.283437499995</v>
      </c>
      <c r="F184" s="2">
        <f>Odometer!B184</f>
        <v>428751260</v>
      </c>
      <c r="G184" s="2">
        <f t="shared" si="19"/>
        <v>2</v>
      </c>
      <c r="H184" s="2">
        <f>SUM($G$2:G184)</f>
        <v>1364</v>
      </c>
      <c r="I184" s="10">
        <f t="shared" si="20"/>
        <v>45701.283113425925</v>
      </c>
      <c r="J184" s="10">
        <f t="shared" si="21"/>
        <v>45701.283113425925</v>
      </c>
      <c r="K184" s="3">
        <f t="shared" si="23"/>
        <v>1292</v>
      </c>
      <c r="L184">
        <f t="shared" si="16"/>
        <v>9.4944444440000009</v>
      </c>
      <c r="M184">
        <f t="shared" si="22"/>
        <v>34.179999998400007</v>
      </c>
    </row>
    <row r="185" spans="1:13" x14ac:dyDescent="0.25">
      <c r="A185" s="9">
        <f>Speed!A185</f>
        <v>45701.283125000002</v>
      </c>
      <c r="B185" s="9">
        <f t="shared" si="17"/>
        <v>45701.283124999994</v>
      </c>
      <c r="C185" s="2">
        <f>Speed!B185</f>
        <v>8.8361111109999992</v>
      </c>
      <c r="D185" s="9">
        <f>Odometer!A185</f>
        <v>45701.283437500002</v>
      </c>
      <c r="E185" s="9">
        <f t="shared" si="18"/>
        <v>45701.283437499995</v>
      </c>
      <c r="F185" s="2">
        <f>Odometer!B185</f>
        <v>428751262</v>
      </c>
      <c r="G185" s="2">
        <f t="shared" si="19"/>
        <v>2</v>
      </c>
      <c r="H185" s="2">
        <f>SUM($G$2:G185)</f>
        <v>1366</v>
      </c>
      <c r="I185" s="10">
        <f t="shared" si="20"/>
        <v>45701.283125000002</v>
      </c>
      <c r="J185" s="10">
        <f t="shared" si="21"/>
        <v>45701.283124999994</v>
      </c>
      <c r="K185" s="3">
        <f t="shared" si="23"/>
        <v>1310</v>
      </c>
      <c r="L185">
        <f t="shared" si="16"/>
        <v>8.8361111109999992</v>
      </c>
      <c r="M185">
        <f t="shared" si="22"/>
        <v>31.809999999599999</v>
      </c>
    </row>
    <row r="186" spans="1:13" x14ac:dyDescent="0.25">
      <c r="A186" s="9">
        <f>Speed!A186</f>
        <v>45701.283136574071</v>
      </c>
      <c r="B186" s="9">
        <f t="shared" si="17"/>
        <v>45701.283136574071</v>
      </c>
      <c r="C186" s="2">
        <f>Speed!B186</f>
        <v>8.2361111109999996</v>
      </c>
      <c r="D186" s="9">
        <f>Odometer!A186</f>
        <v>45701.283449074072</v>
      </c>
      <c r="E186" s="9">
        <f t="shared" si="18"/>
        <v>45701.283449074072</v>
      </c>
      <c r="F186" s="2">
        <f>Odometer!B186</f>
        <v>428751264</v>
      </c>
      <c r="G186" s="2">
        <f t="shared" si="19"/>
        <v>1</v>
      </c>
      <c r="H186" s="2">
        <f>SUM($G$2:G186)</f>
        <v>1367</v>
      </c>
      <c r="I186" s="10">
        <f t="shared" si="20"/>
        <v>45701.283136574071</v>
      </c>
      <c r="J186" s="10">
        <f t="shared" si="21"/>
        <v>45701.283136574071</v>
      </c>
      <c r="K186" s="3">
        <f t="shared" si="23"/>
        <v>1317</v>
      </c>
      <c r="L186">
        <f t="shared" si="16"/>
        <v>8.2361111109999996</v>
      </c>
      <c r="M186">
        <f t="shared" si="22"/>
        <v>29.649999999599999</v>
      </c>
    </row>
    <row r="187" spans="1:13" x14ac:dyDescent="0.25">
      <c r="A187" s="9">
        <f>Speed!A187</f>
        <v>45701.283148148148</v>
      </c>
      <c r="B187" s="9">
        <f t="shared" si="17"/>
        <v>45701.283148148148</v>
      </c>
      <c r="C187" s="2">
        <f>Speed!B187</f>
        <v>7.7833333329999999</v>
      </c>
      <c r="D187" s="9">
        <f>Odometer!A187</f>
        <v>45701.283449074072</v>
      </c>
      <c r="E187" s="9">
        <f t="shared" si="18"/>
        <v>45701.283449074072</v>
      </c>
      <c r="F187" s="2">
        <f>Odometer!B187</f>
        <v>428751265</v>
      </c>
      <c r="G187" s="2">
        <f t="shared" si="19"/>
        <v>3</v>
      </c>
      <c r="H187" s="2">
        <f>SUM($G$2:G187)</f>
        <v>1370</v>
      </c>
      <c r="I187" s="10">
        <f t="shared" si="20"/>
        <v>45701.283148148148</v>
      </c>
      <c r="J187" s="10">
        <f t="shared" si="21"/>
        <v>45701.283148148148</v>
      </c>
      <c r="K187" s="3">
        <f t="shared" si="23"/>
        <v>1325</v>
      </c>
      <c r="L187">
        <f t="shared" si="16"/>
        <v>7.7833333329999999</v>
      </c>
      <c r="M187">
        <f t="shared" si="22"/>
        <v>28.019999998799999</v>
      </c>
    </row>
    <row r="188" spans="1:13" x14ac:dyDescent="0.25">
      <c r="A188" s="9">
        <f>Speed!A188</f>
        <v>45701.283159722225</v>
      </c>
      <c r="B188" s="9">
        <f t="shared" si="17"/>
        <v>45701.283159722218</v>
      </c>
      <c r="C188" s="2">
        <f>Speed!B188</f>
        <v>7.4305555559999998</v>
      </c>
      <c r="D188" s="9">
        <f>Odometer!A188</f>
        <v>45701.283460648148</v>
      </c>
      <c r="E188" s="9">
        <f t="shared" si="18"/>
        <v>45701.283460648148</v>
      </c>
      <c r="F188" s="2">
        <f>Odometer!B188</f>
        <v>428751268</v>
      </c>
      <c r="G188" s="2">
        <f t="shared" si="19"/>
        <v>5</v>
      </c>
      <c r="H188" s="2">
        <f>SUM($G$2:G188)</f>
        <v>1375</v>
      </c>
      <c r="I188" s="10">
        <f t="shared" si="20"/>
        <v>45701.283159722225</v>
      </c>
      <c r="J188" s="10">
        <f t="shared" si="21"/>
        <v>45701.283159722218</v>
      </c>
      <c r="K188" s="3">
        <f t="shared" si="23"/>
        <v>1332</v>
      </c>
      <c r="L188">
        <f t="shared" si="16"/>
        <v>7.4305555559999998</v>
      </c>
      <c r="M188">
        <f t="shared" si="22"/>
        <v>26.7500000016</v>
      </c>
    </row>
    <row r="189" spans="1:13" x14ac:dyDescent="0.25">
      <c r="A189" s="9">
        <f>Speed!A189</f>
        <v>45701.283171296294</v>
      </c>
      <c r="B189" s="9">
        <f t="shared" si="17"/>
        <v>45701.283171296294</v>
      </c>
      <c r="C189" s="2">
        <f>Speed!B189</f>
        <v>7.0472222220000003</v>
      </c>
      <c r="D189" s="9">
        <f>Odometer!A189</f>
        <v>45701.283472222225</v>
      </c>
      <c r="E189" s="9">
        <f t="shared" si="18"/>
        <v>45701.283472222218</v>
      </c>
      <c r="F189" s="2">
        <f>Odometer!B189</f>
        <v>428751273</v>
      </c>
      <c r="G189" s="2">
        <f t="shared" si="19"/>
        <v>7</v>
      </c>
      <c r="H189" s="2">
        <f>SUM($G$2:G189)</f>
        <v>1382</v>
      </c>
      <c r="I189" s="10">
        <f t="shared" si="20"/>
        <v>45701.283171296294</v>
      </c>
      <c r="J189" s="10">
        <f t="shared" si="21"/>
        <v>45701.283171296294</v>
      </c>
      <c r="K189" s="3">
        <f t="shared" si="23"/>
        <v>1339</v>
      </c>
      <c r="L189">
        <f t="shared" si="16"/>
        <v>7.0472222220000003</v>
      </c>
      <c r="M189">
        <f t="shared" si="22"/>
        <v>25.369999999200001</v>
      </c>
    </row>
    <row r="190" spans="1:13" x14ac:dyDescent="0.25">
      <c r="A190" s="9">
        <f>Speed!A190</f>
        <v>45701.283182870371</v>
      </c>
      <c r="B190" s="9">
        <f t="shared" si="17"/>
        <v>45701.283182870371</v>
      </c>
      <c r="C190" s="2">
        <f>Speed!B190</f>
        <v>6.261111111</v>
      </c>
      <c r="D190" s="9">
        <f>Odometer!A190</f>
        <v>45701.283483796295</v>
      </c>
      <c r="E190" s="9">
        <f t="shared" si="18"/>
        <v>45701.283483796295</v>
      </c>
      <c r="F190" s="2">
        <f>Odometer!B190</f>
        <v>428751280</v>
      </c>
      <c r="G190" s="2">
        <f t="shared" si="19"/>
        <v>8</v>
      </c>
      <c r="H190" s="2">
        <f>SUM($G$2:G190)</f>
        <v>1390</v>
      </c>
      <c r="I190" s="10">
        <f t="shared" si="20"/>
        <v>45701.283182870371</v>
      </c>
      <c r="J190" s="10">
        <f t="shared" si="21"/>
        <v>45701.283182870371</v>
      </c>
      <c r="K190" s="3">
        <f t="shared" si="23"/>
        <v>1344</v>
      </c>
      <c r="L190">
        <f t="shared" si="16"/>
        <v>6.261111111</v>
      </c>
      <c r="M190">
        <f t="shared" si="22"/>
        <v>22.539999999599999</v>
      </c>
    </row>
    <row r="191" spans="1:13" x14ac:dyDescent="0.25">
      <c r="A191" s="9">
        <f>Speed!A191</f>
        <v>45701.283194444448</v>
      </c>
      <c r="B191" s="9">
        <f t="shared" si="17"/>
        <v>45701.283194444441</v>
      </c>
      <c r="C191" s="2">
        <f>Speed!B191</f>
        <v>5.4083333329999999</v>
      </c>
      <c r="D191" s="9">
        <f>Odometer!A191</f>
        <v>45701.283495370371</v>
      </c>
      <c r="E191" s="9">
        <f t="shared" si="18"/>
        <v>45701.283495370371</v>
      </c>
      <c r="F191" s="2">
        <f>Odometer!B191</f>
        <v>428751288</v>
      </c>
      <c r="G191" s="2">
        <f t="shared" si="19"/>
        <v>9</v>
      </c>
      <c r="H191" s="2">
        <f>SUM($G$2:G191)</f>
        <v>1399</v>
      </c>
      <c r="I191" s="10">
        <f t="shared" si="20"/>
        <v>45701.283194444448</v>
      </c>
      <c r="J191" s="10">
        <f t="shared" si="21"/>
        <v>45701.283194444441</v>
      </c>
      <c r="K191" s="3">
        <f t="shared" si="23"/>
        <v>1349</v>
      </c>
      <c r="L191">
        <f t="shared" si="16"/>
        <v>5.4083333329999999</v>
      </c>
      <c r="M191">
        <f t="shared" si="22"/>
        <v>19.469999998799999</v>
      </c>
    </row>
    <row r="192" spans="1:13" x14ac:dyDescent="0.25">
      <c r="A192" s="9">
        <f>Speed!A192</f>
        <v>45701.283206018517</v>
      </c>
      <c r="B192" s="9">
        <f t="shared" si="17"/>
        <v>45701.283206018517</v>
      </c>
      <c r="C192" s="2">
        <f>Speed!B192</f>
        <v>4.3361111110000001</v>
      </c>
      <c r="D192" s="9">
        <f>Odometer!A192</f>
        <v>45701.283506944441</v>
      </c>
      <c r="E192" s="9">
        <f t="shared" si="18"/>
        <v>45701.283506944441</v>
      </c>
      <c r="F192" s="2">
        <f>Odometer!B192</f>
        <v>428751297</v>
      </c>
      <c r="G192" s="2">
        <f t="shared" si="19"/>
        <v>11</v>
      </c>
      <c r="H192" s="2">
        <f>SUM($G$2:G192)</f>
        <v>1410</v>
      </c>
      <c r="I192" s="10">
        <f t="shared" si="20"/>
        <v>45701.283206018517</v>
      </c>
      <c r="J192" s="10">
        <f t="shared" si="21"/>
        <v>45701.283206018517</v>
      </c>
      <c r="K192" s="3">
        <f t="shared" si="23"/>
        <v>1353</v>
      </c>
      <c r="L192">
        <f t="shared" si="16"/>
        <v>4.3361111110000001</v>
      </c>
      <c r="M192">
        <f t="shared" si="22"/>
        <v>15.609999999600001</v>
      </c>
    </row>
    <row r="193" spans="1:13" x14ac:dyDescent="0.25">
      <c r="A193" s="9">
        <f>Speed!A193</f>
        <v>45701.283206018517</v>
      </c>
      <c r="B193" s="9">
        <f t="shared" si="17"/>
        <v>45701.283206018517</v>
      </c>
      <c r="C193" s="2">
        <f>Speed!B193</f>
        <v>3.3416666670000001</v>
      </c>
      <c r="D193" s="9">
        <f>Odometer!A193</f>
        <v>45701.283518518518</v>
      </c>
      <c r="E193" s="9">
        <f t="shared" si="18"/>
        <v>45701.283518518518</v>
      </c>
      <c r="F193" s="2">
        <f>Odometer!B193</f>
        <v>428751308</v>
      </c>
      <c r="G193" s="2">
        <f t="shared" si="19"/>
        <v>11</v>
      </c>
      <c r="H193" s="2">
        <f>SUM($G$2:G193)</f>
        <v>1421</v>
      </c>
      <c r="I193" s="10">
        <f t="shared" si="20"/>
        <v>45701.283206018517</v>
      </c>
      <c r="J193" s="10">
        <f t="shared" si="21"/>
        <v>45701.283206018517</v>
      </c>
      <c r="K193" s="3">
        <f t="shared" si="23"/>
        <v>1353</v>
      </c>
      <c r="L193">
        <f t="shared" si="16"/>
        <v>4.3361111110000001</v>
      </c>
      <c r="M193">
        <f t="shared" si="22"/>
        <v>15.609999999600001</v>
      </c>
    </row>
    <row r="194" spans="1:13" x14ac:dyDescent="0.25">
      <c r="A194" s="9">
        <f>Speed!A194</f>
        <v>45701.283217592594</v>
      </c>
      <c r="B194" s="9">
        <f t="shared" si="17"/>
        <v>45701.283217592587</v>
      </c>
      <c r="C194" s="2">
        <f>Speed!B194</f>
        <v>3.255555556</v>
      </c>
      <c r="D194" s="9">
        <f>Odometer!A194</f>
        <v>45701.283530092594</v>
      </c>
      <c r="E194" s="9">
        <f t="shared" si="18"/>
        <v>45701.283530092587</v>
      </c>
      <c r="F194" s="2">
        <f>Odometer!B194</f>
        <v>428751319</v>
      </c>
      <c r="G194" s="2">
        <f t="shared" si="19"/>
        <v>12</v>
      </c>
      <c r="H194" s="2">
        <f>SUM($G$2:G194)</f>
        <v>1433</v>
      </c>
      <c r="I194" s="10">
        <f t="shared" si="20"/>
        <v>45701.283217592594</v>
      </c>
      <c r="J194" s="10">
        <f t="shared" si="21"/>
        <v>45701.283217592587</v>
      </c>
      <c r="K194" s="3" t="e">
        <f t="shared" si="23"/>
        <v>#N/A</v>
      </c>
      <c r="L194">
        <f t="shared" ref="L194:L257" si="24">INDEX($C$2:$C$2000, MATCH(I194,$A$2:$A$2000,0))</f>
        <v>3.255555556</v>
      </c>
      <c r="M194">
        <f t="shared" si="22"/>
        <v>11.720000001600001</v>
      </c>
    </row>
    <row r="195" spans="1:13" x14ac:dyDescent="0.25">
      <c r="A195" s="9">
        <f>Speed!A195</f>
        <v>45701.283229166664</v>
      </c>
      <c r="B195" s="9">
        <f t="shared" ref="B195:B258" si="25">MROUND(A195,"00:00:01")</f>
        <v>45701.283229166664</v>
      </c>
      <c r="C195" s="2">
        <f>Speed!B195</f>
        <v>2.2777777779999999</v>
      </c>
      <c r="D195" s="9">
        <f>Odometer!A195</f>
        <v>45701.283541666664</v>
      </c>
      <c r="E195" s="9">
        <f t="shared" ref="E195:E258" si="26">MROUND(D195,"00:00:01")</f>
        <v>45701.283541666664</v>
      </c>
      <c r="F195" s="2">
        <f>Odometer!B195</f>
        <v>428751331</v>
      </c>
      <c r="G195" s="2">
        <f t="shared" ref="G195:G258" si="27">IF(F196-F195&lt;0,0,F196-F195)</f>
        <v>14</v>
      </c>
      <c r="H195" s="2">
        <f>SUM($G$2:G195)</f>
        <v>1447</v>
      </c>
      <c r="I195" s="10">
        <f t="shared" ref="I195:I258" si="28">A195</f>
        <v>45701.283229166664</v>
      </c>
      <c r="J195" s="10">
        <f t="shared" ref="J195:J258" si="29">MROUND(I195,"0:00:01")</f>
        <v>45701.283229166664</v>
      </c>
      <c r="K195" s="3">
        <f t="shared" si="23"/>
        <v>1358</v>
      </c>
      <c r="L195">
        <f t="shared" si="24"/>
        <v>2.2777777779999999</v>
      </c>
      <c r="M195">
        <f t="shared" ref="M195:M258" si="30">L195*3.6</f>
        <v>8.2000000007999994</v>
      </c>
    </row>
    <row r="196" spans="1:13" x14ac:dyDescent="0.25">
      <c r="A196" s="9">
        <f>Speed!A196</f>
        <v>45701.28324074074</v>
      </c>
      <c r="B196" s="9">
        <f t="shared" si="25"/>
        <v>45701.28324074074</v>
      </c>
      <c r="C196" s="2">
        <f>Speed!B196</f>
        <v>1.313888889</v>
      </c>
      <c r="D196" s="9">
        <f>Odometer!A196</f>
        <v>45701.283553240741</v>
      </c>
      <c r="E196" s="9">
        <f t="shared" si="26"/>
        <v>45701.283553240741</v>
      </c>
      <c r="F196" s="2">
        <f>Odometer!B196</f>
        <v>428751345</v>
      </c>
      <c r="G196" s="2">
        <f t="shared" si="27"/>
        <v>12</v>
      </c>
      <c r="H196" s="2">
        <f>SUM($G$2:G196)</f>
        <v>1459</v>
      </c>
      <c r="I196" s="10">
        <f t="shared" si="28"/>
        <v>45701.28324074074</v>
      </c>
      <c r="J196" s="10">
        <f t="shared" si="29"/>
        <v>45701.28324074074</v>
      </c>
      <c r="K196" s="3">
        <f t="shared" ref="K196:K259" si="31">IFERROR(INDEX($H$2:$H$2000,MATCH(J196,$E$2:$E$2000,0)),NA())</f>
        <v>1359</v>
      </c>
      <c r="L196">
        <f t="shared" si="24"/>
        <v>1.313888889</v>
      </c>
      <c r="M196">
        <f t="shared" si="30"/>
        <v>4.7300000004000005</v>
      </c>
    </row>
    <row r="197" spans="1:13" x14ac:dyDescent="0.25">
      <c r="A197" s="9">
        <f>Speed!A197</f>
        <v>45701.283252314817</v>
      </c>
      <c r="B197" s="9">
        <f t="shared" si="25"/>
        <v>45701.28325231481</v>
      </c>
      <c r="C197" s="2">
        <f>Speed!B197</f>
        <v>0.36111111099999998</v>
      </c>
      <c r="D197" s="9">
        <f>Odometer!A197</f>
        <v>45701.283564814818</v>
      </c>
      <c r="E197" s="9">
        <f t="shared" si="26"/>
        <v>45701.28356481481</v>
      </c>
      <c r="F197" s="2">
        <f>Odometer!B197</f>
        <v>428751357</v>
      </c>
      <c r="G197" s="2">
        <f t="shared" si="27"/>
        <v>13</v>
      </c>
      <c r="H197" s="2">
        <f>SUM($G$2:G197)</f>
        <v>1472</v>
      </c>
      <c r="I197" s="10">
        <f t="shared" si="28"/>
        <v>45701.283252314817</v>
      </c>
      <c r="J197" s="10">
        <f t="shared" si="29"/>
        <v>45701.28325231481</v>
      </c>
      <c r="K197" s="3">
        <f t="shared" si="31"/>
        <v>1360</v>
      </c>
      <c r="L197">
        <f t="shared" si="24"/>
        <v>0.36111111099999998</v>
      </c>
      <c r="M197">
        <f t="shared" si="30"/>
        <v>1.2999999996</v>
      </c>
    </row>
    <row r="198" spans="1:13" x14ac:dyDescent="0.25">
      <c r="A198" s="9">
        <f>Speed!A198</f>
        <v>45701.283263888887</v>
      </c>
      <c r="B198" s="9">
        <f t="shared" si="25"/>
        <v>45701.283263888887</v>
      </c>
      <c r="C198" s="2">
        <f>Speed!B198</f>
        <v>4.1666666999999998E-2</v>
      </c>
      <c r="D198" s="9">
        <f>Odometer!A198</f>
        <v>45701.283576388887</v>
      </c>
      <c r="E198" s="9">
        <f t="shared" si="26"/>
        <v>45701.283576388887</v>
      </c>
      <c r="F198" s="2">
        <f>Odometer!B198</f>
        <v>428751370</v>
      </c>
      <c r="G198" s="2">
        <f t="shared" si="27"/>
        <v>14</v>
      </c>
      <c r="H198" s="2">
        <f>SUM($G$2:G198)</f>
        <v>1486</v>
      </c>
      <c r="I198" s="10">
        <f t="shared" si="28"/>
        <v>45701.283263888887</v>
      </c>
      <c r="J198" s="10">
        <f t="shared" si="29"/>
        <v>45701.283263888887</v>
      </c>
      <c r="K198" s="3" t="e">
        <f t="shared" si="31"/>
        <v>#N/A</v>
      </c>
      <c r="L198">
        <f t="shared" si="24"/>
        <v>4.1666666999999998E-2</v>
      </c>
      <c r="M198">
        <f t="shared" si="30"/>
        <v>0.15000000119999998</v>
      </c>
    </row>
    <row r="199" spans="1:13" x14ac:dyDescent="0.25">
      <c r="A199" s="9">
        <f>Speed!A199</f>
        <v>45701.283275462964</v>
      </c>
      <c r="B199" s="9">
        <f t="shared" si="25"/>
        <v>45701.283275462964</v>
      </c>
      <c r="C199" s="2">
        <f>Speed!B199</f>
        <v>0</v>
      </c>
      <c r="D199" s="9">
        <f>Odometer!A199</f>
        <v>45701.283587962964</v>
      </c>
      <c r="E199" s="9">
        <f t="shared" si="26"/>
        <v>45701.283587962964</v>
      </c>
      <c r="F199" s="2">
        <f>Odometer!B199</f>
        <v>428751384</v>
      </c>
      <c r="G199" s="2">
        <f t="shared" si="27"/>
        <v>14</v>
      </c>
      <c r="H199" s="2">
        <f>SUM($G$2:G199)</f>
        <v>1500</v>
      </c>
      <c r="I199" s="10">
        <f t="shared" si="28"/>
        <v>45701.283275462964</v>
      </c>
      <c r="J199" s="10">
        <f t="shared" si="29"/>
        <v>45701.283275462964</v>
      </c>
      <c r="K199" s="3" t="e">
        <f t="shared" si="31"/>
        <v>#N/A</v>
      </c>
      <c r="L199">
        <f t="shared" si="24"/>
        <v>0</v>
      </c>
      <c r="M199">
        <f t="shared" si="30"/>
        <v>0</v>
      </c>
    </row>
    <row r="200" spans="1:13" x14ac:dyDescent="0.25">
      <c r="A200" s="9">
        <f>Speed!A200</f>
        <v>45701.283414351848</v>
      </c>
      <c r="B200" s="9">
        <f t="shared" si="25"/>
        <v>45701.283414351848</v>
      </c>
      <c r="C200" s="2">
        <f>Speed!B200</f>
        <v>0.41944444400000003</v>
      </c>
      <c r="D200" s="9">
        <f>Odometer!A200</f>
        <v>45701.283599537041</v>
      </c>
      <c r="E200" s="9">
        <f t="shared" si="26"/>
        <v>45701.283599537033</v>
      </c>
      <c r="F200" s="2">
        <f>Odometer!B200</f>
        <v>428751398</v>
      </c>
      <c r="G200" s="2">
        <f t="shared" si="27"/>
        <v>15</v>
      </c>
      <c r="H200" s="2">
        <f>SUM($G$2:G200)</f>
        <v>1515</v>
      </c>
      <c r="I200" s="10">
        <f t="shared" si="28"/>
        <v>45701.283414351848</v>
      </c>
      <c r="J200" s="10">
        <f t="shared" si="29"/>
        <v>45701.283414351848</v>
      </c>
      <c r="K200" s="3" t="e">
        <f t="shared" si="31"/>
        <v>#N/A</v>
      </c>
      <c r="L200">
        <f t="shared" si="24"/>
        <v>0.41944444400000003</v>
      </c>
      <c r="M200">
        <f t="shared" si="30"/>
        <v>1.5099999984000001</v>
      </c>
    </row>
    <row r="201" spans="1:13" x14ac:dyDescent="0.25">
      <c r="A201" s="9">
        <f>Speed!A201</f>
        <v>45701.283414351848</v>
      </c>
      <c r="B201" s="9">
        <f t="shared" si="25"/>
        <v>45701.283414351848</v>
      </c>
      <c r="C201" s="2">
        <f>Speed!B201</f>
        <v>0.936111111</v>
      </c>
      <c r="D201" s="9">
        <f>Odometer!A201</f>
        <v>45701.28361111111</v>
      </c>
      <c r="E201" s="9">
        <f t="shared" si="26"/>
        <v>45701.28361111111</v>
      </c>
      <c r="F201" s="2">
        <f>Odometer!B201</f>
        <v>428751413</v>
      </c>
      <c r="G201" s="2">
        <f t="shared" si="27"/>
        <v>1</v>
      </c>
      <c r="H201" s="2">
        <f>SUM($G$2:G201)</f>
        <v>1516</v>
      </c>
      <c r="I201" s="10">
        <f t="shared" si="28"/>
        <v>45701.283414351848</v>
      </c>
      <c r="J201" s="10">
        <f t="shared" si="29"/>
        <v>45701.283414351848</v>
      </c>
      <c r="K201" s="3" t="e">
        <f t="shared" si="31"/>
        <v>#N/A</v>
      </c>
      <c r="L201">
        <f t="shared" si="24"/>
        <v>0.41944444400000003</v>
      </c>
      <c r="M201">
        <f t="shared" si="30"/>
        <v>1.5099999984000001</v>
      </c>
    </row>
    <row r="202" spans="1:13" x14ac:dyDescent="0.25">
      <c r="A202" s="9">
        <f>Speed!A202</f>
        <v>45701.283425925925</v>
      </c>
      <c r="B202" s="9">
        <f t="shared" si="25"/>
        <v>45701.283425925925</v>
      </c>
      <c r="C202" s="2">
        <f>Speed!B202</f>
        <v>1.7166666669999999</v>
      </c>
      <c r="D202" s="9">
        <f>Odometer!A202</f>
        <v>45701.28361111111</v>
      </c>
      <c r="E202" s="9">
        <f t="shared" si="26"/>
        <v>45701.28361111111</v>
      </c>
      <c r="F202" s="2">
        <f>Odometer!B202</f>
        <v>428751414</v>
      </c>
      <c r="G202" s="2">
        <f t="shared" si="27"/>
        <v>14</v>
      </c>
      <c r="H202" s="2">
        <f>SUM($G$2:G202)</f>
        <v>1530</v>
      </c>
      <c r="I202" s="10">
        <f t="shared" si="28"/>
        <v>45701.283425925925</v>
      </c>
      <c r="J202" s="10">
        <f t="shared" si="29"/>
        <v>45701.283425925925</v>
      </c>
      <c r="K202" s="3">
        <f t="shared" si="31"/>
        <v>1362</v>
      </c>
      <c r="L202">
        <f t="shared" si="24"/>
        <v>1.7166666669999999</v>
      </c>
      <c r="M202">
        <f t="shared" si="30"/>
        <v>6.1800000011999998</v>
      </c>
    </row>
    <row r="203" spans="1:13" x14ac:dyDescent="0.25">
      <c r="A203" s="9">
        <f>Speed!A203</f>
        <v>45701.283437500002</v>
      </c>
      <c r="B203" s="9">
        <f t="shared" si="25"/>
        <v>45701.283437499995</v>
      </c>
      <c r="C203" s="2">
        <f>Speed!B203</f>
        <v>2.8222222220000002</v>
      </c>
      <c r="D203" s="9">
        <f>Odometer!A203</f>
        <v>45701.283622685187</v>
      </c>
      <c r="E203" s="9">
        <f t="shared" si="26"/>
        <v>45701.28362268518</v>
      </c>
      <c r="F203" s="2">
        <f>Odometer!B203</f>
        <v>428751428</v>
      </c>
      <c r="G203" s="2">
        <f t="shared" si="27"/>
        <v>14</v>
      </c>
      <c r="H203" s="2">
        <f>SUM($G$2:G203)</f>
        <v>1544</v>
      </c>
      <c r="I203" s="10">
        <f t="shared" si="28"/>
        <v>45701.283437500002</v>
      </c>
      <c r="J203" s="10">
        <f t="shared" si="29"/>
        <v>45701.283437499995</v>
      </c>
      <c r="K203" s="3">
        <f t="shared" si="31"/>
        <v>1364</v>
      </c>
      <c r="L203">
        <f t="shared" si="24"/>
        <v>2.8222222220000002</v>
      </c>
      <c r="M203">
        <f t="shared" si="30"/>
        <v>10.1599999992</v>
      </c>
    </row>
    <row r="204" spans="1:13" x14ac:dyDescent="0.25">
      <c r="A204" s="9">
        <f>Speed!A204</f>
        <v>45701.283437500002</v>
      </c>
      <c r="B204" s="9">
        <f t="shared" si="25"/>
        <v>45701.283437499995</v>
      </c>
      <c r="C204" s="2">
        <f>Speed!B204</f>
        <v>3.4305555559999998</v>
      </c>
      <c r="D204" s="9">
        <f>Odometer!A204</f>
        <v>45701.283622685187</v>
      </c>
      <c r="E204" s="9">
        <f t="shared" si="26"/>
        <v>45701.28362268518</v>
      </c>
      <c r="F204" s="2">
        <f>Odometer!B204</f>
        <v>428751442</v>
      </c>
      <c r="G204" s="2">
        <f t="shared" si="27"/>
        <v>16</v>
      </c>
      <c r="H204" s="2">
        <f>SUM($G$2:G204)</f>
        <v>1560</v>
      </c>
      <c r="I204" s="10">
        <f t="shared" si="28"/>
        <v>45701.283437500002</v>
      </c>
      <c r="J204" s="10">
        <f t="shared" si="29"/>
        <v>45701.283437499995</v>
      </c>
      <c r="K204" s="3">
        <f t="shared" si="31"/>
        <v>1364</v>
      </c>
      <c r="L204">
        <f t="shared" si="24"/>
        <v>2.8222222220000002</v>
      </c>
      <c r="M204">
        <f t="shared" si="30"/>
        <v>10.1599999992</v>
      </c>
    </row>
    <row r="205" spans="1:13" x14ac:dyDescent="0.25">
      <c r="A205" s="9">
        <f>Speed!A205</f>
        <v>45701.283449074072</v>
      </c>
      <c r="B205" s="9">
        <f t="shared" si="25"/>
        <v>45701.283449074072</v>
      </c>
      <c r="C205" s="2">
        <f>Speed!B205</f>
        <v>3.988888889</v>
      </c>
      <c r="D205" s="9">
        <f>Odometer!A205</f>
        <v>45701.283645833333</v>
      </c>
      <c r="E205" s="9">
        <f t="shared" si="26"/>
        <v>45701.283645833333</v>
      </c>
      <c r="F205" s="2">
        <f>Odometer!B205</f>
        <v>428751458</v>
      </c>
      <c r="G205" s="2">
        <f t="shared" si="27"/>
        <v>15</v>
      </c>
      <c r="H205" s="2">
        <f>SUM($G$2:G205)</f>
        <v>1575</v>
      </c>
      <c r="I205" s="10">
        <f t="shared" si="28"/>
        <v>45701.283449074072</v>
      </c>
      <c r="J205" s="10">
        <f t="shared" si="29"/>
        <v>45701.283449074072</v>
      </c>
      <c r="K205" s="3">
        <f t="shared" si="31"/>
        <v>1367</v>
      </c>
      <c r="L205">
        <f t="shared" si="24"/>
        <v>3.988888889</v>
      </c>
      <c r="M205">
        <f t="shared" si="30"/>
        <v>14.360000000400001</v>
      </c>
    </row>
    <row r="206" spans="1:13" x14ac:dyDescent="0.25">
      <c r="A206" s="9">
        <f>Speed!A206</f>
        <v>45701.283449074072</v>
      </c>
      <c r="B206" s="9">
        <f t="shared" si="25"/>
        <v>45701.283449074072</v>
      </c>
      <c r="C206" s="2">
        <f>Speed!B206</f>
        <v>4.3361111110000001</v>
      </c>
      <c r="D206" s="9">
        <f>Odometer!A206</f>
        <v>45701.28365740741</v>
      </c>
      <c r="E206" s="9">
        <f t="shared" si="26"/>
        <v>45701.283657407403</v>
      </c>
      <c r="F206" s="2">
        <f>Odometer!B206</f>
        <v>428751473</v>
      </c>
      <c r="G206" s="2">
        <f t="shared" si="27"/>
        <v>2</v>
      </c>
      <c r="H206" s="2">
        <f>SUM($G$2:G206)</f>
        <v>1577</v>
      </c>
      <c r="I206" s="10">
        <f t="shared" si="28"/>
        <v>45701.283449074072</v>
      </c>
      <c r="J206" s="10">
        <f t="shared" si="29"/>
        <v>45701.283449074072</v>
      </c>
      <c r="K206" s="3">
        <f t="shared" si="31"/>
        <v>1367</v>
      </c>
      <c r="L206">
        <f t="shared" si="24"/>
        <v>3.988888889</v>
      </c>
      <c r="M206">
        <f t="shared" si="30"/>
        <v>14.360000000400001</v>
      </c>
    </row>
    <row r="207" spans="1:13" x14ac:dyDescent="0.25">
      <c r="A207" s="9">
        <f>Speed!A207</f>
        <v>45701.283460648148</v>
      </c>
      <c r="B207" s="9">
        <f t="shared" si="25"/>
        <v>45701.283460648148</v>
      </c>
      <c r="C207" s="2">
        <f>Speed!B207</f>
        <v>5.0861111110000001</v>
      </c>
      <c r="D207" s="9">
        <f>Odometer!A207</f>
        <v>45701.28365740741</v>
      </c>
      <c r="E207" s="9">
        <f t="shared" si="26"/>
        <v>45701.283657407403</v>
      </c>
      <c r="F207" s="2">
        <f>Odometer!B207</f>
        <v>428751475</v>
      </c>
      <c r="G207" s="2">
        <f t="shared" si="27"/>
        <v>15</v>
      </c>
      <c r="H207" s="2">
        <f>SUM($G$2:G207)</f>
        <v>1592</v>
      </c>
      <c r="I207" s="10">
        <f t="shared" si="28"/>
        <v>45701.283460648148</v>
      </c>
      <c r="J207" s="10">
        <f t="shared" si="29"/>
        <v>45701.283460648148</v>
      </c>
      <c r="K207" s="3">
        <f t="shared" si="31"/>
        <v>1375</v>
      </c>
      <c r="L207">
        <f t="shared" si="24"/>
        <v>5.0861111110000001</v>
      </c>
      <c r="M207">
        <f t="shared" si="30"/>
        <v>18.309999999600002</v>
      </c>
    </row>
    <row r="208" spans="1:13" x14ac:dyDescent="0.25">
      <c r="A208" s="9">
        <f>Speed!A208</f>
        <v>45701.283472222225</v>
      </c>
      <c r="B208" s="9">
        <f t="shared" si="25"/>
        <v>45701.283472222218</v>
      </c>
      <c r="C208" s="2">
        <f>Speed!B208</f>
        <v>6.0833333329999997</v>
      </c>
      <c r="D208" s="9">
        <f>Odometer!A208</f>
        <v>45701.283668981479</v>
      </c>
      <c r="E208" s="9">
        <f t="shared" si="26"/>
        <v>45701.283668981479</v>
      </c>
      <c r="F208" s="2">
        <f>Odometer!B208</f>
        <v>428751490</v>
      </c>
      <c r="G208" s="2">
        <f t="shared" si="27"/>
        <v>15</v>
      </c>
      <c r="H208" s="2">
        <f>SUM($G$2:G208)</f>
        <v>1607</v>
      </c>
      <c r="I208" s="10">
        <f t="shared" si="28"/>
        <v>45701.283472222225</v>
      </c>
      <c r="J208" s="10">
        <f t="shared" si="29"/>
        <v>45701.283472222218</v>
      </c>
      <c r="K208" s="3">
        <f t="shared" si="31"/>
        <v>1382</v>
      </c>
      <c r="L208">
        <f t="shared" si="24"/>
        <v>6.0833333329999997</v>
      </c>
      <c r="M208">
        <f t="shared" si="30"/>
        <v>21.899999998799998</v>
      </c>
    </row>
    <row r="209" spans="1:13" x14ac:dyDescent="0.25">
      <c r="A209" s="9">
        <f>Speed!A209</f>
        <v>45701.283483796295</v>
      </c>
      <c r="B209" s="9">
        <f t="shared" si="25"/>
        <v>45701.283483796295</v>
      </c>
      <c r="C209" s="2">
        <f>Speed!B209</f>
        <v>7.25</v>
      </c>
      <c r="D209" s="9">
        <f>Odometer!A209</f>
        <v>45701.283668981479</v>
      </c>
      <c r="E209" s="9">
        <f t="shared" si="26"/>
        <v>45701.283668981479</v>
      </c>
      <c r="F209" s="2">
        <f>Odometer!B209</f>
        <v>428751505</v>
      </c>
      <c r="G209" s="2">
        <f t="shared" si="27"/>
        <v>2</v>
      </c>
      <c r="H209" s="2">
        <f>SUM($G$2:G209)</f>
        <v>1609</v>
      </c>
      <c r="I209" s="10">
        <f t="shared" si="28"/>
        <v>45701.283483796295</v>
      </c>
      <c r="J209" s="10">
        <f t="shared" si="29"/>
        <v>45701.283483796295</v>
      </c>
      <c r="K209" s="3">
        <f t="shared" si="31"/>
        <v>1390</v>
      </c>
      <c r="L209">
        <f t="shared" si="24"/>
        <v>7.25</v>
      </c>
      <c r="M209">
        <f t="shared" si="30"/>
        <v>26.1</v>
      </c>
    </row>
    <row r="210" spans="1:13" x14ac:dyDescent="0.25">
      <c r="A210" s="9">
        <f>Speed!A210</f>
        <v>45701.283495370371</v>
      </c>
      <c r="B210" s="9">
        <f t="shared" si="25"/>
        <v>45701.283495370371</v>
      </c>
      <c r="C210" s="2">
        <f>Speed!B210</f>
        <v>8.3944444439999995</v>
      </c>
      <c r="D210" s="9">
        <f>Odometer!A210</f>
        <v>45701.283680555556</v>
      </c>
      <c r="E210" s="9">
        <f t="shared" si="26"/>
        <v>45701.283680555556</v>
      </c>
      <c r="F210" s="2">
        <f>Odometer!B210</f>
        <v>428751507</v>
      </c>
      <c r="G210" s="2">
        <f t="shared" si="27"/>
        <v>14</v>
      </c>
      <c r="H210" s="2">
        <f>SUM($G$2:G210)</f>
        <v>1623</v>
      </c>
      <c r="I210" s="10">
        <f t="shared" si="28"/>
        <v>45701.283495370371</v>
      </c>
      <c r="J210" s="10">
        <f t="shared" si="29"/>
        <v>45701.283495370371</v>
      </c>
      <c r="K210" s="3">
        <f t="shared" si="31"/>
        <v>1399</v>
      </c>
      <c r="L210">
        <f t="shared" si="24"/>
        <v>8.3944444439999995</v>
      </c>
      <c r="M210">
        <f t="shared" si="30"/>
        <v>30.219999998399999</v>
      </c>
    </row>
    <row r="211" spans="1:13" x14ac:dyDescent="0.25">
      <c r="A211" s="9">
        <f>Speed!A211</f>
        <v>45701.283506944441</v>
      </c>
      <c r="B211" s="9">
        <f t="shared" si="25"/>
        <v>45701.283506944441</v>
      </c>
      <c r="C211" s="2">
        <f>Speed!B211</f>
        <v>9.5583333330000002</v>
      </c>
      <c r="D211" s="9">
        <f>Odometer!A211</f>
        <v>45701.283692129633</v>
      </c>
      <c r="E211" s="9">
        <f t="shared" si="26"/>
        <v>45701.283692129626</v>
      </c>
      <c r="F211" s="2">
        <f>Odometer!B211</f>
        <v>428751521</v>
      </c>
      <c r="G211" s="2">
        <f t="shared" si="27"/>
        <v>16</v>
      </c>
      <c r="H211" s="2">
        <f>SUM($G$2:G211)</f>
        <v>1639</v>
      </c>
      <c r="I211" s="10">
        <f t="shared" si="28"/>
        <v>45701.283506944441</v>
      </c>
      <c r="J211" s="10">
        <f t="shared" si="29"/>
        <v>45701.283506944441</v>
      </c>
      <c r="K211" s="3">
        <f t="shared" si="31"/>
        <v>1410</v>
      </c>
      <c r="L211">
        <f t="shared" si="24"/>
        <v>9.5583333330000002</v>
      </c>
      <c r="M211">
        <f t="shared" si="30"/>
        <v>34.409999998800004</v>
      </c>
    </row>
    <row r="212" spans="1:13" x14ac:dyDescent="0.25">
      <c r="A212" s="9">
        <f>Speed!A212</f>
        <v>45701.283518518518</v>
      </c>
      <c r="B212" s="9">
        <f t="shared" si="25"/>
        <v>45701.283518518518</v>
      </c>
      <c r="C212" s="2">
        <f>Speed!B212</f>
        <v>10.70833333</v>
      </c>
      <c r="D212" s="9">
        <f>Odometer!A212</f>
        <v>45701.283703703702</v>
      </c>
      <c r="E212" s="9">
        <f t="shared" si="26"/>
        <v>45701.283703703702</v>
      </c>
      <c r="F212" s="2">
        <f>Odometer!B212</f>
        <v>428751537</v>
      </c>
      <c r="G212" s="2">
        <f t="shared" si="27"/>
        <v>16</v>
      </c>
      <c r="H212" s="2">
        <f>SUM($G$2:G212)</f>
        <v>1655</v>
      </c>
      <c r="I212" s="10">
        <f t="shared" si="28"/>
        <v>45701.283518518518</v>
      </c>
      <c r="J212" s="10">
        <f t="shared" si="29"/>
        <v>45701.283518518518</v>
      </c>
      <c r="K212" s="3">
        <f t="shared" si="31"/>
        <v>1421</v>
      </c>
      <c r="L212">
        <f t="shared" si="24"/>
        <v>10.70833333</v>
      </c>
      <c r="M212">
        <f t="shared" si="30"/>
        <v>38.549999988000003</v>
      </c>
    </row>
    <row r="213" spans="1:13" x14ac:dyDescent="0.25">
      <c r="A213" s="9">
        <f>Speed!A213</f>
        <v>45701.283530092594</v>
      </c>
      <c r="B213" s="9">
        <f t="shared" si="25"/>
        <v>45701.283530092587</v>
      </c>
      <c r="C213" s="2">
        <f>Speed!B213</f>
        <v>11.71388889</v>
      </c>
      <c r="D213" s="9">
        <f>Odometer!A213</f>
        <v>45701.283715277779</v>
      </c>
      <c r="E213" s="9">
        <f t="shared" si="26"/>
        <v>45701.283715277772</v>
      </c>
      <c r="F213" s="2">
        <f>Odometer!B213</f>
        <v>428751553</v>
      </c>
      <c r="G213" s="2">
        <f t="shared" si="27"/>
        <v>14</v>
      </c>
      <c r="H213" s="2">
        <f>SUM($G$2:G213)</f>
        <v>1669</v>
      </c>
      <c r="I213" s="10">
        <f t="shared" si="28"/>
        <v>45701.283530092594</v>
      </c>
      <c r="J213" s="10">
        <f t="shared" si="29"/>
        <v>45701.283530092587</v>
      </c>
      <c r="K213" s="3">
        <f t="shared" si="31"/>
        <v>1433</v>
      </c>
      <c r="L213">
        <f t="shared" si="24"/>
        <v>11.71388889</v>
      </c>
      <c r="M213">
        <f t="shared" si="30"/>
        <v>42.170000004000002</v>
      </c>
    </row>
    <row r="214" spans="1:13" x14ac:dyDescent="0.25">
      <c r="A214" s="9">
        <f>Speed!A214</f>
        <v>45701.283541666664</v>
      </c>
      <c r="B214" s="9">
        <f t="shared" si="25"/>
        <v>45701.283541666664</v>
      </c>
      <c r="C214" s="2">
        <f>Speed!B214</f>
        <v>12.47777778</v>
      </c>
      <c r="D214" s="9">
        <f>Odometer!A214</f>
        <v>45701.283726851849</v>
      </c>
      <c r="E214" s="9">
        <f t="shared" si="26"/>
        <v>45701.283726851849</v>
      </c>
      <c r="F214" s="2">
        <f>Odometer!B214</f>
        <v>428751567</v>
      </c>
      <c r="G214" s="2">
        <f t="shared" si="27"/>
        <v>16</v>
      </c>
      <c r="H214" s="2">
        <f>SUM($G$2:G214)</f>
        <v>1685</v>
      </c>
      <c r="I214" s="10">
        <f t="shared" si="28"/>
        <v>45701.283541666664</v>
      </c>
      <c r="J214" s="10">
        <f t="shared" si="29"/>
        <v>45701.283541666664</v>
      </c>
      <c r="K214" s="3">
        <f t="shared" si="31"/>
        <v>1447</v>
      </c>
      <c r="L214">
        <f t="shared" si="24"/>
        <v>12.47777778</v>
      </c>
      <c r="M214">
        <f t="shared" si="30"/>
        <v>44.920000008000002</v>
      </c>
    </row>
    <row r="215" spans="1:13" x14ac:dyDescent="0.25">
      <c r="A215" s="9">
        <f>Speed!A215</f>
        <v>45701.283553240741</v>
      </c>
      <c r="B215" s="9">
        <f t="shared" si="25"/>
        <v>45701.283553240741</v>
      </c>
      <c r="C215" s="2">
        <f>Speed!B215</f>
        <v>13.019444439999999</v>
      </c>
      <c r="D215" s="9">
        <f>Odometer!A215</f>
        <v>45701.283738425926</v>
      </c>
      <c r="E215" s="9">
        <f t="shared" si="26"/>
        <v>45701.283738425926</v>
      </c>
      <c r="F215" s="2">
        <f>Odometer!B215</f>
        <v>428751583</v>
      </c>
      <c r="G215" s="2">
        <f t="shared" si="27"/>
        <v>16</v>
      </c>
      <c r="H215" s="2">
        <f>SUM($G$2:G215)</f>
        <v>1701</v>
      </c>
      <c r="I215" s="10">
        <f t="shared" si="28"/>
        <v>45701.283553240741</v>
      </c>
      <c r="J215" s="10">
        <f t="shared" si="29"/>
        <v>45701.283553240741</v>
      </c>
      <c r="K215" s="3">
        <f t="shared" si="31"/>
        <v>1459</v>
      </c>
      <c r="L215">
        <f t="shared" si="24"/>
        <v>13.019444439999999</v>
      </c>
      <c r="M215">
        <f t="shared" si="30"/>
        <v>46.869999983999996</v>
      </c>
    </row>
    <row r="216" spans="1:13" x14ac:dyDescent="0.25">
      <c r="A216" s="9">
        <f>Speed!A216</f>
        <v>45701.283564814818</v>
      </c>
      <c r="B216" s="9">
        <f t="shared" si="25"/>
        <v>45701.28356481481</v>
      </c>
      <c r="C216" s="2">
        <f>Speed!B216</f>
        <v>13.413888890000001</v>
      </c>
      <c r="D216" s="9">
        <f>Odometer!A216</f>
        <v>45701.283750000002</v>
      </c>
      <c r="E216" s="9">
        <f t="shared" si="26"/>
        <v>45701.283749999995</v>
      </c>
      <c r="F216" s="2">
        <f>Odometer!B216</f>
        <v>428751599</v>
      </c>
      <c r="G216" s="2">
        <f t="shared" si="27"/>
        <v>10</v>
      </c>
      <c r="H216" s="2">
        <f>SUM($G$2:G216)</f>
        <v>1711</v>
      </c>
      <c r="I216" s="10">
        <f t="shared" si="28"/>
        <v>45701.283564814818</v>
      </c>
      <c r="J216" s="10">
        <f t="shared" si="29"/>
        <v>45701.28356481481</v>
      </c>
      <c r="K216" s="3">
        <f t="shared" si="31"/>
        <v>1472</v>
      </c>
      <c r="L216">
        <f t="shared" si="24"/>
        <v>13.413888890000001</v>
      </c>
      <c r="M216">
        <f t="shared" si="30"/>
        <v>48.290000004000007</v>
      </c>
    </row>
    <row r="217" spans="1:13" x14ac:dyDescent="0.25">
      <c r="A217" s="9">
        <f>Speed!A217</f>
        <v>45701.283576388887</v>
      </c>
      <c r="B217" s="9">
        <f t="shared" si="25"/>
        <v>45701.283576388887</v>
      </c>
      <c r="C217" s="2">
        <f>Speed!B217</f>
        <v>13.84166667</v>
      </c>
      <c r="D217" s="9">
        <f>Odometer!A217</f>
        <v>45701.283761574072</v>
      </c>
      <c r="E217" s="9">
        <f t="shared" si="26"/>
        <v>45701.283761574072</v>
      </c>
      <c r="F217" s="2">
        <f>Odometer!B217</f>
        <v>428751609</v>
      </c>
      <c r="G217" s="2">
        <f t="shared" si="27"/>
        <v>5</v>
      </c>
      <c r="H217" s="2">
        <f>SUM($G$2:G217)</f>
        <v>1716</v>
      </c>
      <c r="I217" s="10">
        <f t="shared" si="28"/>
        <v>45701.283576388887</v>
      </c>
      <c r="J217" s="10">
        <f t="shared" si="29"/>
        <v>45701.283576388887</v>
      </c>
      <c r="K217" s="3">
        <f t="shared" si="31"/>
        <v>1486</v>
      </c>
      <c r="L217">
        <f t="shared" si="24"/>
        <v>13.84166667</v>
      </c>
      <c r="M217">
        <f t="shared" si="30"/>
        <v>49.830000011999999</v>
      </c>
    </row>
    <row r="218" spans="1:13" x14ac:dyDescent="0.25">
      <c r="A218" s="9">
        <f>Speed!A218</f>
        <v>45701.283587962964</v>
      </c>
      <c r="B218" s="9">
        <f t="shared" si="25"/>
        <v>45701.283587962964</v>
      </c>
      <c r="C218" s="2">
        <f>Speed!B218</f>
        <v>14.258333329999999</v>
      </c>
      <c r="D218" s="9">
        <f>Odometer!A218</f>
        <v>45701.283761574072</v>
      </c>
      <c r="E218" s="9">
        <f t="shared" si="26"/>
        <v>45701.283761574072</v>
      </c>
      <c r="F218" s="2">
        <f>Odometer!B218</f>
        <v>428751614</v>
      </c>
      <c r="G218" s="2">
        <f t="shared" si="27"/>
        <v>12</v>
      </c>
      <c r="H218" s="2">
        <f>SUM($G$2:G218)</f>
        <v>1728</v>
      </c>
      <c r="I218" s="10">
        <f t="shared" si="28"/>
        <v>45701.283587962964</v>
      </c>
      <c r="J218" s="10">
        <f t="shared" si="29"/>
        <v>45701.283587962964</v>
      </c>
      <c r="K218" s="3">
        <f t="shared" si="31"/>
        <v>1500</v>
      </c>
      <c r="L218">
        <f t="shared" si="24"/>
        <v>14.258333329999999</v>
      </c>
      <c r="M218">
        <f t="shared" si="30"/>
        <v>51.329999987999997</v>
      </c>
    </row>
    <row r="219" spans="1:13" x14ac:dyDescent="0.25">
      <c r="A219" s="9">
        <f>Speed!A219</f>
        <v>45701.283599537041</v>
      </c>
      <c r="B219" s="9">
        <f t="shared" si="25"/>
        <v>45701.283599537033</v>
      </c>
      <c r="C219" s="2">
        <f>Speed!B219</f>
        <v>14.46388889</v>
      </c>
      <c r="D219" s="9">
        <f>Odometer!A219</f>
        <v>45701.283761574072</v>
      </c>
      <c r="E219" s="9">
        <f t="shared" si="26"/>
        <v>45701.283761574072</v>
      </c>
      <c r="F219" s="2">
        <f>Odometer!B219</f>
        <v>428751626</v>
      </c>
      <c r="G219" s="2">
        <f t="shared" si="27"/>
        <v>7</v>
      </c>
      <c r="H219" s="2">
        <f>SUM($G$2:G219)</f>
        <v>1735</v>
      </c>
      <c r="I219" s="10">
        <f t="shared" si="28"/>
        <v>45701.283599537041</v>
      </c>
      <c r="J219" s="10">
        <f t="shared" si="29"/>
        <v>45701.283599537033</v>
      </c>
      <c r="K219" s="3">
        <f t="shared" si="31"/>
        <v>1515</v>
      </c>
      <c r="L219">
        <f t="shared" si="24"/>
        <v>14.46388889</v>
      </c>
      <c r="M219">
        <f t="shared" si="30"/>
        <v>52.070000004000001</v>
      </c>
    </row>
    <row r="220" spans="1:13" x14ac:dyDescent="0.25">
      <c r="A220" s="9">
        <f>Speed!A220</f>
        <v>45701.28361111111</v>
      </c>
      <c r="B220" s="9">
        <f t="shared" si="25"/>
        <v>45701.28361111111</v>
      </c>
      <c r="C220" s="2">
        <f>Speed!B220</f>
        <v>14.67777778</v>
      </c>
      <c r="D220" s="9">
        <f>Odometer!A220</f>
        <v>45701.283773148149</v>
      </c>
      <c r="E220" s="9">
        <f t="shared" si="26"/>
        <v>45701.283773148149</v>
      </c>
      <c r="F220" s="2">
        <f>Odometer!B220</f>
        <v>428751633</v>
      </c>
      <c r="G220" s="2">
        <f t="shared" si="27"/>
        <v>11</v>
      </c>
      <c r="H220" s="2">
        <f>SUM($G$2:G220)</f>
        <v>1746</v>
      </c>
      <c r="I220" s="10">
        <f t="shared" si="28"/>
        <v>45701.28361111111</v>
      </c>
      <c r="J220" s="10">
        <f t="shared" si="29"/>
        <v>45701.28361111111</v>
      </c>
      <c r="K220" s="3">
        <f t="shared" si="31"/>
        <v>1516</v>
      </c>
      <c r="L220">
        <f t="shared" si="24"/>
        <v>14.67777778</v>
      </c>
      <c r="M220">
        <f t="shared" si="30"/>
        <v>52.840000007999997</v>
      </c>
    </row>
    <row r="221" spans="1:13" x14ac:dyDescent="0.25">
      <c r="A221" s="9">
        <f>Speed!A221</f>
        <v>45701.28361111111</v>
      </c>
      <c r="B221" s="9">
        <f t="shared" si="25"/>
        <v>45701.28361111111</v>
      </c>
      <c r="C221" s="2">
        <f>Speed!B221</f>
        <v>14.686111110000001</v>
      </c>
      <c r="D221" s="9">
        <f>Odometer!A221</f>
        <v>45701.283773148149</v>
      </c>
      <c r="E221" s="9">
        <f t="shared" si="26"/>
        <v>45701.283773148149</v>
      </c>
      <c r="F221" s="2">
        <f>Odometer!B221</f>
        <v>428751644</v>
      </c>
      <c r="G221" s="2">
        <f t="shared" si="27"/>
        <v>1</v>
      </c>
      <c r="H221" s="2">
        <f>SUM($G$2:G221)</f>
        <v>1747</v>
      </c>
      <c r="I221" s="10">
        <f t="shared" si="28"/>
        <v>45701.28361111111</v>
      </c>
      <c r="J221" s="10">
        <f t="shared" si="29"/>
        <v>45701.28361111111</v>
      </c>
      <c r="K221" s="3">
        <f t="shared" si="31"/>
        <v>1516</v>
      </c>
      <c r="L221">
        <f t="shared" si="24"/>
        <v>14.67777778</v>
      </c>
      <c r="M221">
        <f t="shared" si="30"/>
        <v>52.840000007999997</v>
      </c>
    </row>
    <row r="222" spans="1:13" x14ac:dyDescent="0.25">
      <c r="A222" s="9">
        <f>Speed!A222</f>
        <v>45701.283622685187</v>
      </c>
      <c r="B222" s="9">
        <f t="shared" si="25"/>
        <v>45701.28362268518</v>
      </c>
      <c r="C222" s="2">
        <f>Speed!B222</f>
        <v>14.877777780000001</v>
      </c>
      <c r="D222" s="9">
        <f>Odometer!A222</f>
        <v>45701.283784722225</v>
      </c>
      <c r="E222" s="9">
        <f t="shared" si="26"/>
        <v>45701.283784722218</v>
      </c>
      <c r="F222" s="2">
        <f>Odometer!B222</f>
        <v>428751645</v>
      </c>
      <c r="G222" s="2">
        <f t="shared" si="27"/>
        <v>15</v>
      </c>
      <c r="H222" s="2">
        <f>SUM($G$2:G222)</f>
        <v>1762</v>
      </c>
      <c r="I222" s="10">
        <f t="shared" si="28"/>
        <v>45701.283622685187</v>
      </c>
      <c r="J222" s="10">
        <f t="shared" si="29"/>
        <v>45701.28362268518</v>
      </c>
      <c r="K222" s="3">
        <f t="shared" si="31"/>
        <v>1544</v>
      </c>
      <c r="L222">
        <f t="shared" si="24"/>
        <v>14.877777780000001</v>
      </c>
      <c r="M222">
        <f t="shared" si="30"/>
        <v>53.560000008000003</v>
      </c>
    </row>
    <row r="223" spans="1:13" x14ac:dyDescent="0.25">
      <c r="A223" s="9">
        <f>Speed!A223</f>
        <v>45701.283622685187</v>
      </c>
      <c r="B223" s="9">
        <f t="shared" si="25"/>
        <v>45701.28362268518</v>
      </c>
      <c r="C223" s="2">
        <f>Speed!B223</f>
        <v>15.06944444</v>
      </c>
      <c r="D223" s="9">
        <f>Odometer!A223</f>
        <v>45701.283796296295</v>
      </c>
      <c r="E223" s="9">
        <f t="shared" si="26"/>
        <v>45701.283796296295</v>
      </c>
      <c r="F223" s="2">
        <f>Odometer!B223</f>
        <v>428751660</v>
      </c>
      <c r="G223" s="2">
        <f t="shared" si="27"/>
        <v>1</v>
      </c>
      <c r="H223" s="2">
        <f>SUM($G$2:G223)</f>
        <v>1763</v>
      </c>
      <c r="I223" s="10">
        <f t="shared" si="28"/>
        <v>45701.283622685187</v>
      </c>
      <c r="J223" s="10">
        <f t="shared" si="29"/>
        <v>45701.28362268518</v>
      </c>
      <c r="K223" s="3">
        <f t="shared" si="31"/>
        <v>1544</v>
      </c>
      <c r="L223">
        <f t="shared" si="24"/>
        <v>14.877777780000001</v>
      </c>
      <c r="M223">
        <f t="shared" si="30"/>
        <v>53.560000008000003</v>
      </c>
    </row>
    <row r="224" spans="1:13" x14ac:dyDescent="0.25">
      <c r="A224" s="9">
        <f>Speed!A224</f>
        <v>45701.283645833333</v>
      </c>
      <c r="B224" s="9">
        <f t="shared" si="25"/>
        <v>45701.283645833333</v>
      </c>
      <c r="C224" s="2">
        <f>Speed!B224</f>
        <v>15.29722222</v>
      </c>
      <c r="D224" s="9">
        <f>Odometer!A224</f>
        <v>45701.283796296295</v>
      </c>
      <c r="E224" s="9">
        <f t="shared" si="26"/>
        <v>45701.283796296295</v>
      </c>
      <c r="F224" s="2">
        <f>Odometer!B224</f>
        <v>428751661</v>
      </c>
      <c r="G224" s="2">
        <f t="shared" si="27"/>
        <v>16</v>
      </c>
      <c r="H224" s="2">
        <f>SUM($G$2:G224)</f>
        <v>1779</v>
      </c>
      <c r="I224" s="10">
        <f t="shared" si="28"/>
        <v>45701.283645833333</v>
      </c>
      <c r="J224" s="10">
        <f t="shared" si="29"/>
        <v>45701.283645833333</v>
      </c>
      <c r="K224" s="3">
        <f t="shared" si="31"/>
        <v>1575</v>
      </c>
      <c r="L224">
        <f t="shared" si="24"/>
        <v>15.29722222</v>
      </c>
      <c r="M224">
        <f t="shared" si="30"/>
        <v>55.069999992</v>
      </c>
    </row>
    <row r="225" spans="1:13" x14ac:dyDescent="0.25">
      <c r="A225" s="9">
        <f>Speed!A225</f>
        <v>45701.28365740741</v>
      </c>
      <c r="B225" s="9">
        <f t="shared" si="25"/>
        <v>45701.283657407403</v>
      </c>
      <c r="C225" s="2">
        <f>Speed!B225</f>
        <v>15.51111111</v>
      </c>
      <c r="D225" s="9">
        <f>Odometer!A225</f>
        <v>45701.283807870372</v>
      </c>
      <c r="E225" s="9">
        <f t="shared" si="26"/>
        <v>45701.283807870372</v>
      </c>
      <c r="F225" s="2">
        <f>Odometer!B225</f>
        <v>428751677</v>
      </c>
      <c r="G225" s="2">
        <f t="shared" si="27"/>
        <v>13</v>
      </c>
      <c r="H225" s="2">
        <f>SUM($G$2:G225)</f>
        <v>1792</v>
      </c>
      <c r="I225" s="10">
        <f t="shared" si="28"/>
        <v>45701.28365740741</v>
      </c>
      <c r="J225" s="10">
        <f t="shared" si="29"/>
        <v>45701.283657407403</v>
      </c>
      <c r="K225" s="3">
        <f t="shared" si="31"/>
        <v>1577</v>
      </c>
      <c r="L225">
        <f t="shared" si="24"/>
        <v>15.51111111</v>
      </c>
      <c r="M225">
        <f t="shared" si="30"/>
        <v>55.839999996000003</v>
      </c>
    </row>
    <row r="226" spans="1:13" x14ac:dyDescent="0.25">
      <c r="A226" s="9">
        <f>Speed!A226</f>
        <v>45701.28365740741</v>
      </c>
      <c r="B226" s="9">
        <f t="shared" si="25"/>
        <v>45701.283657407403</v>
      </c>
      <c r="C226" s="2">
        <f>Speed!B226</f>
        <v>15.53055556</v>
      </c>
      <c r="D226" s="9">
        <f>Odometer!A226</f>
        <v>45701.283807870372</v>
      </c>
      <c r="E226" s="9">
        <f t="shared" si="26"/>
        <v>45701.283807870372</v>
      </c>
      <c r="F226" s="2">
        <f>Odometer!B226</f>
        <v>428751690</v>
      </c>
      <c r="G226" s="2">
        <f t="shared" si="27"/>
        <v>15</v>
      </c>
      <c r="H226" s="2">
        <f>SUM($G$2:G226)</f>
        <v>1807</v>
      </c>
      <c r="I226" s="10">
        <f t="shared" si="28"/>
        <v>45701.28365740741</v>
      </c>
      <c r="J226" s="10">
        <f t="shared" si="29"/>
        <v>45701.283657407403</v>
      </c>
      <c r="K226" s="3">
        <f t="shared" si="31"/>
        <v>1577</v>
      </c>
      <c r="L226">
        <f t="shared" si="24"/>
        <v>15.51111111</v>
      </c>
      <c r="M226">
        <f t="shared" si="30"/>
        <v>55.839999996000003</v>
      </c>
    </row>
    <row r="227" spans="1:13" x14ac:dyDescent="0.25">
      <c r="A227" s="9">
        <f>Speed!A227</f>
        <v>45701.283668981479</v>
      </c>
      <c r="B227" s="9">
        <f t="shared" si="25"/>
        <v>45701.283668981479</v>
      </c>
      <c r="C227" s="2">
        <f>Speed!B227</f>
        <v>15.788888890000001</v>
      </c>
      <c r="D227" s="9">
        <f>Odometer!A227</f>
        <v>45701.283831018518</v>
      </c>
      <c r="E227" s="9">
        <f t="shared" si="26"/>
        <v>45701.283831018518</v>
      </c>
      <c r="F227" s="2">
        <f>Odometer!B227</f>
        <v>428751705</v>
      </c>
      <c r="G227" s="2">
        <f t="shared" si="27"/>
        <v>14</v>
      </c>
      <c r="H227" s="2">
        <f>SUM($G$2:G227)</f>
        <v>1821</v>
      </c>
      <c r="I227" s="10">
        <f t="shared" si="28"/>
        <v>45701.283668981479</v>
      </c>
      <c r="J227" s="10">
        <f t="shared" si="29"/>
        <v>45701.283668981479</v>
      </c>
      <c r="K227" s="3">
        <f t="shared" si="31"/>
        <v>1607</v>
      </c>
      <c r="L227">
        <f t="shared" si="24"/>
        <v>15.788888890000001</v>
      </c>
      <c r="M227">
        <f t="shared" si="30"/>
        <v>56.840000004000004</v>
      </c>
    </row>
    <row r="228" spans="1:13" x14ac:dyDescent="0.25">
      <c r="A228" s="9">
        <f>Speed!A228</f>
        <v>45701.283668981479</v>
      </c>
      <c r="B228" s="9">
        <f t="shared" si="25"/>
        <v>45701.283668981479</v>
      </c>
      <c r="C228" s="2">
        <f>Speed!B228</f>
        <v>15.891666669999999</v>
      </c>
      <c r="D228" s="9">
        <f>Odometer!A228</f>
        <v>45701.283842592595</v>
      </c>
      <c r="E228" s="9">
        <f t="shared" si="26"/>
        <v>45701.283842592587</v>
      </c>
      <c r="F228" s="2">
        <f>Odometer!B228</f>
        <v>428751719</v>
      </c>
      <c r="G228" s="2">
        <f t="shared" si="27"/>
        <v>12</v>
      </c>
      <c r="H228" s="2">
        <f>SUM($G$2:G228)</f>
        <v>1833</v>
      </c>
      <c r="I228" s="10">
        <f t="shared" si="28"/>
        <v>45701.283668981479</v>
      </c>
      <c r="J228" s="10">
        <f t="shared" si="29"/>
        <v>45701.283668981479</v>
      </c>
      <c r="K228" s="3">
        <f t="shared" si="31"/>
        <v>1607</v>
      </c>
      <c r="L228">
        <f t="shared" si="24"/>
        <v>15.788888890000001</v>
      </c>
      <c r="M228">
        <f t="shared" si="30"/>
        <v>56.840000004000004</v>
      </c>
    </row>
    <row r="229" spans="1:13" x14ac:dyDescent="0.25">
      <c r="A229" s="9">
        <f>Speed!A229</f>
        <v>45701.283680555556</v>
      </c>
      <c r="B229" s="9">
        <f t="shared" si="25"/>
        <v>45701.283680555556</v>
      </c>
      <c r="C229" s="2">
        <f>Speed!B229</f>
        <v>15.86111111</v>
      </c>
      <c r="D229" s="9">
        <f>Odometer!A229</f>
        <v>45701.283854166664</v>
      </c>
      <c r="E229" s="9">
        <f t="shared" si="26"/>
        <v>45701.283854166664</v>
      </c>
      <c r="F229" s="2">
        <f>Odometer!B229</f>
        <v>428751731</v>
      </c>
      <c r="G229" s="2">
        <f t="shared" si="27"/>
        <v>13</v>
      </c>
      <c r="H229" s="2">
        <f>SUM($G$2:G229)</f>
        <v>1846</v>
      </c>
      <c r="I229" s="10">
        <f t="shared" si="28"/>
        <v>45701.283680555556</v>
      </c>
      <c r="J229" s="10">
        <f t="shared" si="29"/>
        <v>45701.283680555556</v>
      </c>
      <c r="K229" s="3">
        <f t="shared" si="31"/>
        <v>1623</v>
      </c>
      <c r="L229">
        <f t="shared" si="24"/>
        <v>15.86111111</v>
      </c>
      <c r="M229">
        <f t="shared" si="30"/>
        <v>57.099999996000001</v>
      </c>
    </row>
    <row r="230" spans="1:13" x14ac:dyDescent="0.25">
      <c r="A230" s="9">
        <f>Speed!A230</f>
        <v>45701.283692129633</v>
      </c>
      <c r="B230" s="9">
        <f t="shared" si="25"/>
        <v>45701.283692129626</v>
      </c>
      <c r="C230" s="2">
        <f>Speed!B230</f>
        <v>15.81666667</v>
      </c>
      <c r="D230" s="9">
        <f>Odometer!A230</f>
        <v>45701.283865740741</v>
      </c>
      <c r="E230" s="9">
        <f t="shared" si="26"/>
        <v>45701.283865740741</v>
      </c>
      <c r="F230" s="2">
        <f>Odometer!B230</f>
        <v>428751744</v>
      </c>
      <c r="G230" s="2">
        <f t="shared" si="27"/>
        <v>13</v>
      </c>
      <c r="H230" s="2">
        <f>SUM($G$2:G230)</f>
        <v>1859</v>
      </c>
      <c r="I230" s="10">
        <f t="shared" si="28"/>
        <v>45701.283692129633</v>
      </c>
      <c r="J230" s="10">
        <f t="shared" si="29"/>
        <v>45701.283692129626</v>
      </c>
      <c r="K230" s="3">
        <f t="shared" si="31"/>
        <v>1639</v>
      </c>
      <c r="L230">
        <f t="shared" si="24"/>
        <v>15.81666667</v>
      </c>
      <c r="M230">
        <f t="shared" si="30"/>
        <v>56.940000011999999</v>
      </c>
    </row>
    <row r="231" spans="1:13" x14ac:dyDescent="0.25">
      <c r="A231" s="9">
        <f>Speed!A231</f>
        <v>45701.283703703702</v>
      </c>
      <c r="B231" s="9">
        <f t="shared" si="25"/>
        <v>45701.283703703702</v>
      </c>
      <c r="C231" s="2">
        <f>Speed!B231</f>
        <v>15.73611111</v>
      </c>
      <c r="D231" s="9">
        <f>Odometer!A231</f>
        <v>45701.283877314818</v>
      </c>
      <c r="E231" s="9">
        <f t="shared" si="26"/>
        <v>45701.283877314811</v>
      </c>
      <c r="F231" s="2">
        <f>Odometer!B231</f>
        <v>428751757</v>
      </c>
      <c r="G231" s="2">
        <f t="shared" si="27"/>
        <v>13</v>
      </c>
      <c r="H231" s="2">
        <f>SUM($G$2:G231)</f>
        <v>1872</v>
      </c>
      <c r="I231" s="10">
        <f t="shared" si="28"/>
        <v>45701.283703703702</v>
      </c>
      <c r="J231" s="10">
        <f t="shared" si="29"/>
        <v>45701.283703703702</v>
      </c>
      <c r="K231" s="3">
        <f t="shared" si="31"/>
        <v>1655</v>
      </c>
      <c r="L231">
        <f t="shared" si="24"/>
        <v>15.73611111</v>
      </c>
      <c r="M231">
        <f t="shared" si="30"/>
        <v>56.649999995999998</v>
      </c>
    </row>
    <row r="232" spans="1:13" x14ac:dyDescent="0.25">
      <c r="A232" s="9">
        <f>Speed!A232</f>
        <v>45701.283715277779</v>
      </c>
      <c r="B232" s="9">
        <f t="shared" si="25"/>
        <v>45701.283715277772</v>
      </c>
      <c r="C232" s="2">
        <f>Speed!B232</f>
        <v>15.66666667</v>
      </c>
      <c r="D232" s="9">
        <f>Odometer!A232</f>
        <v>45701.283888888887</v>
      </c>
      <c r="E232" s="9">
        <f t="shared" si="26"/>
        <v>45701.283888888887</v>
      </c>
      <c r="F232" s="2">
        <f>Odometer!B232</f>
        <v>428751770</v>
      </c>
      <c r="G232" s="2">
        <f t="shared" si="27"/>
        <v>11</v>
      </c>
      <c r="H232" s="2">
        <f>SUM($G$2:G232)</f>
        <v>1883</v>
      </c>
      <c r="I232" s="10">
        <f t="shared" si="28"/>
        <v>45701.283715277779</v>
      </c>
      <c r="J232" s="10">
        <f t="shared" si="29"/>
        <v>45701.283715277772</v>
      </c>
      <c r="K232" s="3">
        <f t="shared" si="31"/>
        <v>1669</v>
      </c>
      <c r="L232">
        <f t="shared" si="24"/>
        <v>15.66666667</v>
      </c>
      <c r="M232">
        <f t="shared" si="30"/>
        <v>56.400000012</v>
      </c>
    </row>
    <row r="233" spans="1:13" x14ac:dyDescent="0.25">
      <c r="A233" s="9">
        <f>Speed!A233</f>
        <v>45701.283726851849</v>
      </c>
      <c r="B233" s="9">
        <f t="shared" si="25"/>
        <v>45701.283726851849</v>
      </c>
      <c r="C233" s="2">
        <f>Speed!B233</f>
        <v>15.627777780000001</v>
      </c>
      <c r="D233" s="9">
        <f>Odometer!A233</f>
        <v>45701.283900462964</v>
      </c>
      <c r="E233" s="9">
        <f t="shared" si="26"/>
        <v>45701.283900462964</v>
      </c>
      <c r="F233" s="2">
        <f>Odometer!B233</f>
        <v>428751781</v>
      </c>
      <c r="G233" s="2">
        <f t="shared" si="27"/>
        <v>12</v>
      </c>
      <c r="H233" s="2">
        <f>SUM($G$2:G233)</f>
        <v>1895</v>
      </c>
      <c r="I233" s="10">
        <f t="shared" si="28"/>
        <v>45701.283726851849</v>
      </c>
      <c r="J233" s="10">
        <f t="shared" si="29"/>
        <v>45701.283726851849</v>
      </c>
      <c r="K233" s="3">
        <f t="shared" si="31"/>
        <v>1685</v>
      </c>
      <c r="L233">
        <f t="shared" si="24"/>
        <v>15.627777780000001</v>
      </c>
      <c r="M233">
        <f t="shared" si="30"/>
        <v>56.260000008000006</v>
      </c>
    </row>
    <row r="234" spans="1:13" x14ac:dyDescent="0.25">
      <c r="A234" s="9">
        <f>Speed!A234</f>
        <v>45701.283738425926</v>
      </c>
      <c r="B234" s="9">
        <f t="shared" si="25"/>
        <v>45701.283738425926</v>
      </c>
      <c r="C234" s="2">
        <f>Speed!B234</f>
        <v>15.538888890000001</v>
      </c>
      <c r="D234" s="9">
        <f>Odometer!A234</f>
        <v>45701.283912037034</v>
      </c>
      <c r="E234" s="9">
        <f t="shared" si="26"/>
        <v>45701.283912037034</v>
      </c>
      <c r="F234" s="2">
        <f>Odometer!B234</f>
        <v>428751793</v>
      </c>
      <c r="G234" s="2">
        <f t="shared" si="27"/>
        <v>12</v>
      </c>
      <c r="H234" s="2">
        <f>SUM($G$2:G234)</f>
        <v>1907</v>
      </c>
      <c r="I234" s="10">
        <f t="shared" si="28"/>
        <v>45701.283738425926</v>
      </c>
      <c r="J234" s="10">
        <f t="shared" si="29"/>
        <v>45701.283738425926</v>
      </c>
      <c r="K234" s="3">
        <f t="shared" si="31"/>
        <v>1701</v>
      </c>
      <c r="L234">
        <f t="shared" si="24"/>
        <v>15.538888890000001</v>
      </c>
      <c r="M234">
        <f t="shared" si="30"/>
        <v>55.940000004000005</v>
      </c>
    </row>
    <row r="235" spans="1:13" x14ac:dyDescent="0.25">
      <c r="A235" s="9">
        <f>Speed!A235</f>
        <v>45701.283750000002</v>
      </c>
      <c r="B235" s="9">
        <f t="shared" si="25"/>
        <v>45701.283749999995</v>
      </c>
      <c r="C235" s="2">
        <f>Speed!B235</f>
        <v>15.46666667</v>
      </c>
      <c r="D235" s="9">
        <f>Odometer!A235</f>
        <v>45701.28392361111</v>
      </c>
      <c r="E235" s="9">
        <f t="shared" si="26"/>
        <v>45701.28392361111</v>
      </c>
      <c r="F235" s="2">
        <f>Odometer!B235</f>
        <v>428751805</v>
      </c>
      <c r="G235" s="2">
        <f t="shared" si="27"/>
        <v>10</v>
      </c>
      <c r="H235" s="2">
        <f>SUM($G$2:G235)</f>
        <v>1917</v>
      </c>
      <c r="I235" s="10">
        <f t="shared" si="28"/>
        <v>45701.283750000002</v>
      </c>
      <c r="J235" s="10">
        <f t="shared" si="29"/>
        <v>45701.283749999995</v>
      </c>
      <c r="K235" s="3">
        <f t="shared" si="31"/>
        <v>1711</v>
      </c>
      <c r="L235">
        <f t="shared" si="24"/>
        <v>15.46666667</v>
      </c>
      <c r="M235">
        <f t="shared" si="30"/>
        <v>55.680000012000001</v>
      </c>
    </row>
    <row r="236" spans="1:13" x14ac:dyDescent="0.25">
      <c r="A236" s="9">
        <f>Speed!A236</f>
        <v>45701.283761574072</v>
      </c>
      <c r="B236" s="9">
        <f t="shared" si="25"/>
        <v>45701.283761574072</v>
      </c>
      <c r="C236" s="2">
        <f>Speed!B236</f>
        <v>15.438888889999999</v>
      </c>
      <c r="D236" s="9">
        <f>Odometer!A236</f>
        <v>45701.283935185187</v>
      </c>
      <c r="E236" s="9">
        <f t="shared" si="26"/>
        <v>45701.28393518518</v>
      </c>
      <c r="F236" s="2">
        <f>Odometer!B236</f>
        <v>428751815</v>
      </c>
      <c r="G236" s="2">
        <f t="shared" si="27"/>
        <v>10</v>
      </c>
      <c r="H236" s="2">
        <f>SUM($G$2:G236)</f>
        <v>1927</v>
      </c>
      <c r="I236" s="10">
        <f t="shared" si="28"/>
        <v>45701.283761574072</v>
      </c>
      <c r="J236" s="10">
        <f t="shared" si="29"/>
        <v>45701.283761574072</v>
      </c>
      <c r="K236" s="3">
        <f t="shared" si="31"/>
        <v>1716</v>
      </c>
      <c r="L236">
        <f t="shared" si="24"/>
        <v>15.438888889999999</v>
      </c>
      <c r="M236">
        <f t="shared" si="30"/>
        <v>55.580000003999999</v>
      </c>
    </row>
    <row r="237" spans="1:13" x14ac:dyDescent="0.25">
      <c r="A237" s="9">
        <f>Speed!A237</f>
        <v>45701.283761574072</v>
      </c>
      <c r="B237" s="9">
        <f t="shared" si="25"/>
        <v>45701.283761574072</v>
      </c>
      <c r="C237" s="2">
        <f>Speed!B237</f>
        <v>15.35277778</v>
      </c>
      <c r="D237" s="9">
        <f>Odometer!A237</f>
        <v>45701.283946759257</v>
      </c>
      <c r="E237" s="9">
        <f t="shared" si="26"/>
        <v>45701.283946759257</v>
      </c>
      <c r="F237" s="2">
        <f>Odometer!B237</f>
        <v>428751825</v>
      </c>
      <c r="G237" s="2">
        <f t="shared" si="27"/>
        <v>11</v>
      </c>
      <c r="H237" s="2">
        <f>SUM($G$2:G237)</f>
        <v>1938</v>
      </c>
      <c r="I237" s="10">
        <f t="shared" si="28"/>
        <v>45701.283761574072</v>
      </c>
      <c r="J237" s="10">
        <f t="shared" si="29"/>
        <v>45701.283761574072</v>
      </c>
      <c r="K237" s="3">
        <f t="shared" si="31"/>
        <v>1716</v>
      </c>
      <c r="L237">
        <f t="shared" si="24"/>
        <v>15.438888889999999</v>
      </c>
      <c r="M237">
        <f t="shared" si="30"/>
        <v>55.580000003999999</v>
      </c>
    </row>
    <row r="238" spans="1:13" x14ac:dyDescent="0.25">
      <c r="A238" s="9">
        <f>Speed!A238</f>
        <v>45701.283773148149</v>
      </c>
      <c r="B238" s="9">
        <f t="shared" si="25"/>
        <v>45701.283773148149</v>
      </c>
      <c r="C238" s="2">
        <f>Speed!B238</f>
        <v>15.366666670000001</v>
      </c>
      <c r="D238" s="9">
        <f>Odometer!A238</f>
        <v>45701.283958333333</v>
      </c>
      <c r="E238" s="9">
        <f t="shared" si="26"/>
        <v>45701.283958333333</v>
      </c>
      <c r="F238" s="2">
        <f>Odometer!B238</f>
        <v>428751836</v>
      </c>
      <c r="G238" s="2">
        <f t="shared" si="27"/>
        <v>8</v>
      </c>
      <c r="H238" s="2">
        <f>SUM($G$2:G238)</f>
        <v>1946</v>
      </c>
      <c r="I238" s="10">
        <f t="shared" si="28"/>
        <v>45701.283773148149</v>
      </c>
      <c r="J238" s="10">
        <f t="shared" si="29"/>
        <v>45701.283773148149</v>
      </c>
      <c r="K238" s="3">
        <f t="shared" si="31"/>
        <v>1746</v>
      </c>
      <c r="L238">
        <f t="shared" si="24"/>
        <v>15.366666670000001</v>
      </c>
      <c r="M238">
        <f t="shared" si="30"/>
        <v>55.320000012000001</v>
      </c>
    </row>
    <row r="239" spans="1:13" x14ac:dyDescent="0.25">
      <c r="A239" s="9">
        <f>Speed!A239</f>
        <v>45701.283784722225</v>
      </c>
      <c r="B239" s="9">
        <f t="shared" si="25"/>
        <v>45701.283784722218</v>
      </c>
      <c r="C239" s="2">
        <f>Speed!B239</f>
        <v>15.169444439999999</v>
      </c>
      <c r="D239" s="9">
        <f>Odometer!A239</f>
        <v>45701.28396990741</v>
      </c>
      <c r="E239" s="9">
        <f t="shared" si="26"/>
        <v>45701.283969907403</v>
      </c>
      <c r="F239" s="2">
        <f>Odometer!B239</f>
        <v>428751844</v>
      </c>
      <c r="G239" s="2">
        <f t="shared" si="27"/>
        <v>8</v>
      </c>
      <c r="H239" s="2">
        <f>SUM($G$2:G239)</f>
        <v>1954</v>
      </c>
      <c r="I239" s="10">
        <f t="shared" si="28"/>
        <v>45701.283784722225</v>
      </c>
      <c r="J239" s="10">
        <f t="shared" si="29"/>
        <v>45701.283784722218</v>
      </c>
      <c r="K239" s="3">
        <f t="shared" si="31"/>
        <v>1762</v>
      </c>
      <c r="L239">
        <f t="shared" si="24"/>
        <v>15.169444439999999</v>
      </c>
      <c r="M239">
        <f t="shared" si="30"/>
        <v>54.609999983999998</v>
      </c>
    </row>
    <row r="240" spans="1:13" x14ac:dyDescent="0.25">
      <c r="A240" s="9">
        <f>Speed!A240</f>
        <v>45701.283784722225</v>
      </c>
      <c r="B240" s="9">
        <f t="shared" si="25"/>
        <v>45701.283784722218</v>
      </c>
      <c r="C240" s="2">
        <f>Speed!B240</f>
        <v>15.15</v>
      </c>
      <c r="D240" s="9">
        <f>Odometer!A240</f>
        <v>45701.28398148148</v>
      </c>
      <c r="E240" s="9">
        <f t="shared" si="26"/>
        <v>45701.28398148148</v>
      </c>
      <c r="F240" s="2">
        <f>Odometer!B240</f>
        <v>428751852</v>
      </c>
      <c r="G240" s="2">
        <f t="shared" si="27"/>
        <v>8</v>
      </c>
      <c r="H240" s="2">
        <f>SUM($G$2:G240)</f>
        <v>1962</v>
      </c>
      <c r="I240" s="10">
        <f t="shared" si="28"/>
        <v>45701.283784722225</v>
      </c>
      <c r="J240" s="10">
        <f t="shared" si="29"/>
        <v>45701.283784722218</v>
      </c>
      <c r="K240" s="3">
        <f t="shared" si="31"/>
        <v>1762</v>
      </c>
      <c r="L240">
        <f t="shared" si="24"/>
        <v>15.169444439999999</v>
      </c>
      <c r="M240">
        <f t="shared" si="30"/>
        <v>54.609999983999998</v>
      </c>
    </row>
    <row r="241" spans="1:13" x14ac:dyDescent="0.25">
      <c r="A241" s="9">
        <f>Speed!A241</f>
        <v>45701.283796296295</v>
      </c>
      <c r="B241" s="9">
        <f t="shared" si="25"/>
        <v>45701.283796296295</v>
      </c>
      <c r="C241" s="2">
        <f>Speed!B241</f>
        <v>14.98611111</v>
      </c>
      <c r="D241" s="9">
        <f>Odometer!A241</f>
        <v>45701.283993055556</v>
      </c>
      <c r="E241" s="9">
        <f t="shared" si="26"/>
        <v>45701.283993055556</v>
      </c>
      <c r="F241" s="2">
        <f>Odometer!B241</f>
        <v>428751860</v>
      </c>
      <c r="G241" s="2">
        <f t="shared" si="27"/>
        <v>6</v>
      </c>
      <c r="H241" s="2">
        <f>SUM($G$2:G241)</f>
        <v>1968</v>
      </c>
      <c r="I241" s="10">
        <f t="shared" si="28"/>
        <v>45701.283796296295</v>
      </c>
      <c r="J241" s="10">
        <f t="shared" si="29"/>
        <v>45701.283796296295</v>
      </c>
      <c r="K241" s="3">
        <f t="shared" si="31"/>
        <v>1763</v>
      </c>
      <c r="L241">
        <f t="shared" si="24"/>
        <v>14.98611111</v>
      </c>
      <c r="M241">
        <f t="shared" si="30"/>
        <v>53.949999996000003</v>
      </c>
    </row>
    <row r="242" spans="1:13" x14ac:dyDescent="0.25">
      <c r="A242" s="9">
        <f>Speed!A242</f>
        <v>45701.283796296295</v>
      </c>
      <c r="B242" s="9">
        <f t="shared" si="25"/>
        <v>45701.283796296295</v>
      </c>
      <c r="C242" s="2">
        <f>Speed!B242</f>
        <v>14.96666667</v>
      </c>
      <c r="D242" s="9">
        <f>Odometer!A242</f>
        <v>45701.284004629626</v>
      </c>
      <c r="E242" s="9">
        <f t="shared" si="26"/>
        <v>45701.284004629626</v>
      </c>
      <c r="F242" s="2">
        <f>Odometer!B242</f>
        <v>428751866</v>
      </c>
      <c r="G242" s="2">
        <f t="shared" si="27"/>
        <v>5</v>
      </c>
      <c r="H242" s="2">
        <f>SUM($G$2:G242)</f>
        <v>1973</v>
      </c>
      <c r="I242" s="10">
        <f t="shared" si="28"/>
        <v>45701.283796296295</v>
      </c>
      <c r="J242" s="10">
        <f t="shared" si="29"/>
        <v>45701.283796296295</v>
      </c>
      <c r="K242" s="3">
        <f t="shared" si="31"/>
        <v>1763</v>
      </c>
      <c r="L242">
        <f t="shared" si="24"/>
        <v>14.98611111</v>
      </c>
      <c r="M242">
        <f t="shared" si="30"/>
        <v>53.949999996000003</v>
      </c>
    </row>
    <row r="243" spans="1:13" x14ac:dyDescent="0.25">
      <c r="A243" s="9">
        <f>Speed!A243</f>
        <v>45701.283807870372</v>
      </c>
      <c r="B243" s="9">
        <f t="shared" si="25"/>
        <v>45701.283807870372</v>
      </c>
      <c r="C243" s="2">
        <f>Speed!B243</f>
        <v>14.725</v>
      </c>
      <c r="D243" s="9">
        <f>Odometer!A243</f>
        <v>45701.284016203703</v>
      </c>
      <c r="E243" s="9">
        <f t="shared" si="26"/>
        <v>45701.284016203703</v>
      </c>
      <c r="F243" s="2">
        <f>Odometer!B243</f>
        <v>428751871</v>
      </c>
      <c r="G243" s="2">
        <f t="shared" si="27"/>
        <v>5</v>
      </c>
      <c r="H243" s="2">
        <f>SUM($G$2:G243)</f>
        <v>1978</v>
      </c>
      <c r="I243" s="10">
        <f t="shared" si="28"/>
        <v>45701.283807870372</v>
      </c>
      <c r="J243" s="10">
        <f t="shared" si="29"/>
        <v>45701.283807870372</v>
      </c>
      <c r="K243" s="3">
        <f t="shared" si="31"/>
        <v>1792</v>
      </c>
      <c r="L243">
        <f t="shared" si="24"/>
        <v>14.725</v>
      </c>
      <c r="M243">
        <f t="shared" si="30"/>
        <v>53.01</v>
      </c>
    </row>
    <row r="244" spans="1:13" x14ac:dyDescent="0.25">
      <c r="A244" s="9">
        <f>Speed!A244</f>
        <v>45701.283807870372</v>
      </c>
      <c r="B244" s="9">
        <f t="shared" si="25"/>
        <v>45701.283807870372</v>
      </c>
      <c r="C244" s="2">
        <f>Speed!B244</f>
        <v>14.3</v>
      </c>
      <c r="D244" s="9">
        <f>Odometer!A244</f>
        <v>45701.28402777778</v>
      </c>
      <c r="E244" s="9">
        <f t="shared" si="26"/>
        <v>45701.284027777772</v>
      </c>
      <c r="F244" s="2">
        <f>Odometer!B244</f>
        <v>428751876</v>
      </c>
      <c r="G244" s="2">
        <f t="shared" si="27"/>
        <v>4</v>
      </c>
      <c r="H244" s="2">
        <f>SUM($G$2:G244)</f>
        <v>1982</v>
      </c>
      <c r="I244" s="10">
        <f t="shared" si="28"/>
        <v>45701.283807870372</v>
      </c>
      <c r="J244" s="10">
        <f t="shared" si="29"/>
        <v>45701.283807870372</v>
      </c>
      <c r="K244" s="3">
        <f t="shared" si="31"/>
        <v>1792</v>
      </c>
      <c r="L244">
        <f t="shared" si="24"/>
        <v>14.725</v>
      </c>
      <c r="M244">
        <f t="shared" si="30"/>
        <v>53.01</v>
      </c>
    </row>
    <row r="245" spans="1:13" x14ac:dyDescent="0.25">
      <c r="A245" s="9">
        <f>Speed!A245</f>
        <v>45701.283819444441</v>
      </c>
      <c r="B245" s="9">
        <f t="shared" si="25"/>
        <v>45701.283819444441</v>
      </c>
      <c r="C245" s="2">
        <f>Speed!B245</f>
        <v>14.30833333</v>
      </c>
      <c r="D245" s="9">
        <f>Odometer!A245</f>
        <v>45701.284039351849</v>
      </c>
      <c r="E245" s="9">
        <f t="shared" si="26"/>
        <v>45701.284039351849</v>
      </c>
      <c r="F245" s="2">
        <f>Odometer!B245</f>
        <v>428751880</v>
      </c>
      <c r="G245" s="2">
        <f t="shared" si="27"/>
        <v>3</v>
      </c>
      <c r="H245" s="2">
        <f>SUM($G$2:G245)</f>
        <v>1985</v>
      </c>
      <c r="I245" s="10">
        <f t="shared" si="28"/>
        <v>45701.283819444441</v>
      </c>
      <c r="J245" s="10">
        <f t="shared" si="29"/>
        <v>45701.283819444441</v>
      </c>
      <c r="K245" s="3" t="e">
        <f t="shared" si="31"/>
        <v>#N/A</v>
      </c>
      <c r="L245">
        <f t="shared" si="24"/>
        <v>14.30833333</v>
      </c>
      <c r="M245">
        <f t="shared" si="30"/>
        <v>51.509999988000004</v>
      </c>
    </row>
    <row r="246" spans="1:13" x14ac:dyDescent="0.25">
      <c r="A246" s="9">
        <f>Speed!A246</f>
        <v>45701.283831018518</v>
      </c>
      <c r="B246" s="9">
        <f t="shared" si="25"/>
        <v>45701.283831018518</v>
      </c>
      <c r="C246" s="2">
        <f>Speed!B246</f>
        <v>13.96388889</v>
      </c>
      <c r="D246" s="9">
        <f>Odometer!A246</f>
        <v>45701.284050925926</v>
      </c>
      <c r="E246" s="9">
        <f t="shared" si="26"/>
        <v>45701.284050925926</v>
      </c>
      <c r="F246" s="2">
        <f>Odometer!B246</f>
        <v>428751883</v>
      </c>
      <c r="G246" s="2">
        <f t="shared" si="27"/>
        <v>2</v>
      </c>
      <c r="H246" s="2">
        <f>SUM($G$2:G246)</f>
        <v>1987</v>
      </c>
      <c r="I246" s="10">
        <f t="shared" si="28"/>
        <v>45701.283831018518</v>
      </c>
      <c r="J246" s="10">
        <f t="shared" si="29"/>
        <v>45701.283831018518</v>
      </c>
      <c r="K246" s="3">
        <f t="shared" si="31"/>
        <v>1821</v>
      </c>
      <c r="L246">
        <f t="shared" si="24"/>
        <v>13.96388889</v>
      </c>
      <c r="M246">
        <f t="shared" si="30"/>
        <v>50.270000004000003</v>
      </c>
    </row>
    <row r="247" spans="1:13" x14ac:dyDescent="0.25">
      <c r="A247" s="9">
        <f>Speed!A247</f>
        <v>45701.283842592595</v>
      </c>
      <c r="B247" s="9">
        <f t="shared" si="25"/>
        <v>45701.283842592587</v>
      </c>
      <c r="C247" s="2">
        <f>Speed!B247</f>
        <v>13.580555560000001</v>
      </c>
      <c r="D247" s="9">
        <f>Odometer!A247</f>
        <v>45701.284062500003</v>
      </c>
      <c r="E247" s="9">
        <f t="shared" si="26"/>
        <v>45701.284062499995</v>
      </c>
      <c r="F247" s="2">
        <f>Odometer!B247</f>
        <v>428751885</v>
      </c>
      <c r="G247" s="2">
        <f t="shared" si="27"/>
        <v>3</v>
      </c>
      <c r="H247" s="2">
        <f>SUM($G$2:G247)</f>
        <v>1990</v>
      </c>
      <c r="I247" s="10">
        <f t="shared" si="28"/>
        <v>45701.283842592595</v>
      </c>
      <c r="J247" s="10">
        <f t="shared" si="29"/>
        <v>45701.283842592587</v>
      </c>
      <c r="K247" s="3">
        <f t="shared" si="31"/>
        <v>1833</v>
      </c>
      <c r="L247">
        <f t="shared" si="24"/>
        <v>13.580555560000001</v>
      </c>
      <c r="M247">
        <f t="shared" si="30"/>
        <v>48.890000016000002</v>
      </c>
    </row>
    <row r="248" spans="1:13" x14ac:dyDescent="0.25">
      <c r="A248" s="9">
        <f>Speed!A248</f>
        <v>45701.283854166664</v>
      </c>
      <c r="B248" s="9">
        <f t="shared" si="25"/>
        <v>45701.283854166664</v>
      </c>
      <c r="C248" s="2">
        <f>Speed!B248</f>
        <v>13.30277778</v>
      </c>
      <c r="D248" s="9">
        <f>Odometer!A248</f>
        <v>45701.284074074072</v>
      </c>
      <c r="E248" s="9">
        <f t="shared" si="26"/>
        <v>45701.284074074072</v>
      </c>
      <c r="F248" s="2">
        <f>Odometer!B248</f>
        <v>428751888</v>
      </c>
      <c r="G248" s="2">
        <f t="shared" si="27"/>
        <v>2</v>
      </c>
      <c r="H248" s="2">
        <f>SUM($G$2:G248)</f>
        <v>1992</v>
      </c>
      <c r="I248" s="10">
        <f t="shared" si="28"/>
        <v>45701.283854166664</v>
      </c>
      <c r="J248" s="10">
        <f t="shared" si="29"/>
        <v>45701.283854166664</v>
      </c>
      <c r="K248" s="3">
        <f t="shared" si="31"/>
        <v>1846</v>
      </c>
      <c r="L248">
        <f t="shared" si="24"/>
        <v>13.30277778</v>
      </c>
      <c r="M248">
        <f t="shared" si="30"/>
        <v>47.890000008000001</v>
      </c>
    </row>
    <row r="249" spans="1:13" x14ac:dyDescent="0.25">
      <c r="A249" s="9">
        <f>Speed!A249</f>
        <v>45701.283865740741</v>
      </c>
      <c r="B249" s="9">
        <f t="shared" si="25"/>
        <v>45701.283865740741</v>
      </c>
      <c r="C249" s="2">
        <f>Speed!B249</f>
        <v>13.03333333</v>
      </c>
      <c r="D249" s="9">
        <f>Odometer!A249</f>
        <v>45701.284074074072</v>
      </c>
      <c r="E249" s="9">
        <f t="shared" si="26"/>
        <v>45701.284074074072</v>
      </c>
      <c r="F249" s="2">
        <f>Odometer!B249</f>
        <v>428751890</v>
      </c>
      <c r="G249" s="2">
        <f t="shared" si="27"/>
        <v>2</v>
      </c>
      <c r="H249" s="2">
        <f>SUM($G$2:G249)</f>
        <v>1994</v>
      </c>
      <c r="I249" s="10">
        <f t="shared" si="28"/>
        <v>45701.283865740741</v>
      </c>
      <c r="J249" s="10">
        <f t="shared" si="29"/>
        <v>45701.283865740741</v>
      </c>
      <c r="K249" s="3">
        <f t="shared" si="31"/>
        <v>1859</v>
      </c>
      <c r="L249">
        <f t="shared" si="24"/>
        <v>13.03333333</v>
      </c>
      <c r="M249">
        <f t="shared" si="30"/>
        <v>46.919999988000001</v>
      </c>
    </row>
    <row r="250" spans="1:13" x14ac:dyDescent="0.25">
      <c r="A250" s="9">
        <f>Speed!A250</f>
        <v>45701.283877314818</v>
      </c>
      <c r="B250" s="9">
        <f t="shared" si="25"/>
        <v>45701.283877314811</v>
      </c>
      <c r="C250" s="2">
        <f>Speed!B250</f>
        <v>12.586111109999999</v>
      </c>
      <c r="D250" s="9">
        <f>Odometer!A250</f>
        <v>45701.284097222226</v>
      </c>
      <c r="E250" s="9">
        <f t="shared" si="26"/>
        <v>45701.284097222218</v>
      </c>
      <c r="F250" s="2">
        <f>Odometer!B250</f>
        <v>428751892</v>
      </c>
      <c r="G250" s="2">
        <f t="shared" si="27"/>
        <v>1</v>
      </c>
      <c r="H250" s="2">
        <f>SUM($G$2:G250)</f>
        <v>1995</v>
      </c>
      <c r="I250" s="10">
        <f t="shared" si="28"/>
        <v>45701.283877314818</v>
      </c>
      <c r="J250" s="10">
        <f t="shared" si="29"/>
        <v>45701.283877314811</v>
      </c>
      <c r="K250" s="3">
        <f t="shared" si="31"/>
        <v>1872</v>
      </c>
      <c r="L250">
        <f t="shared" si="24"/>
        <v>12.586111109999999</v>
      </c>
      <c r="M250">
        <f t="shared" si="30"/>
        <v>45.309999995999995</v>
      </c>
    </row>
    <row r="251" spans="1:13" x14ac:dyDescent="0.25">
      <c r="A251" s="9">
        <f>Speed!A251</f>
        <v>45701.283888888887</v>
      </c>
      <c r="B251" s="9">
        <f t="shared" si="25"/>
        <v>45701.283888888887</v>
      </c>
      <c r="C251" s="2">
        <f>Speed!B251</f>
        <v>12.13611111</v>
      </c>
      <c r="D251" s="9">
        <f>Odometer!A251</f>
        <v>45701.284097222226</v>
      </c>
      <c r="E251" s="9">
        <f t="shared" si="26"/>
        <v>45701.284097222218</v>
      </c>
      <c r="F251" s="2">
        <f>Odometer!B251</f>
        <v>428751893</v>
      </c>
      <c r="G251" s="2">
        <f t="shared" si="27"/>
        <v>2</v>
      </c>
      <c r="H251" s="2">
        <f>SUM($G$2:G251)</f>
        <v>1997</v>
      </c>
      <c r="I251" s="10">
        <f t="shared" si="28"/>
        <v>45701.283888888887</v>
      </c>
      <c r="J251" s="10">
        <f t="shared" si="29"/>
        <v>45701.283888888887</v>
      </c>
      <c r="K251" s="3">
        <f t="shared" si="31"/>
        <v>1883</v>
      </c>
      <c r="L251">
        <f t="shared" si="24"/>
        <v>12.13611111</v>
      </c>
      <c r="M251">
        <f t="shared" si="30"/>
        <v>43.689999995999997</v>
      </c>
    </row>
    <row r="252" spans="1:13" x14ac:dyDescent="0.25">
      <c r="A252" s="9">
        <f>Speed!A252</f>
        <v>45701.283900462964</v>
      </c>
      <c r="B252" s="9">
        <f t="shared" si="25"/>
        <v>45701.283900462964</v>
      </c>
      <c r="C252" s="2">
        <f>Speed!B252</f>
        <v>11.877777780000001</v>
      </c>
      <c r="D252" s="9">
        <f>Odometer!A252</f>
        <v>45701.284120370372</v>
      </c>
      <c r="E252" s="9">
        <f t="shared" si="26"/>
        <v>45701.284120370365</v>
      </c>
      <c r="F252" s="2">
        <f>Odometer!B252</f>
        <v>428751895</v>
      </c>
      <c r="G252" s="2">
        <f t="shared" si="27"/>
        <v>1</v>
      </c>
      <c r="H252" s="2">
        <f>SUM($G$2:G252)</f>
        <v>1998</v>
      </c>
      <c r="I252" s="10">
        <f t="shared" si="28"/>
        <v>45701.283900462964</v>
      </c>
      <c r="J252" s="10">
        <f t="shared" si="29"/>
        <v>45701.283900462964</v>
      </c>
      <c r="K252" s="3">
        <f t="shared" si="31"/>
        <v>1895</v>
      </c>
      <c r="L252">
        <f t="shared" si="24"/>
        <v>11.877777780000001</v>
      </c>
      <c r="M252">
        <f t="shared" si="30"/>
        <v>42.760000008000006</v>
      </c>
    </row>
    <row r="253" spans="1:13" x14ac:dyDescent="0.25">
      <c r="A253" s="9">
        <f>Speed!A253</f>
        <v>45701.283912037034</v>
      </c>
      <c r="B253" s="9">
        <f t="shared" si="25"/>
        <v>45701.283912037034</v>
      </c>
      <c r="C253" s="2">
        <f>Speed!B253</f>
        <v>11.538888890000001</v>
      </c>
      <c r="D253" s="9">
        <f>Odometer!A253</f>
        <v>45701.284131944441</v>
      </c>
      <c r="E253" s="9">
        <f t="shared" si="26"/>
        <v>45701.284131944441</v>
      </c>
      <c r="F253" s="2">
        <f>Odometer!B253</f>
        <v>428751896</v>
      </c>
      <c r="G253" s="2">
        <f t="shared" si="27"/>
        <v>2</v>
      </c>
      <c r="H253" s="2">
        <f>SUM($G$2:G253)</f>
        <v>2000</v>
      </c>
      <c r="I253" s="10">
        <f t="shared" si="28"/>
        <v>45701.283912037034</v>
      </c>
      <c r="J253" s="10">
        <f t="shared" si="29"/>
        <v>45701.283912037034</v>
      </c>
      <c r="K253" s="3">
        <f t="shared" si="31"/>
        <v>1907</v>
      </c>
      <c r="L253">
        <f t="shared" si="24"/>
        <v>11.538888890000001</v>
      </c>
      <c r="M253">
        <f t="shared" si="30"/>
        <v>41.540000004000007</v>
      </c>
    </row>
    <row r="254" spans="1:13" x14ac:dyDescent="0.25">
      <c r="A254" s="9">
        <f>Speed!A254</f>
        <v>45701.28392361111</v>
      </c>
      <c r="B254" s="9">
        <f t="shared" si="25"/>
        <v>45701.28392361111</v>
      </c>
      <c r="C254" s="2">
        <f>Speed!B254</f>
        <v>11.06944444</v>
      </c>
      <c r="D254" s="9">
        <f>Odometer!A254</f>
        <v>45701.284143518518</v>
      </c>
      <c r="E254" s="9">
        <f t="shared" si="26"/>
        <v>45701.284143518518</v>
      </c>
      <c r="F254" s="2">
        <f>Odometer!B254</f>
        <v>428751898</v>
      </c>
      <c r="G254" s="2">
        <f t="shared" si="27"/>
        <v>1</v>
      </c>
      <c r="H254" s="2">
        <f>SUM($G$2:G254)</f>
        <v>2001</v>
      </c>
      <c r="I254" s="10">
        <f t="shared" si="28"/>
        <v>45701.28392361111</v>
      </c>
      <c r="J254" s="10">
        <f t="shared" si="29"/>
        <v>45701.28392361111</v>
      </c>
      <c r="K254" s="3">
        <f t="shared" si="31"/>
        <v>1917</v>
      </c>
      <c r="L254">
        <f t="shared" si="24"/>
        <v>11.06944444</v>
      </c>
      <c r="M254">
        <f t="shared" si="30"/>
        <v>39.849999984</v>
      </c>
    </row>
    <row r="255" spans="1:13" x14ac:dyDescent="0.25">
      <c r="A255" s="9">
        <f>Speed!A255</f>
        <v>45701.283935185187</v>
      </c>
      <c r="B255" s="9">
        <f t="shared" si="25"/>
        <v>45701.28393518518</v>
      </c>
      <c r="C255" s="2">
        <f>Speed!B255</f>
        <v>10.597222220000001</v>
      </c>
      <c r="D255" s="9">
        <f>Odometer!A255</f>
        <v>45701.284155092595</v>
      </c>
      <c r="E255" s="9">
        <f t="shared" si="26"/>
        <v>45701.284155092588</v>
      </c>
      <c r="F255" s="2">
        <f>Odometer!B255</f>
        <v>428751899</v>
      </c>
      <c r="G255" s="2">
        <f t="shared" si="27"/>
        <v>2</v>
      </c>
      <c r="H255" s="2">
        <f>SUM($G$2:G255)</f>
        <v>2003</v>
      </c>
      <c r="I255" s="10">
        <f t="shared" si="28"/>
        <v>45701.283935185187</v>
      </c>
      <c r="J255" s="10">
        <f t="shared" si="29"/>
        <v>45701.28393518518</v>
      </c>
      <c r="K255" s="3">
        <f t="shared" si="31"/>
        <v>1927</v>
      </c>
      <c r="L255">
        <f t="shared" si="24"/>
        <v>10.597222220000001</v>
      </c>
      <c r="M255">
        <f t="shared" si="30"/>
        <v>38.149999992000005</v>
      </c>
    </row>
    <row r="256" spans="1:13" x14ac:dyDescent="0.25">
      <c r="A256" s="9">
        <f>Speed!A256</f>
        <v>45701.283946759257</v>
      </c>
      <c r="B256" s="9">
        <f t="shared" si="25"/>
        <v>45701.283946759257</v>
      </c>
      <c r="C256" s="2">
        <f>Speed!B256</f>
        <v>9.9944444440000009</v>
      </c>
      <c r="D256" s="9">
        <f>Odometer!A256</f>
        <v>45701.284166666665</v>
      </c>
      <c r="E256" s="9">
        <f t="shared" si="26"/>
        <v>45701.284166666665</v>
      </c>
      <c r="F256" s="2">
        <f>Odometer!B256</f>
        <v>428751901</v>
      </c>
      <c r="G256" s="2">
        <f t="shared" si="27"/>
        <v>1</v>
      </c>
      <c r="H256" s="2">
        <f>SUM($G$2:G256)</f>
        <v>2004</v>
      </c>
      <c r="I256" s="10">
        <f t="shared" si="28"/>
        <v>45701.283946759257</v>
      </c>
      <c r="J256" s="10">
        <f t="shared" si="29"/>
        <v>45701.283946759257</v>
      </c>
      <c r="K256" s="3">
        <f t="shared" si="31"/>
        <v>1938</v>
      </c>
      <c r="L256">
        <f t="shared" si="24"/>
        <v>9.9944444440000009</v>
      </c>
      <c r="M256">
        <f t="shared" si="30"/>
        <v>35.979999998400004</v>
      </c>
    </row>
    <row r="257" spans="1:13" x14ac:dyDescent="0.25">
      <c r="A257" s="9">
        <f>Speed!A257</f>
        <v>45701.283958333333</v>
      </c>
      <c r="B257" s="9">
        <f t="shared" si="25"/>
        <v>45701.283958333333</v>
      </c>
      <c r="C257" s="2">
        <f>Speed!B257</f>
        <v>9.1388888890000004</v>
      </c>
      <c r="D257" s="9">
        <f>Odometer!A257</f>
        <v>45701.284178240741</v>
      </c>
      <c r="E257" s="9">
        <f t="shared" si="26"/>
        <v>45701.284178240741</v>
      </c>
      <c r="F257" s="2">
        <f>Odometer!B257</f>
        <v>428751902</v>
      </c>
      <c r="G257" s="2">
        <f t="shared" si="27"/>
        <v>1</v>
      </c>
      <c r="H257" s="2">
        <f>SUM($G$2:G257)</f>
        <v>2005</v>
      </c>
      <c r="I257" s="10">
        <f t="shared" si="28"/>
        <v>45701.283958333333</v>
      </c>
      <c r="J257" s="10">
        <f t="shared" si="29"/>
        <v>45701.283958333333</v>
      </c>
      <c r="K257" s="3">
        <f t="shared" si="31"/>
        <v>1946</v>
      </c>
      <c r="L257">
        <f t="shared" si="24"/>
        <v>9.1388888890000004</v>
      </c>
      <c r="M257">
        <f t="shared" si="30"/>
        <v>32.900000000400006</v>
      </c>
    </row>
    <row r="258" spans="1:13" x14ac:dyDescent="0.25">
      <c r="A258" s="9">
        <f>Speed!A258</f>
        <v>45701.28396990741</v>
      </c>
      <c r="B258" s="9">
        <f t="shared" si="25"/>
        <v>45701.283969907403</v>
      </c>
      <c r="C258" s="2">
        <f>Speed!B258</f>
        <v>8.5722222220000006</v>
      </c>
      <c r="D258" s="9">
        <f>Odometer!A258</f>
        <v>45701.284178240741</v>
      </c>
      <c r="E258" s="9">
        <f t="shared" si="26"/>
        <v>45701.284178240741</v>
      </c>
      <c r="F258" s="2">
        <f>Odometer!B258</f>
        <v>428751903</v>
      </c>
      <c r="G258" s="2">
        <f t="shared" si="27"/>
        <v>1</v>
      </c>
      <c r="H258" s="2">
        <f>SUM($G$2:G258)</f>
        <v>2006</v>
      </c>
      <c r="I258" s="10">
        <f t="shared" si="28"/>
        <v>45701.28396990741</v>
      </c>
      <c r="J258" s="10">
        <f t="shared" si="29"/>
        <v>45701.283969907403</v>
      </c>
      <c r="K258" s="3">
        <f t="shared" si="31"/>
        <v>1954</v>
      </c>
      <c r="L258">
        <f t="shared" ref="L258:L321" si="32">INDEX($C$2:$C$2000, MATCH(I258,$A$2:$A$2000,0))</f>
        <v>8.5722222220000006</v>
      </c>
      <c r="M258">
        <f t="shared" si="30"/>
        <v>30.859999999200003</v>
      </c>
    </row>
    <row r="259" spans="1:13" x14ac:dyDescent="0.25">
      <c r="A259" s="9">
        <f>Speed!A259</f>
        <v>45701.28396990741</v>
      </c>
      <c r="B259" s="9">
        <f t="shared" ref="B259:B322" si="33">MROUND(A259,"00:00:01")</f>
        <v>45701.283969907403</v>
      </c>
      <c r="C259" s="2">
        <f>Speed!B259</f>
        <v>8.5194444439999995</v>
      </c>
      <c r="D259" s="9">
        <f>Odometer!A259</f>
        <v>45701.284201388888</v>
      </c>
      <c r="E259" s="9">
        <f t="shared" ref="E259:E322" si="34">MROUND(D259,"00:00:01")</f>
        <v>45701.284201388888</v>
      </c>
      <c r="F259" s="2">
        <f>Odometer!B259</f>
        <v>428751904</v>
      </c>
      <c r="G259" s="2">
        <f t="shared" ref="G259:G322" si="35">IF(F260-F259&lt;0,0,F260-F259)</f>
        <v>1</v>
      </c>
      <c r="H259" s="2">
        <f>SUM($G$2:G259)</f>
        <v>2007</v>
      </c>
      <c r="I259" s="10">
        <f t="shared" ref="I259:I322" si="36">A259</f>
        <v>45701.28396990741</v>
      </c>
      <c r="J259" s="10">
        <f t="shared" ref="J259:J322" si="37">MROUND(I259,"0:00:01")</f>
        <v>45701.283969907403</v>
      </c>
      <c r="K259" s="3">
        <f t="shared" si="31"/>
        <v>1954</v>
      </c>
      <c r="L259">
        <f t="shared" si="32"/>
        <v>8.5722222220000006</v>
      </c>
      <c r="M259">
        <f t="shared" ref="M259:M322" si="38">L259*3.6</f>
        <v>30.859999999200003</v>
      </c>
    </row>
    <row r="260" spans="1:13" x14ac:dyDescent="0.25">
      <c r="A260" s="9">
        <f>Speed!A260</f>
        <v>45701.28398148148</v>
      </c>
      <c r="B260" s="9">
        <f t="shared" si="33"/>
        <v>45701.28398148148</v>
      </c>
      <c r="C260" s="2">
        <f>Speed!B260</f>
        <v>7.7416666669999996</v>
      </c>
      <c r="D260" s="9">
        <f>Odometer!A260</f>
        <v>45701.284456018519</v>
      </c>
      <c r="E260" s="9">
        <f t="shared" si="34"/>
        <v>45701.284456018519</v>
      </c>
      <c r="F260" s="2">
        <f>Odometer!B260</f>
        <v>428751905</v>
      </c>
      <c r="G260" s="2">
        <f t="shared" si="35"/>
        <v>3</v>
      </c>
      <c r="H260" s="2">
        <f>SUM($G$2:G260)</f>
        <v>2010</v>
      </c>
      <c r="I260" s="10">
        <f t="shared" si="36"/>
        <v>45701.28398148148</v>
      </c>
      <c r="J260" s="10">
        <f t="shared" si="37"/>
        <v>45701.28398148148</v>
      </c>
      <c r="K260" s="3">
        <f t="shared" ref="K260:K323" si="39">IFERROR(INDEX($H$2:$H$2000,MATCH(J260,$E$2:$E$2000,0)),NA())</f>
        <v>1962</v>
      </c>
      <c r="L260">
        <f t="shared" si="32"/>
        <v>7.7416666669999996</v>
      </c>
      <c r="M260">
        <f t="shared" si="38"/>
        <v>27.870000001199998</v>
      </c>
    </row>
    <row r="261" spans="1:13" x14ac:dyDescent="0.25">
      <c r="A261" s="9">
        <f>Speed!A261</f>
        <v>45701.28398148148</v>
      </c>
      <c r="B261" s="9">
        <f t="shared" si="33"/>
        <v>45701.28398148148</v>
      </c>
      <c r="C261" s="2">
        <f>Speed!B261</f>
        <v>7.7027777779999997</v>
      </c>
      <c r="D261" s="9">
        <f>Odometer!A261</f>
        <v>45701.284467592595</v>
      </c>
      <c r="E261" s="9">
        <f t="shared" si="34"/>
        <v>45701.284467592588</v>
      </c>
      <c r="F261" s="2">
        <f>Odometer!B261</f>
        <v>428751908</v>
      </c>
      <c r="G261" s="2">
        <f t="shared" si="35"/>
        <v>3</v>
      </c>
      <c r="H261" s="2">
        <f>SUM($G$2:G261)</f>
        <v>2013</v>
      </c>
      <c r="I261" s="10">
        <f t="shared" si="36"/>
        <v>45701.28398148148</v>
      </c>
      <c r="J261" s="10">
        <f t="shared" si="37"/>
        <v>45701.28398148148</v>
      </c>
      <c r="K261" s="3">
        <f t="shared" si="39"/>
        <v>1962</v>
      </c>
      <c r="L261">
        <f t="shared" si="32"/>
        <v>7.7416666669999996</v>
      </c>
      <c r="M261">
        <f t="shared" si="38"/>
        <v>27.870000001199998</v>
      </c>
    </row>
    <row r="262" spans="1:13" x14ac:dyDescent="0.25">
      <c r="A262" s="9">
        <f>Speed!A262</f>
        <v>45701.283993055556</v>
      </c>
      <c r="B262" s="9">
        <f t="shared" si="33"/>
        <v>45701.283993055556</v>
      </c>
      <c r="C262" s="2">
        <f>Speed!B262</f>
        <v>6.7777777779999999</v>
      </c>
      <c r="D262" s="9">
        <f>Odometer!A262</f>
        <v>45701.284479166665</v>
      </c>
      <c r="E262" s="9">
        <f t="shared" si="34"/>
        <v>45701.284479166665</v>
      </c>
      <c r="F262" s="2">
        <f>Odometer!B262</f>
        <v>428751911</v>
      </c>
      <c r="G262" s="2">
        <f t="shared" si="35"/>
        <v>5</v>
      </c>
      <c r="H262" s="2">
        <f>SUM($G$2:G262)</f>
        <v>2018</v>
      </c>
      <c r="I262" s="10">
        <f t="shared" si="36"/>
        <v>45701.283993055556</v>
      </c>
      <c r="J262" s="10">
        <f t="shared" si="37"/>
        <v>45701.283993055556</v>
      </c>
      <c r="K262" s="3">
        <f t="shared" si="39"/>
        <v>1968</v>
      </c>
      <c r="L262">
        <f t="shared" si="32"/>
        <v>6.7777777779999999</v>
      </c>
      <c r="M262">
        <f t="shared" si="38"/>
        <v>24.400000000799999</v>
      </c>
    </row>
    <row r="263" spans="1:13" x14ac:dyDescent="0.25">
      <c r="A263" s="9">
        <f>Speed!A263</f>
        <v>45701.284004629626</v>
      </c>
      <c r="B263" s="9">
        <f t="shared" si="33"/>
        <v>45701.284004629626</v>
      </c>
      <c r="C263" s="2">
        <f>Speed!B263</f>
        <v>5.8888888890000004</v>
      </c>
      <c r="D263" s="9">
        <f>Odometer!A263</f>
        <v>45701.284490740742</v>
      </c>
      <c r="E263" s="9">
        <f t="shared" si="34"/>
        <v>45701.284490740742</v>
      </c>
      <c r="F263" s="2">
        <f>Odometer!B263</f>
        <v>428751916</v>
      </c>
      <c r="G263" s="2">
        <f t="shared" si="35"/>
        <v>6</v>
      </c>
      <c r="H263" s="2">
        <f>SUM($G$2:G263)</f>
        <v>2024</v>
      </c>
      <c r="I263" s="10">
        <f t="shared" si="36"/>
        <v>45701.284004629626</v>
      </c>
      <c r="J263" s="10">
        <f t="shared" si="37"/>
        <v>45701.284004629626</v>
      </c>
      <c r="K263" s="3">
        <f t="shared" si="39"/>
        <v>1973</v>
      </c>
      <c r="L263">
        <f t="shared" si="32"/>
        <v>5.8888888890000004</v>
      </c>
      <c r="M263">
        <f t="shared" si="38"/>
        <v>21.200000000400003</v>
      </c>
    </row>
    <row r="264" spans="1:13" x14ac:dyDescent="0.25">
      <c r="A264" s="9">
        <f>Speed!A264</f>
        <v>45701.284016203703</v>
      </c>
      <c r="B264" s="9">
        <f t="shared" si="33"/>
        <v>45701.284016203703</v>
      </c>
      <c r="C264" s="2">
        <f>Speed!B264</f>
        <v>5.0638888890000002</v>
      </c>
      <c r="D264" s="9">
        <f>Odometer!A264</f>
        <v>45701.284490740742</v>
      </c>
      <c r="E264" s="9">
        <f t="shared" si="34"/>
        <v>45701.284490740742</v>
      </c>
      <c r="F264" s="2">
        <f>Odometer!B264</f>
        <v>428751922</v>
      </c>
      <c r="G264" s="2">
        <f t="shared" si="35"/>
        <v>3</v>
      </c>
      <c r="H264" s="2">
        <f>SUM($G$2:G264)</f>
        <v>2027</v>
      </c>
      <c r="I264" s="10">
        <f t="shared" si="36"/>
        <v>45701.284016203703</v>
      </c>
      <c r="J264" s="10">
        <f t="shared" si="37"/>
        <v>45701.284016203703</v>
      </c>
      <c r="K264" s="3">
        <f t="shared" si="39"/>
        <v>1978</v>
      </c>
      <c r="L264">
        <f t="shared" si="32"/>
        <v>5.0638888890000002</v>
      </c>
      <c r="M264">
        <f t="shared" si="38"/>
        <v>18.2300000004</v>
      </c>
    </row>
    <row r="265" spans="1:13" x14ac:dyDescent="0.25">
      <c r="A265" s="9">
        <f>Speed!A265</f>
        <v>45701.28402777778</v>
      </c>
      <c r="B265" s="9">
        <f t="shared" si="33"/>
        <v>45701.284027777772</v>
      </c>
      <c r="C265" s="2">
        <f>Speed!B265</f>
        <v>4.2</v>
      </c>
      <c r="D265" s="9">
        <f>Odometer!A265</f>
        <v>45701.284502314818</v>
      </c>
      <c r="E265" s="9">
        <f t="shared" si="34"/>
        <v>45701.284502314811</v>
      </c>
      <c r="F265" s="2">
        <f>Odometer!B265</f>
        <v>428751925</v>
      </c>
      <c r="G265" s="2">
        <f t="shared" si="35"/>
        <v>3</v>
      </c>
      <c r="H265" s="2">
        <f>SUM($G$2:G265)</f>
        <v>2030</v>
      </c>
      <c r="I265" s="10">
        <f t="shared" si="36"/>
        <v>45701.28402777778</v>
      </c>
      <c r="J265" s="10">
        <f t="shared" si="37"/>
        <v>45701.284027777772</v>
      </c>
      <c r="K265" s="3">
        <f t="shared" si="39"/>
        <v>1982</v>
      </c>
      <c r="L265">
        <f t="shared" si="32"/>
        <v>4.2</v>
      </c>
      <c r="M265">
        <f t="shared" si="38"/>
        <v>15.120000000000001</v>
      </c>
    </row>
    <row r="266" spans="1:13" x14ac:dyDescent="0.25">
      <c r="A266" s="9">
        <f>Speed!A266</f>
        <v>45701.284039351849</v>
      </c>
      <c r="B266" s="9">
        <f t="shared" si="33"/>
        <v>45701.284039351849</v>
      </c>
      <c r="C266" s="2">
        <f>Speed!B266</f>
        <v>3.3555555560000001</v>
      </c>
      <c r="D266" s="9">
        <f>Odometer!A266</f>
        <v>45701.284513888888</v>
      </c>
      <c r="E266" s="9">
        <f t="shared" si="34"/>
        <v>45701.284513888888</v>
      </c>
      <c r="F266" s="2">
        <f>Odometer!B266</f>
        <v>428751928</v>
      </c>
      <c r="G266" s="2">
        <f t="shared" si="35"/>
        <v>9</v>
      </c>
      <c r="H266" s="2">
        <f>SUM($G$2:G266)</f>
        <v>2039</v>
      </c>
      <c r="I266" s="10">
        <f t="shared" si="36"/>
        <v>45701.284039351849</v>
      </c>
      <c r="J266" s="10">
        <f t="shared" si="37"/>
        <v>45701.284039351849</v>
      </c>
      <c r="K266" s="3">
        <f t="shared" si="39"/>
        <v>1985</v>
      </c>
      <c r="L266">
        <f t="shared" si="32"/>
        <v>3.3555555560000001</v>
      </c>
      <c r="M266">
        <f t="shared" si="38"/>
        <v>12.0800000016</v>
      </c>
    </row>
    <row r="267" spans="1:13" x14ac:dyDescent="0.25">
      <c r="A267" s="9">
        <f>Speed!A267</f>
        <v>45701.284050925926</v>
      </c>
      <c r="B267" s="9">
        <f t="shared" si="33"/>
        <v>45701.284050925926</v>
      </c>
      <c r="C267" s="2">
        <f>Speed!B267</f>
        <v>2.8555555560000001</v>
      </c>
      <c r="D267" s="9">
        <f>Odometer!A267</f>
        <v>45701.284525462965</v>
      </c>
      <c r="E267" s="9">
        <f t="shared" si="34"/>
        <v>45701.284525462957</v>
      </c>
      <c r="F267" s="2">
        <f>Odometer!B267</f>
        <v>428751937</v>
      </c>
      <c r="G267" s="2">
        <f t="shared" si="35"/>
        <v>8</v>
      </c>
      <c r="H267" s="2">
        <f>SUM($G$2:G267)</f>
        <v>2047</v>
      </c>
      <c r="I267" s="10">
        <f t="shared" si="36"/>
        <v>45701.284050925926</v>
      </c>
      <c r="J267" s="10">
        <f t="shared" si="37"/>
        <v>45701.284050925926</v>
      </c>
      <c r="K267" s="3">
        <f t="shared" si="39"/>
        <v>1987</v>
      </c>
      <c r="L267">
        <f t="shared" si="32"/>
        <v>2.8555555560000001</v>
      </c>
      <c r="M267">
        <f t="shared" si="38"/>
        <v>10.280000001600001</v>
      </c>
    </row>
    <row r="268" spans="1:13" x14ac:dyDescent="0.25">
      <c r="A268" s="9">
        <f>Speed!A268</f>
        <v>45701.284050925926</v>
      </c>
      <c r="B268" s="9">
        <f t="shared" si="33"/>
        <v>45701.284050925926</v>
      </c>
      <c r="C268" s="2">
        <f>Speed!B268</f>
        <v>2.7749999999999999</v>
      </c>
      <c r="D268" s="9">
        <f>Odometer!A268</f>
        <v>45701.284537037034</v>
      </c>
      <c r="E268" s="9">
        <f t="shared" si="34"/>
        <v>45701.284537037034</v>
      </c>
      <c r="F268" s="2">
        <f>Odometer!B268</f>
        <v>428751945</v>
      </c>
      <c r="G268" s="2">
        <f t="shared" si="35"/>
        <v>12</v>
      </c>
      <c r="H268" s="2">
        <f>SUM($G$2:G268)</f>
        <v>2059</v>
      </c>
      <c r="I268" s="10">
        <f t="shared" si="36"/>
        <v>45701.284050925926</v>
      </c>
      <c r="J268" s="10">
        <f t="shared" si="37"/>
        <v>45701.284050925926</v>
      </c>
      <c r="K268" s="3">
        <f t="shared" si="39"/>
        <v>1987</v>
      </c>
      <c r="L268">
        <f t="shared" si="32"/>
        <v>2.8555555560000001</v>
      </c>
      <c r="M268">
        <f t="shared" si="38"/>
        <v>10.280000001600001</v>
      </c>
    </row>
    <row r="269" spans="1:13" x14ac:dyDescent="0.25">
      <c r="A269" s="9">
        <f>Speed!A269</f>
        <v>45701.284062500003</v>
      </c>
      <c r="B269" s="9">
        <f t="shared" si="33"/>
        <v>45701.284062499995</v>
      </c>
      <c r="C269" s="2">
        <f>Speed!B269</f>
        <v>2.5416666669999999</v>
      </c>
      <c r="D269" s="9">
        <f>Odometer!A269</f>
        <v>45701.284548611111</v>
      </c>
      <c r="E269" s="9">
        <f t="shared" si="34"/>
        <v>45701.284548611111</v>
      </c>
      <c r="F269" s="2">
        <f>Odometer!B269</f>
        <v>428751957</v>
      </c>
      <c r="G269" s="2">
        <f t="shared" si="35"/>
        <v>11</v>
      </c>
      <c r="H269" s="2">
        <f>SUM($G$2:G269)</f>
        <v>2070</v>
      </c>
      <c r="I269" s="10">
        <f t="shared" si="36"/>
        <v>45701.284062500003</v>
      </c>
      <c r="J269" s="10">
        <f t="shared" si="37"/>
        <v>45701.284062499995</v>
      </c>
      <c r="K269" s="3">
        <f t="shared" si="39"/>
        <v>1990</v>
      </c>
      <c r="L269">
        <f t="shared" si="32"/>
        <v>2.5416666669999999</v>
      </c>
      <c r="M269">
        <f t="shared" si="38"/>
        <v>9.1500000012000005</v>
      </c>
    </row>
    <row r="270" spans="1:13" x14ac:dyDescent="0.25">
      <c r="A270" s="9">
        <f>Speed!A270</f>
        <v>45701.284074074072</v>
      </c>
      <c r="B270" s="9">
        <f t="shared" si="33"/>
        <v>45701.284074074072</v>
      </c>
      <c r="C270" s="2">
        <f>Speed!B270</f>
        <v>2.261111111</v>
      </c>
      <c r="D270" s="9">
        <f>Odometer!A270</f>
        <v>45701.284560185188</v>
      </c>
      <c r="E270" s="9">
        <f t="shared" si="34"/>
        <v>45701.28456018518</v>
      </c>
      <c r="F270" s="2">
        <f>Odometer!B270</f>
        <v>428751968</v>
      </c>
      <c r="G270" s="2">
        <f t="shared" si="35"/>
        <v>10</v>
      </c>
      <c r="H270" s="2">
        <f>SUM($G$2:G270)</f>
        <v>2080</v>
      </c>
      <c r="I270" s="10">
        <f t="shared" si="36"/>
        <v>45701.284074074072</v>
      </c>
      <c r="J270" s="10">
        <f t="shared" si="37"/>
        <v>45701.284074074072</v>
      </c>
      <c r="K270" s="3">
        <f t="shared" si="39"/>
        <v>1992</v>
      </c>
      <c r="L270">
        <f t="shared" si="32"/>
        <v>2.261111111</v>
      </c>
      <c r="M270">
        <f t="shared" si="38"/>
        <v>8.1399999996000005</v>
      </c>
    </row>
    <row r="271" spans="1:13" x14ac:dyDescent="0.25">
      <c r="A271" s="9">
        <f>Speed!A271</f>
        <v>45701.284074074072</v>
      </c>
      <c r="B271" s="9">
        <f t="shared" si="33"/>
        <v>45701.284074074072</v>
      </c>
      <c r="C271" s="2">
        <f>Speed!B271</f>
        <v>2.016666667</v>
      </c>
      <c r="D271" s="9">
        <f>Odometer!A271</f>
        <v>45701.284571759257</v>
      </c>
      <c r="E271" s="9">
        <f t="shared" si="34"/>
        <v>45701.284571759257</v>
      </c>
      <c r="F271" s="2">
        <f>Odometer!B271</f>
        <v>428751978</v>
      </c>
      <c r="G271" s="2">
        <f t="shared" si="35"/>
        <v>13</v>
      </c>
      <c r="H271" s="2">
        <f>SUM($G$2:G271)</f>
        <v>2093</v>
      </c>
      <c r="I271" s="10">
        <f t="shared" si="36"/>
        <v>45701.284074074072</v>
      </c>
      <c r="J271" s="10">
        <f t="shared" si="37"/>
        <v>45701.284074074072</v>
      </c>
      <c r="K271" s="3">
        <f t="shared" si="39"/>
        <v>1992</v>
      </c>
      <c r="L271">
        <f t="shared" si="32"/>
        <v>2.261111111</v>
      </c>
      <c r="M271">
        <f t="shared" si="38"/>
        <v>8.1399999996000005</v>
      </c>
    </row>
    <row r="272" spans="1:13" x14ac:dyDescent="0.25">
      <c r="A272" s="9">
        <f>Speed!A272</f>
        <v>45701.284085648149</v>
      </c>
      <c r="B272" s="9">
        <f t="shared" si="33"/>
        <v>45701.284085648149</v>
      </c>
      <c r="C272" s="2">
        <f>Speed!B272</f>
        <v>1.983333333</v>
      </c>
      <c r="D272" s="9">
        <f>Odometer!A272</f>
        <v>45701.284583333334</v>
      </c>
      <c r="E272" s="9">
        <f t="shared" si="34"/>
        <v>45701.284583333334</v>
      </c>
      <c r="F272" s="2">
        <f>Odometer!B272</f>
        <v>428751991</v>
      </c>
      <c r="G272" s="2">
        <f t="shared" si="35"/>
        <v>12</v>
      </c>
      <c r="H272" s="2">
        <f>SUM($G$2:G272)</f>
        <v>2105</v>
      </c>
      <c r="I272" s="10">
        <f t="shared" si="36"/>
        <v>45701.284085648149</v>
      </c>
      <c r="J272" s="10">
        <f t="shared" si="37"/>
        <v>45701.284085648149</v>
      </c>
      <c r="K272" s="3" t="e">
        <f t="shared" si="39"/>
        <v>#N/A</v>
      </c>
      <c r="L272">
        <f t="shared" si="32"/>
        <v>1.983333333</v>
      </c>
      <c r="M272">
        <f t="shared" si="38"/>
        <v>7.1399999988000005</v>
      </c>
    </row>
    <row r="273" spans="1:13" x14ac:dyDescent="0.25">
      <c r="A273" s="9">
        <f>Speed!A273</f>
        <v>45701.284097222226</v>
      </c>
      <c r="B273" s="9">
        <f t="shared" si="33"/>
        <v>45701.284097222218</v>
      </c>
      <c r="C273" s="2">
        <f>Speed!B273</f>
        <v>1.7749999999999999</v>
      </c>
      <c r="D273" s="9">
        <f>Odometer!A273</f>
        <v>45701.284583333334</v>
      </c>
      <c r="E273" s="9">
        <f t="shared" si="34"/>
        <v>45701.284583333334</v>
      </c>
      <c r="F273" s="2">
        <f>Odometer!B273</f>
        <v>428752003</v>
      </c>
      <c r="G273" s="2">
        <f t="shared" si="35"/>
        <v>13</v>
      </c>
      <c r="H273" s="2">
        <f>SUM($G$2:G273)</f>
        <v>2118</v>
      </c>
      <c r="I273" s="10">
        <f t="shared" si="36"/>
        <v>45701.284097222226</v>
      </c>
      <c r="J273" s="10">
        <f t="shared" si="37"/>
        <v>45701.284097222218</v>
      </c>
      <c r="K273" s="3">
        <f t="shared" si="39"/>
        <v>1995</v>
      </c>
      <c r="L273">
        <f t="shared" si="32"/>
        <v>1.7749999999999999</v>
      </c>
      <c r="M273">
        <f t="shared" si="38"/>
        <v>6.39</v>
      </c>
    </row>
    <row r="274" spans="1:13" x14ac:dyDescent="0.25">
      <c r="A274" s="9">
        <f>Speed!A274</f>
        <v>45701.284097222226</v>
      </c>
      <c r="B274" s="9">
        <f t="shared" si="33"/>
        <v>45701.284097222218</v>
      </c>
      <c r="C274" s="2">
        <f>Speed!B274</f>
        <v>1.575</v>
      </c>
      <c r="D274" s="9">
        <f>Odometer!A274</f>
        <v>45701.28460648148</v>
      </c>
      <c r="E274" s="9">
        <f t="shared" si="34"/>
        <v>45701.28460648148</v>
      </c>
      <c r="F274" s="2">
        <f>Odometer!B274</f>
        <v>428752016</v>
      </c>
      <c r="G274" s="2">
        <f t="shared" si="35"/>
        <v>14</v>
      </c>
      <c r="H274" s="2">
        <f>SUM($G$2:G274)</f>
        <v>2132</v>
      </c>
      <c r="I274" s="10">
        <f t="shared" si="36"/>
        <v>45701.284097222226</v>
      </c>
      <c r="J274" s="10">
        <f t="shared" si="37"/>
        <v>45701.284097222218</v>
      </c>
      <c r="K274" s="3">
        <f t="shared" si="39"/>
        <v>1995</v>
      </c>
      <c r="L274">
        <f t="shared" si="32"/>
        <v>1.7749999999999999</v>
      </c>
      <c r="M274">
        <f t="shared" si="38"/>
        <v>6.39</v>
      </c>
    </row>
    <row r="275" spans="1:13" x14ac:dyDescent="0.25">
      <c r="A275" s="9">
        <f>Speed!A275</f>
        <v>45701.284120370372</v>
      </c>
      <c r="B275" s="9">
        <f t="shared" si="33"/>
        <v>45701.284120370365</v>
      </c>
      <c r="C275" s="2">
        <f>Speed!B275</f>
        <v>1.4166666670000001</v>
      </c>
      <c r="D275" s="9">
        <f>Odometer!A275</f>
        <v>45701.284618055557</v>
      </c>
      <c r="E275" s="9">
        <f t="shared" si="34"/>
        <v>45701.28461805555</v>
      </c>
      <c r="F275" s="2">
        <f>Odometer!B275</f>
        <v>428752030</v>
      </c>
      <c r="G275" s="2">
        <f t="shared" si="35"/>
        <v>13</v>
      </c>
      <c r="H275" s="2">
        <f>SUM($G$2:G275)</f>
        <v>2145</v>
      </c>
      <c r="I275" s="10">
        <f t="shared" si="36"/>
        <v>45701.284120370372</v>
      </c>
      <c r="J275" s="10">
        <f t="shared" si="37"/>
        <v>45701.284120370365</v>
      </c>
      <c r="K275" s="3">
        <f t="shared" si="39"/>
        <v>1998</v>
      </c>
      <c r="L275">
        <f t="shared" si="32"/>
        <v>1.4166666670000001</v>
      </c>
      <c r="M275">
        <f t="shared" si="38"/>
        <v>5.1000000012000006</v>
      </c>
    </row>
    <row r="276" spans="1:13" x14ac:dyDescent="0.25">
      <c r="A276" s="9">
        <f>Speed!A276</f>
        <v>45701.284131944441</v>
      </c>
      <c r="B276" s="9">
        <f t="shared" si="33"/>
        <v>45701.284131944441</v>
      </c>
      <c r="C276" s="2">
        <f>Speed!B276</f>
        <v>1.3444444440000001</v>
      </c>
      <c r="D276" s="9">
        <f>Odometer!A276</f>
        <v>45701.284629629627</v>
      </c>
      <c r="E276" s="9">
        <f t="shared" si="34"/>
        <v>45701.284629629627</v>
      </c>
      <c r="F276" s="2">
        <f>Odometer!B276</f>
        <v>428752043</v>
      </c>
      <c r="G276" s="2">
        <f t="shared" si="35"/>
        <v>15</v>
      </c>
      <c r="H276" s="2">
        <f>SUM($G$2:G276)</f>
        <v>2160</v>
      </c>
      <c r="I276" s="10">
        <f t="shared" si="36"/>
        <v>45701.284131944441</v>
      </c>
      <c r="J276" s="10">
        <f t="shared" si="37"/>
        <v>45701.284131944441</v>
      </c>
      <c r="K276" s="3">
        <f t="shared" si="39"/>
        <v>2000</v>
      </c>
      <c r="L276">
        <f t="shared" si="32"/>
        <v>1.3444444440000001</v>
      </c>
      <c r="M276">
        <f t="shared" si="38"/>
        <v>4.8399999984000006</v>
      </c>
    </row>
    <row r="277" spans="1:13" x14ac:dyDescent="0.25">
      <c r="A277" s="9">
        <f>Speed!A277</f>
        <v>45701.284143518518</v>
      </c>
      <c r="B277" s="9">
        <f t="shared" si="33"/>
        <v>45701.284143518518</v>
      </c>
      <c r="C277" s="2">
        <f>Speed!B277</f>
        <v>1.4166666670000001</v>
      </c>
      <c r="D277" s="9">
        <f>Odometer!A277</f>
        <v>45701.284629629627</v>
      </c>
      <c r="E277" s="9">
        <f t="shared" si="34"/>
        <v>45701.284629629627</v>
      </c>
      <c r="F277" s="2">
        <f>Odometer!B277</f>
        <v>428752058</v>
      </c>
      <c r="G277" s="2">
        <f t="shared" si="35"/>
        <v>1</v>
      </c>
      <c r="H277" s="2">
        <f>SUM($G$2:G277)</f>
        <v>2161</v>
      </c>
      <c r="I277" s="10">
        <f t="shared" si="36"/>
        <v>45701.284143518518</v>
      </c>
      <c r="J277" s="10">
        <f t="shared" si="37"/>
        <v>45701.284143518518</v>
      </c>
      <c r="K277" s="3">
        <f t="shared" si="39"/>
        <v>2001</v>
      </c>
      <c r="L277">
        <f t="shared" si="32"/>
        <v>1.4166666670000001</v>
      </c>
      <c r="M277">
        <f t="shared" si="38"/>
        <v>5.1000000012000006</v>
      </c>
    </row>
    <row r="278" spans="1:13" x14ac:dyDescent="0.25">
      <c r="A278" s="9">
        <f>Speed!A278</f>
        <v>45701.284155092595</v>
      </c>
      <c r="B278" s="9">
        <f t="shared" si="33"/>
        <v>45701.284155092588</v>
      </c>
      <c r="C278" s="2">
        <f>Speed!B278</f>
        <v>1.4694444440000001</v>
      </c>
      <c r="D278" s="9">
        <f>Odometer!A278</f>
        <v>45701.284641203703</v>
      </c>
      <c r="E278" s="9">
        <f t="shared" si="34"/>
        <v>45701.284641203703</v>
      </c>
      <c r="F278" s="2">
        <f>Odometer!B278</f>
        <v>428752059</v>
      </c>
      <c r="G278" s="2">
        <f t="shared" si="35"/>
        <v>15</v>
      </c>
      <c r="H278" s="2">
        <f>SUM($G$2:G278)</f>
        <v>2176</v>
      </c>
      <c r="I278" s="10">
        <f t="shared" si="36"/>
        <v>45701.284155092595</v>
      </c>
      <c r="J278" s="10">
        <f t="shared" si="37"/>
        <v>45701.284155092588</v>
      </c>
      <c r="K278" s="3">
        <f t="shared" si="39"/>
        <v>2003</v>
      </c>
      <c r="L278">
        <f t="shared" si="32"/>
        <v>1.4694444440000001</v>
      </c>
      <c r="M278">
        <f t="shared" si="38"/>
        <v>5.2899999984000008</v>
      </c>
    </row>
    <row r="279" spans="1:13" x14ac:dyDescent="0.25">
      <c r="A279" s="9">
        <f>Speed!A279</f>
        <v>45701.284166666665</v>
      </c>
      <c r="B279" s="9">
        <f t="shared" si="33"/>
        <v>45701.284166666665</v>
      </c>
      <c r="C279" s="2">
        <f>Speed!B279</f>
        <v>1.5277777779999999</v>
      </c>
      <c r="D279" s="9">
        <f>Odometer!A279</f>
        <v>45701.28465277778</v>
      </c>
      <c r="E279" s="9">
        <f t="shared" si="34"/>
        <v>45701.284652777773</v>
      </c>
      <c r="F279" s="2">
        <f>Odometer!B279</f>
        <v>428752074</v>
      </c>
      <c r="G279" s="2">
        <f t="shared" si="35"/>
        <v>14</v>
      </c>
      <c r="H279" s="2">
        <f>SUM($G$2:G279)</f>
        <v>2190</v>
      </c>
      <c r="I279" s="10">
        <f t="shared" si="36"/>
        <v>45701.284166666665</v>
      </c>
      <c r="J279" s="10">
        <f t="shared" si="37"/>
        <v>45701.284166666665</v>
      </c>
      <c r="K279" s="3">
        <f t="shared" si="39"/>
        <v>2004</v>
      </c>
      <c r="L279">
        <f t="shared" si="32"/>
        <v>1.5277777779999999</v>
      </c>
      <c r="M279">
        <f t="shared" si="38"/>
        <v>5.5000000008000001</v>
      </c>
    </row>
    <row r="280" spans="1:13" x14ac:dyDescent="0.25">
      <c r="A280" s="9">
        <f>Speed!A280</f>
        <v>45701.284166666665</v>
      </c>
      <c r="B280" s="9">
        <f t="shared" si="33"/>
        <v>45701.284166666665</v>
      </c>
      <c r="C280" s="2">
        <f>Speed!B280</f>
        <v>1.391666667</v>
      </c>
      <c r="D280" s="9">
        <f>Odometer!A280</f>
        <v>45701.28466435185</v>
      </c>
      <c r="E280" s="9">
        <f t="shared" si="34"/>
        <v>45701.28466435185</v>
      </c>
      <c r="F280" s="2">
        <f>Odometer!B280</f>
        <v>428752088</v>
      </c>
      <c r="G280" s="2">
        <f t="shared" si="35"/>
        <v>14</v>
      </c>
      <c r="H280" s="2">
        <f>SUM($G$2:G280)</f>
        <v>2204</v>
      </c>
      <c r="I280" s="10">
        <f t="shared" si="36"/>
        <v>45701.284166666665</v>
      </c>
      <c r="J280" s="10">
        <f t="shared" si="37"/>
        <v>45701.284166666665</v>
      </c>
      <c r="K280" s="3">
        <f t="shared" si="39"/>
        <v>2004</v>
      </c>
      <c r="L280">
        <f t="shared" si="32"/>
        <v>1.5277777779999999</v>
      </c>
      <c r="M280">
        <f t="shared" si="38"/>
        <v>5.5000000008000001</v>
      </c>
    </row>
    <row r="281" spans="1:13" x14ac:dyDescent="0.25">
      <c r="A281" s="9">
        <f>Speed!A281</f>
        <v>45701.284178240741</v>
      </c>
      <c r="B281" s="9">
        <f t="shared" si="33"/>
        <v>45701.284178240741</v>
      </c>
      <c r="C281" s="2">
        <f>Speed!B281</f>
        <v>1.297222222</v>
      </c>
      <c r="D281" s="9">
        <f>Odometer!A281</f>
        <v>45701.284675925926</v>
      </c>
      <c r="E281" s="9">
        <f t="shared" si="34"/>
        <v>45701.284675925926</v>
      </c>
      <c r="F281" s="2">
        <f>Odometer!B281</f>
        <v>428752102</v>
      </c>
      <c r="G281" s="2">
        <f t="shared" si="35"/>
        <v>15</v>
      </c>
      <c r="H281" s="2">
        <f>SUM($G$2:G281)</f>
        <v>2219</v>
      </c>
      <c r="I281" s="10">
        <f t="shared" si="36"/>
        <v>45701.284178240741</v>
      </c>
      <c r="J281" s="10">
        <f t="shared" si="37"/>
        <v>45701.284178240741</v>
      </c>
      <c r="K281" s="3">
        <f t="shared" si="39"/>
        <v>2005</v>
      </c>
      <c r="L281">
        <f t="shared" si="32"/>
        <v>1.297222222</v>
      </c>
      <c r="M281">
        <f t="shared" si="38"/>
        <v>4.6699999991999999</v>
      </c>
    </row>
    <row r="282" spans="1:13" x14ac:dyDescent="0.25">
      <c r="A282" s="9">
        <f>Speed!A282</f>
        <v>45701.284178240741</v>
      </c>
      <c r="B282" s="9">
        <f t="shared" si="33"/>
        <v>45701.284178240741</v>
      </c>
      <c r="C282" s="2">
        <f>Speed!B282</f>
        <v>1.2833333330000001</v>
      </c>
      <c r="D282" s="9">
        <f>Odometer!A282</f>
        <v>45701.284687500003</v>
      </c>
      <c r="E282" s="9">
        <f t="shared" si="34"/>
        <v>45701.284687499996</v>
      </c>
      <c r="F282" s="2">
        <f>Odometer!B282</f>
        <v>428752117</v>
      </c>
      <c r="G282" s="2">
        <f t="shared" si="35"/>
        <v>15</v>
      </c>
      <c r="H282" s="2">
        <f>SUM($G$2:G282)</f>
        <v>2234</v>
      </c>
      <c r="I282" s="10">
        <f t="shared" si="36"/>
        <v>45701.284178240741</v>
      </c>
      <c r="J282" s="10">
        <f t="shared" si="37"/>
        <v>45701.284178240741</v>
      </c>
      <c r="K282" s="3">
        <f t="shared" si="39"/>
        <v>2005</v>
      </c>
      <c r="L282">
        <f t="shared" si="32"/>
        <v>1.297222222</v>
      </c>
      <c r="M282">
        <f t="shared" si="38"/>
        <v>4.6699999991999999</v>
      </c>
    </row>
    <row r="283" spans="1:13" x14ac:dyDescent="0.25">
      <c r="A283" s="9">
        <f>Speed!A283</f>
        <v>45701.284178240741</v>
      </c>
      <c r="B283" s="9">
        <f t="shared" si="33"/>
        <v>45701.284178240741</v>
      </c>
      <c r="C283" s="2">
        <f>Speed!B283</f>
        <v>0.91388888899999998</v>
      </c>
      <c r="D283" s="9">
        <f>Odometer!A283</f>
        <v>45701.284699074073</v>
      </c>
      <c r="E283" s="9">
        <f t="shared" si="34"/>
        <v>45701.284699074073</v>
      </c>
      <c r="F283" s="2">
        <f>Odometer!B283</f>
        <v>428752132</v>
      </c>
      <c r="G283" s="2">
        <f t="shared" si="35"/>
        <v>16</v>
      </c>
      <c r="H283" s="2">
        <f>SUM($G$2:G283)</f>
        <v>2250</v>
      </c>
      <c r="I283" s="10">
        <f t="shared" si="36"/>
        <v>45701.284178240741</v>
      </c>
      <c r="J283" s="10">
        <f t="shared" si="37"/>
        <v>45701.284178240741</v>
      </c>
      <c r="K283" s="3">
        <f t="shared" si="39"/>
        <v>2005</v>
      </c>
      <c r="L283">
        <f t="shared" si="32"/>
        <v>1.297222222</v>
      </c>
      <c r="M283">
        <f t="shared" si="38"/>
        <v>4.6699999991999999</v>
      </c>
    </row>
    <row r="284" spans="1:13" x14ac:dyDescent="0.25">
      <c r="A284" s="9">
        <f>Speed!A284</f>
        <v>45701.284201388888</v>
      </c>
      <c r="B284" s="9">
        <f t="shared" si="33"/>
        <v>45701.284201388888</v>
      </c>
      <c r="C284" s="2">
        <f>Speed!B284</f>
        <v>0.169444444</v>
      </c>
      <c r="D284" s="9">
        <f>Odometer!A284</f>
        <v>45701.284710648149</v>
      </c>
      <c r="E284" s="9">
        <f t="shared" si="34"/>
        <v>45701.284710648149</v>
      </c>
      <c r="F284" s="2">
        <f>Odometer!B284</f>
        <v>428752148</v>
      </c>
      <c r="G284" s="2">
        <f t="shared" si="35"/>
        <v>13</v>
      </c>
      <c r="H284" s="2">
        <f>SUM($G$2:G284)</f>
        <v>2263</v>
      </c>
      <c r="I284" s="10">
        <f t="shared" si="36"/>
        <v>45701.284201388888</v>
      </c>
      <c r="J284" s="10">
        <f t="shared" si="37"/>
        <v>45701.284201388888</v>
      </c>
      <c r="K284" s="3">
        <f t="shared" si="39"/>
        <v>2007</v>
      </c>
      <c r="L284">
        <f t="shared" si="32"/>
        <v>0.169444444</v>
      </c>
      <c r="M284">
        <f t="shared" si="38"/>
        <v>0.60999999839999997</v>
      </c>
    </row>
    <row r="285" spans="1:13" x14ac:dyDescent="0.25">
      <c r="A285" s="9">
        <f>Speed!A285</f>
        <v>45701.284212962964</v>
      </c>
      <c r="B285" s="9">
        <f t="shared" si="33"/>
        <v>45701.284212962957</v>
      </c>
      <c r="C285" s="2">
        <f>Speed!B285</f>
        <v>0.13888888899999999</v>
      </c>
      <c r="D285" s="9">
        <f>Odometer!A285</f>
        <v>45701.284722222219</v>
      </c>
      <c r="E285" s="9">
        <f t="shared" si="34"/>
        <v>45701.284722222219</v>
      </c>
      <c r="F285" s="2">
        <f>Odometer!B285</f>
        <v>428752161</v>
      </c>
      <c r="G285" s="2">
        <f t="shared" si="35"/>
        <v>15</v>
      </c>
      <c r="H285" s="2">
        <f>SUM($G$2:G285)</f>
        <v>2278</v>
      </c>
      <c r="I285" s="10">
        <f t="shared" si="36"/>
        <v>45701.284212962964</v>
      </c>
      <c r="J285" s="10">
        <f t="shared" si="37"/>
        <v>45701.284212962957</v>
      </c>
      <c r="K285" s="3" t="e">
        <f t="shared" si="39"/>
        <v>#N/A</v>
      </c>
      <c r="L285">
        <f t="shared" si="32"/>
        <v>0.13888888899999999</v>
      </c>
      <c r="M285">
        <f t="shared" si="38"/>
        <v>0.50000000039999992</v>
      </c>
    </row>
    <row r="286" spans="1:13" x14ac:dyDescent="0.25">
      <c r="A286" s="9">
        <f>Speed!A286</f>
        <v>45701.284212962964</v>
      </c>
      <c r="B286" s="9">
        <f t="shared" si="33"/>
        <v>45701.284212962957</v>
      </c>
      <c r="C286" s="2">
        <f>Speed!B286</f>
        <v>8.3333332999999996E-2</v>
      </c>
      <c r="D286" s="9">
        <f>Odometer!A286</f>
        <v>45701.284733796296</v>
      </c>
      <c r="E286" s="9">
        <f t="shared" si="34"/>
        <v>45701.284733796296</v>
      </c>
      <c r="F286" s="2">
        <f>Odometer!B286</f>
        <v>428752176</v>
      </c>
      <c r="G286" s="2">
        <f t="shared" si="35"/>
        <v>2</v>
      </c>
      <c r="H286" s="2">
        <f>SUM($G$2:G286)</f>
        <v>2280</v>
      </c>
      <c r="I286" s="10">
        <f t="shared" si="36"/>
        <v>45701.284212962964</v>
      </c>
      <c r="J286" s="10">
        <f t="shared" si="37"/>
        <v>45701.284212962957</v>
      </c>
      <c r="K286" s="3" t="e">
        <f t="shared" si="39"/>
        <v>#N/A</v>
      </c>
      <c r="L286">
        <f t="shared" si="32"/>
        <v>0.13888888899999999</v>
      </c>
      <c r="M286">
        <f t="shared" si="38"/>
        <v>0.50000000039999992</v>
      </c>
    </row>
    <row r="287" spans="1:13" x14ac:dyDescent="0.25">
      <c r="A287" s="9">
        <f>Speed!A287</f>
        <v>45701.284224537034</v>
      </c>
      <c r="B287" s="9">
        <f t="shared" si="33"/>
        <v>45701.284224537034</v>
      </c>
      <c r="C287" s="2">
        <f>Speed!B287</f>
        <v>0</v>
      </c>
      <c r="D287" s="9">
        <f>Odometer!A287</f>
        <v>45701.284733796296</v>
      </c>
      <c r="E287" s="9">
        <f t="shared" si="34"/>
        <v>45701.284733796296</v>
      </c>
      <c r="F287" s="2">
        <f>Odometer!B287</f>
        <v>428752178</v>
      </c>
      <c r="G287" s="2">
        <f t="shared" si="35"/>
        <v>14</v>
      </c>
      <c r="H287" s="2">
        <f>SUM($G$2:G287)</f>
        <v>2294</v>
      </c>
      <c r="I287" s="10">
        <f t="shared" si="36"/>
        <v>45701.284224537034</v>
      </c>
      <c r="J287" s="10">
        <f t="shared" si="37"/>
        <v>45701.284224537034</v>
      </c>
      <c r="K287" s="3" t="e">
        <f t="shared" si="39"/>
        <v>#N/A</v>
      </c>
      <c r="L287">
        <f t="shared" si="32"/>
        <v>0</v>
      </c>
      <c r="M287">
        <f t="shared" si="38"/>
        <v>0</v>
      </c>
    </row>
    <row r="288" spans="1:13" x14ac:dyDescent="0.25">
      <c r="A288" s="9">
        <f>Speed!A288</f>
        <v>45701.284444444442</v>
      </c>
      <c r="B288" s="9">
        <f t="shared" si="33"/>
        <v>45701.284444444442</v>
      </c>
      <c r="C288" s="2">
        <f>Speed!B288</f>
        <v>0.71111111100000002</v>
      </c>
      <c r="D288" s="9">
        <f>Odometer!A288</f>
        <v>45701.284745370373</v>
      </c>
      <c r="E288" s="9">
        <f t="shared" si="34"/>
        <v>45701.284745370365</v>
      </c>
      <c r="F288" s="2">
        <f>Odometer!B288</f>
        <v>428752192</v>
      </c>
      <c r="G288" s="2">
        <f t="shared" si="35"/>
        <v>1</v>
      </c>
      <c r="H288" s="2">
        <f>SUM($G$2:G288)</f>
        <v>2295</v>
      </c>
      <c r="I288" s="10">
        <f t="shared" si="36"/>
        <v>45701.284444444442</v>
      </c>
      <c r="J288" s="10">
        <f t="shared" si="37"/>
        <v>45701.284444444442</v>
      </c>
      <c r="K288" s="3" t="e">
        <f t="shared" si="39"/>
        <v>#N/A</v>
      </c>
      <c r="L288">
        <f t="shared" si="32"/>
        <v>0.71111111100000002</v>
      </c>
      <c r="M288">
        <f t="shared" si="38"/>
        <v>2.5599999996</v>
      </c>
    </row>
    <row r="289" spans="1:13" x14ac:dyDescent="0.25">
      <c r="A289" s="9">
        <f>Speed!A289</f>
        <v>45701.284444444442</v>
      </c>
      <c r="B289" s="9">
        <f t="shared" si="33"/>
        <v>45701.284444444442</v>
      </c>
      <c r="C289" s="2">
        <f>Speed!B289</f>
        <v>0.99444444399999998</v>
      </c>
      <c r="D289" s="9">
        <f>Odometer!A289</f>
        <v>45701.284745370373</v>
      </c>
      <c r="E289" s="9">
        <f t="shared" si="34"/>
        <v>45701.284745370365</v>
      </c>
      <c r="F289" s="2">
        <f>Odometer!B289</f>
        <v>428752193</v>
      </c>
      <c r="G289" s="2">
        <f t="shared" si="35"/>
        <v>14</v>
      </c>
      <c r="H289" s="2">
        <f>SUM($G$2:G289)</f>
        <v>2309</v>
      </c>
      <c r="I289" s="10">
        <f t="shared" si="36"/>
        <v>45701.284444444442</v>
      </c>
      <c r="J289" s="10">
        <f t="shared" si="37"/>
        <v>45701.284444444442</v>
      </c>
      <c r="K289" s="3" t="e">
        <f t="shared" si="39"/>
        <v>#N/A</v>
      </c>
      <c r="L289">
        <f t="shared" si="32"/>
        <v>0.71111111100000002</v>
      </c>
      <c r="M289">
        <f t="shared" si="38"/>
        <v>2.5599999996</v>
      </c>
    </row>
    <row r="290" spans="1:13" x14ac:dyDescent="0.25">
      <c r="A290" s="9">
        <f>Speed!A290</f>
        <v>45701.284456018519</v>
      </c>
      <c r="B290" s="9">
        <f t="shared" si="33"/>
        <v>45701.284456018519</v>
      </c>
      <c r="C290" s="2">
        <f>Speed!B290</f>
        <v>1.891666667</v>
      </c>
      <c r="D290" s="9">
        <f>Odometer!A290</f>
        <v>45701.284756944442</v>
      </c>
      <c r="E290" s="9">
        <f t="shared" si="34"/>
        <v>45701.284756944442</v>
      </c>
      <c r="F290" s="2">
        <f>Odometer!B290</f>
        <v>428752207</v>
      </c>
      <c r="G290" s="2">
        <f t="shared" si="35"/>
        <v>9</v>
      </c>
      <c r="H290" s="2">
        <f>SUM($G$2:G290)</f>
        <v>2318</v>
      </c>
      <c r="I290" s="10">
        <f t="shared" si="36"/>
        <v>45701.284456018519</v>
      </c>
      <c r="J290" s="10">
        <f t="shared" si="37"/>
        <v>45701.284456018519</v>
      </c>
      <c r="K290" s="3">
        <f t="shared" si="39"/>
        <v>2010</v>
      </c>
      <c r="L290">
        <f t="shared" si="32"/>
        <v>1.891666667</v>
      </c>
      <c r="M290">
        <f t="shared" si="38"/>
        <v>6.8100000011999997</v>
      </c>
    </row>
    <row r="291" spans="1:13" x14ac:dyDescent="0.25">
      <c r="A291" s="9">
        <f>Speed!A291</f>
        <v>45701.284467592595</v>
      </c>
      <c r="B291" s="9">
        <f t="shared" si="33"/>
        <v>45701.284467592588</v>
      </c>
      <c r="C291" s="2">
        <f>Speed!B291</f>
        <v>2.9805555560000001</v>
      </c>
      <c r="D291" s="9">
        <f>Odometer!A291</f>
        <v>45701.284756944442</v>
      </c>
      <c r="E291" s="9">
        <f t="shared" si="34"/>
        <v>45701.284756944442</v>
      </c>
      <c r="F291" s="2">
        <f>Odometer!B291</f>
        <v>428752216</v>
      </c>
      <c r="G291" s="2">
        <f t="shared" si="35"/>
        <v>4</v>
      </c>
      <c r="H291" s="2">
        <f>SUM($G$2:G291)</f>
        <v>2322</v>
      </c>
      <c r="I291" s="10">
        <f t="shared" si="36"/>
        <v>45701.284467592595</v>
      </c>
      <c r="J291" s="10">
        <f t="shared" si="37"/>
        <v>45701.284467592588</v>
      </c>
      <c r="K291" s="3">
        <f t="shared" si="39"/>
        <v>2013</v>
      </c>
      <c r="L291">
        <f t="shared" si="32"/>
        <v>2.9805555560000001</v>
      </c>
      <c r="M291">
        <f t="shared" si="38"/>
        <v>10.730000001600001</v>
      </c>
    </row>
    <row r="292" spans="1:13" x14ac:dyDescent="0.25">
      <c r="A292" s="9">
        <f>Speed!A292</f>
        <v>45701.284479166665</v>
      </c>
      <c r="B292" s="9">
        <f t="shared" si="33"/>
        <v>45701.284479166665</v>
      </c>
      <c r="C292" s="2">
        <f>Speed!B292</f>
        <v>4.1277777779999996</v>
      </c>
      <c r="D292" s="9">
        <f>Odometer!A292</f>
        <v>45701.284768518519</v>
      </c>
      <c r="E292" s="9">
        <f t="shared" si="34"/>
        <v>45701.284768518519</v>
      </c>
      <c r="F292" s="2">
        <f>Odometer!B292</f>
        <v>428752220</v>
      </c>
      <c r="G292" s="2">
        <f t="shared" si="35"/>
        <v>3</v>
      </c>
      <c r="H292" s="2">
        <f>SUM($G$2:G292)</f>
        <v>2325</v>
      </c>
      <c r="I292" s="10">
        <f t="shared" si="36"/>
        <v>45701.284479166665</v>
      </c>
      <c r="J292" s="10">
        <f t="shared" si="37"/>
        <v>45701.284479166665</v>
      </c>
      <c r="K292" s="3">
        <f t="shared" si="39"/>
        <v>2018</v>
      </c>
      <c r="L292">
        <f t="shared" si="32"/>
        <v>4.1277777779999996</v>
      </c>
      <c r="M292">
        <f t="shared" si="38"/>
        <v>14.860000000799999</v>
      </c>
    </row>
    <row r="293" spans="1:13" x14ac:dyDescent="0.25">
      <c r="A293" s="9">
        <f>Speed!A293</f>
        <v>45701.284490740742</v>
      </c>
      <c r="B293" s="9">
        <f t="shared" si="33"/>
        <v>45701.284490740742</v>
      </c>
      <c r="C293" s="2">
        <f>Speed!B293</f>
        <v>5.2722222219999999</v>
      </c>
      <c r="D293" s="9">
        <f>Odometer!A293</f>
        <v>45701.284768518519</v>
      </c>
      <c r="E293" s="9">
        <f t="shared" si="34"/>
        <v>45701.284768518519</v>
      </c>
      <c r="F293" s="2">
        <f>Odometer!B293</f>
        <v>428752223</v>
      </c>
      <c r="G293" s="2">
        <f t="shared" si="35"/>
        <v>15</v>
      </c>
      <c r="H293" s="2">
        <f>SUM($G$2:G293)</f>
        <v>2340</v>
      </c>
      <c r="I293" s="10">
        <f t="shared" si="36"/>
        <v>45701.284490740742</v>
      </c>
      <c r="J293" s="10">
        <f t="shared" si="37"/>
        <v>45701.284490740742</v>
      </c>
      <c r="K293" s="3">
        <f t="shared" si="39"/>
        <v>2024</v>
      </c>
      <c r="L293">
        <f t="shared" si="32"/>
        <v>5.2722222219999999</v>
      </c>
      <c r="M293">
        <f t="shared" si="38"/>
        <v>18.9799999992</v>
      </c>
    </row>
    <row r="294" spans="1:13" x14ac:dyDescent="0.25">
      <c r="A294" s="9">
        <f>Speed!A294</f>
        <v>45701.284502314818</v>
      </c>
      <c r="B294" s="9">
        <f t="shared" si="33"/>
        <v>45701.284502314811</v>
      </c>
      <c r="C294" s="2">
        <f>Speed!B294</f>
        <v>6.3472222220000001</v>
      </c>
      <c r="D294" s="9">
        <f>Odometer!A294</f>
        <v>45701.284780092596</v>
      </c>
      <c r="E294" s="9">
        <f t="shared" si="34"/>
        <v>45701.284780092588</v>
      </c>
      <c r="F294" s="2">
        <f>Odometer!B294</f>
        <v>428752238</v>
      </c>
      <c r="G294" s="2">
        <f t="shared" si="35"/>
        <v>14</v>
      </c>
      <c r="H294" s="2">
        <f>SUM($G$2:G294)</f>
        <v>2354</v>
      </c>
      <c r="I294" s="10">
        <f t="shared" si="36"/>
        <v>45701.284502314818</v>
      </c>
      <c r="J294" s="10">
        <f t="shared" si="37"/>
        <v>45701.284502314811</v>
      </c>
      <c r="K294" s="3">
        <f t="shared" si="39"/>
        <v>2030</v>
      </c>
      <c r="L294">
        <f t="shared" si="32"/>
        <v>6.3472222220000001</v>
      </c>
      <c r="M294">
        <f t="shared" si="38"/>
        <v>22.849999999200001</v>
      </c>
    </row>
    <row r="295" spans="1:13" x14ac:dyDescent="0.25">
      <c r="A295" s="9">
        <f>Speed!A295</f>
        <v>45701.284502314818</v>
      </c>
      <c r="B295" s="9">
        <f t="shared" si="33"/>
        <v>45701.284502314811</v>
      </c>
      <c r="C295" s="2">
        <f>Speed!B295</f>
        <v>6.2861111110000003</v>
      </c>
      <c r="D295" s="9">
        <f>Odometer!A295</f>
        <v>45701.284791666665</v>
      </c>
      <c r="E295" s="9">
        <f t="shared" si="34"/>
        <v>45701.284791666665</v>
      </c>
      <c r="F295" s="2">
        <f>Odometer!B295</f>
        <v>428752252</v>
      </c>
      <c r="G295" s="2">
        <f t="shared" si="35"/>
        <v>16</v>
      </c>
      <c r="H295" s="2">
        <f>SUM($G$2:G295)</f>
        <v>2370</v>
      </c>
      <c r="I295" s="10">
        <f t="shared" si="36"/>
        <v>45701.284502314818</v>
      </c>
      <c r="J295" s="10">
        <f t="shared" si="37"/>
        <v>45701.284502314811</v>
      </c>
      <c r="K295" s="3">
        <f t="shared" si="39"/>
        <v>2030</v>
      </c>
      <c r="L295">
        <f t="shared" si="32"/>
        <v>6.3472222220000001</v>
      </c>
      <c r="M295">
        <f t="shared" si="38"/>
        <v>22.849999999200001</v>
      </c>
    </row>
    <row r="296" spans="1:13" x14ac:dyDescent="0.25">
      <c r="A296" s="9">
        <f>Speed!A296</f>
        <v>45701.284502314818</v>
      </c>
      <c r="B296" s="9">
        <f t="shared" si="33"/>
        <v>45701.284502314811</v>
      </c>
      <c r="C296" s="2">
        <f>Speed!B296</f>
        <v>6.9416666669999998</v>
      </c>
      <c r="D296" s="9">
        <f>Odometer!A296</f>
        <v>45701.284803240742</v>
      </c>
      <c r="E296" s="9">
        <f t="shared" si="34"/>
        <v>45701.284803240742</v>
      </c>
      <c r="F296" s="2">
        <f>Odometer!B296</f>
        <v>428752268</v>
      </c>
      <c r="G296" s="2">
        <f t="shared" si="35"/>
        <v>14</v>
      </c>
      <c r="H296" s="2">
        <f>SUM($G$2:G296)</f>
        <v>2384</v>
      </c>
      <c r="I296" s="10">
        <f t="shared" si="36"/>
        <v>45701.284502314818</v>
      </c>
      <c r="J296" s="10">
        <f t="shared" si="37"/>
        <v>45701.284502314811</v>
      </c>
      <c r="K296" s="3">
        <f t="shared" si="39"/>
        <v>2030</v>
      </c>
      <c r="L296">
        <f t="shared" si="32"/>
        <v>6.3472222220000001</v>
      </c>
      <c r="M296">
        <f t="shared" si="38"/>
        <v>22.849999999200001</v>
      </c>
    </row>
    <row r="297" spans="1:13" x14ac:dyDescent="0.25">
      <c r="A297" s="9">
        <f>Speed!A297</f>
        <v>45701.284513888888</v>
      </c>
      <c r="B297" s="9">
        <f t="shared" si="33"/>
        <v>45701.284513888888</v>
      </c>
      <c r="C297" s="2">
        <f>Speed!B297</f>
        <v>7.4444444440000002</v>
      </c>
      <c r="D297" s="9">
        <f>Odometer!A297</f>
        <v>45701.284814814811</v>
      </c>
      <c r="E297" s="9">
        <f t="shared" si="34"/>
        <v>45701.284814814811</v>
      </c>
      <c r="F297" s="2">
        <f>Odometer!B297</f>
        <v>428752282</v>
      </c>
      <c r="G297" s="2">
        <f t="shared" si="35"/>
        <v>16</v>
      </c>
      <c r="H297" s="2">
        <f>SUM($G$2:G297)</f>
        <v>2400</v>
      </c>
      <c r="I297" s="10">
        <f t="shared" si="36"/>
        <v>45701.284513888888</v>
      </c>
      <c r="J297" s="10">
        <f t="shared" si="37"/>
        <v>45701.284513888888</v>
      </c>
      <c r="K297" s="3">
        <f t="shared" si="39"/>
        <v>2039</v>
      </c>
      <c r="L297">
        <f t="shared" si="32"/>
        <v>7.4444444440000002</v>
      </c>
      <c r="M297">
        <f t="shared" si="38"/>
        <v>26.799999998400001</v>
      </c>
    </row>
    <row r="298" spans="1:13" x14ac:dyDescent="0.25">
      <c r="A298" s="9">
        <f>Speed!A298</f>
        <v>45701.284525462965</v>
      </c>
      <c r="B298" s="9">
        <f t="shared" si="33"/>
        <v>45701.284525462957</v>
      </c>
      <c r="C298" s="2">
        <f>Speed!B298</f>
        <v>8.6888888889999993</v>
      </c>
      <c r="D298" s="9">
        <f>Odometer!A298</f>
        <v>45701.284826388888</v>
      </c>
      <c r="E298" s="9">
        <f t="shared" si="34"/>
        <v>45701.284826388888</v>
      </c>
      <c r="F298" s="2">
        <f>Odometer!B298</f>
        <v>428752298</v>
      </c>
      <c r="G298" s="2">
        <f t="shared" si="35"/>
        <v>13</v>
      </c>
      <c r="H298" s="2">
        <f>SUM($G$2:G298)</f>
        <v>2413</v>
      </c>
      <c r="I298" s="10">
        <f t="shared" si="36"/>
        <v>45701.284525462965</v>
      </c>
      <c r="J298" s="10">
        <f t="shared" si="37"/>
        <v>45701.284525462957</v>
      </c>
      <c r="K298" s="3">
        <f t="shared" si="39"/>
        <v>2047</v>
      </c>
      <c r="L298">
        <f t="shared" si="32"/>
        <v>8.6888888889999993</v>
      </c>
      <c r="M298">
        <f t="shared" si="38"/>
        <v>31.280000000399998</v>
      </c>
    </row>
    <row r="299" spans="1:13" x14ac:dyDescent="0.25">
      <c r="A299" s="9">
        <f>Speed!A299</f>
        <v>45701.284537037034</v>
      </c>
      <c r="B299" s="9">
        <f t="shared" si="33"/>
        <v>45701.284537037034</v>
      </c>
      <c r="C299" s="2">
        <f>Speed!B299</f>
        <v>9.6638888890000008</v>
      </c>
      <c r="D299" s="9">
        <f>Odometer!A299</f>
        <v>45701.284837962965</v>
      </c>
      <c r="E299" s="9">
        <f t="shared" si="34"/>
        <v>45701.284837962958</v>
      </c>
      <c r="F299" s="2">
        <f>Odometer!B299</f>
        <v>428752311</v>
      </c>
      <c r="G299" s="2">
        <f t="shared" si="35"/>
        <v>14</v>
      </c>
      <c r="H299" s="2">
        <f>SUM($G$2:G299)</f>
        <v>2427</v>
      </c>
      <c r="I299" s="10">
        <f t="shared" si="36"/>
        <v>45701.284537037034</v>
      </c>
      <c r="J299" s="10">
        <f t="shared" si="37"/>
        <v>45701.284537037034</v>
      </c>
      <c r="K299" s="3">
        <f t="shared" si="39"/>
        <v>2059</v>
      </c>
      <c r="L299">
        <f t="shared" si="32"/>
        <v>9.6638888890000008</v>
      </c>
      <c r="M299">
        <f t="shared" si="38"/>
        <v>34.790000000400006</v>
      </c>
    </row>
    <row r="300" spans="1:13" x14ac:dyDescent="0.25">
      <c r="A300" s="9">
        <f>Speed!A300</f>
        <v>45701.284548611111</v>
      </c>
      <c r="B300" s="9">
        <f t="shared" si="33"/>
        <v>45701.284548611111</v>
      </c>
      <c r="C300" s="2">
        <f>Speed!B300</f>
        <v>10.71388889</v>
      </c>
      <c r="D300" s="9">
        <f>Odometer!A300</f>
        <v>45701.284849537034</v>
      </c>
      <c r="E300" s="9">
        <f t="shared" si="34"/>
        <v>45701.284849537034</v>
      </c>
      <c r="F300" s="2">
        <f>Odometer!B300</f>
        <v>428752325</v>
      </c>
      <c r="G300" s="2">
        <f t="shared" si="35"/>
        <v>7</v>
      </c>
      <c r="H300" s="2">
        <f>SUM($G$2:G300)</f>
        <v>2434</v>
      </c>
      <c r="I300" s="10">
        <f t="shared" si="36"/>
        <v>45701.284548611111</v>
      </c>
      <c r="J300" s="10">
        <f t="shared" si="37"/>
        <v>45701.284548611111</v>
      </c>
      <c r="K300" s="3">
        <f t="shared" si="39"/>
        <v>2070</v>
      </c>
      <c r="L300">
        <f t="shared" si="32"/>
        <v>10.71388889</v>
      </c>
      <c r="M300">
        <f t="shared" si="38"/>
        <v>38.570000004000001</v>
      </c>
    </row>
    <row r="301" spans="1:13" x14ac:dyDescent="0.25">
      <c r="A301" s="9">
        <f>Speed!A301</f>
        <v>45701.284560185188</v>
      </c>
      <c r="B301" s="9">
        <f t="shared" si="33"/>
        <v>45701.28456018518</v>
      </c>
      <c r="C301" s="2">
        <f>Speed!B301</f>
        <v>11.269444439999999</v>
      </c>
      <c r="D301" s="9">
        <f>Odometer!A301</f>
        <v>45701.284849537034</v>
      </c>
      <c r="E301" s="9">
        <f t="shared" si="34"/>
        <v>45701.284849537034</v>
      </c>
      <c r="F301" s="2">
        <f>Odometer!B301</f>
        <v>428752332</v>
      </c>
      <c r="G301" s="2">
        <f t="shared" si="35"/>
        <v>4</v>
      </c>
      <c r="H301" s="2">
        <f>SUM($G$2:G301)</f>
        <v>2438</v>
      </c>
      <c r="I301" s="10">
        <f t="shared" si="36"/>
        <v>45701.284560185188</v>
      </c>
      <c r="J301" s="10">
        <f t="shared" si="37"/>
        <v>45701.28456018518</v>
      </c>
      <c r="K301" s="3">
        <f t="shared" si="39"/>
        <v>2080</v>
      </c>
      <c r="L301">
        <f t="shared" si="32"/>
        <v>11.269444439999999</v>
      </c>
      <c r="M301">
        <f t="shared" si="38"/>
        <v>40.569999983999999</v>
      </c>
    </row>
    <row r="302" spans="1:13" x14ac:dyDescent="0.25">
      <c r="A302" s="9">
        <f>Speed!A302</f>
        <v>45701.284571759257</v>
      </c>
      <c r="B302" s="9">
        <f t="shared" si="33"/>
        <v>45701.284571759257</v>
      </c>
      <c r="C302" s="2">
        <f>Speed!B302</f>
        <v>11.872222219999999</v>
      </c>
      <c r="D302" s="9">
        <f>Odometer!A302</f>
        <v>45701.284849537034</v>
      </c>
      <c r="E302" s="9">
        <f t="shared" si="34"/>
        <v>45701.284849537034</v>
      </c>
      <c r="F302" s="2">
        <f>Odometer!B302</f>
        <v>428752336</v>
      </c>
      <c r="G302" s="2">
        <f t="shared" si="35"/>
        <v>7</v>
      </c>
      <c r="H302" s="2">
        <f>SUM($G$2:G302)</f>
        <v>2445</v>
      </c>
      <c r="I302" s="10">
        <f t="shared" si="36"/>
        <v>45701.284571759257</v>
      </c>
      <c r="J302" s="10">
        <f t="shared" si="37"/>
        <v>45701.284571759257</v>
      </c>
      <c r="K302" s="3">
        <f t="shared" si="39"/>
        <v>2093</v>
      </c>
      <c r="L302">
        <f t="shared" si="32"/>
        <v>11.872222219999999</v>
      </c>
      <c r="M302">
        <f t="shared" si="38"/>
        <v>42.739999992000001</v>
      </c>
    </row>
    <row r="303" spans="1:13" x14ac:dyDescent="0.25">
      <c r="A303" s="9">
        <f>Speed!A303</f>
        <v>45701.284583333334</v>
      </c>
      <c r="B303" s="9">
        <f t="shared" si="33"/>
        <v>45701.284583333334</v>
      </c>
      <c r="C303" s="2">
        <f>Speed!B303</f>
        <v>12.46666667</v>
      </c>
      <c r="D303" s="9">
        <f>Odometer!A303</f>
        <v>45701.284861111111</v>
      </c>
      <c r="E303" s="9">
        <f t="shared" si="34"/>
        <v>45701.284861111111</v>
      </c>
      <c r="F303" s="2">
        <f>Odometer!B303</f>
        <v>428752343</v>
      </c>
      <c r="G303" s="2">
        <f t="shared" si="35"/>
        <v>3</v>
      </c>
      <c r="H303" s="2">
        <f>SUM($G$2:G303)</f>
        <v>2448</v>
      </c>
      <c r="I303" s="10">
        <f t="shared" si="36"/>
        <v>45701.284583333334</v>
      </c>
      <c r="J303" s="10">
        <f t="shared" si="37"/>
        <v>45701.284583333334</v>
      </c>
      <c r="K303" s="3">
        <f t="shared" si="39"/>
        <v>2105</v>
      </c>
      <c r="L303">
        <f t="shared" si="32"/>
        <v>12.46666667</v>
      </c>
      <c r="M303">
        <f t="shared" si="38"/>
        <v>44.880000012000004</v>
      </c>
    </row>
    <row r="304" spans="1:13" x14ac:dyDescent="0.25">
      <c r="A304" s="9">
        <f>Speed!A304</f>
        <v>45701.284583333334</v>
      </c>
      <c r="B304" s="9">
        <f t="shared" si="33"/>
        <v>45701.284583333334</v>
      </c>
      <c r="C304" s="2">
        <f>Speed!B304</f>
        <v>12.902777779999999</v>
      </c>
      <c r="D304" s="9">
        <f>Odometer!A304</f>
        <v>45701.284861111111</v>
      </c>
      <c r="E304" s="9">
        <f t="shared" si="34"/>
        <v>45701.284861111111</v>
      </c>
      <c r="F304" s="2">
        <f>Odometer!B304</f>
        <v>428752346</v>
      </c>
      <c r="G304" s="2">
        <f t="shared" si="35"/>
        <v>9</v>
      </c>
      <c r="H304" s="2">
        <f>SUM($G$2:G304)</f>
        <v>2457</v>
      </c>
      <c r="I304" s="10">
        <f t="shared" si="36"/>
        <v>45701.284583333334</v>
      </c>
      <c r="J304" s="10">
        <f t="shared" si="37"/>
        <v>45701.284583333334</v>
      </c>
      <c r="K304" s="3">
        <f t="shared" si="39"/>
        <v>2105</v>
      </c>
      <c r="L304">
        <f t="shared" si="32"/>
        <v>12.46666667</v>
      </c>
      <c r="M304">
        <f t="shared" si="38"/>
        <v>44.880000012000004</v>
      </c>
    </row>
    <row r="305" spans="1:13" x14ac:dyDescent="0.25">
      <c r="A305" s="9">
        <f>Speed!A305</f>
        <v>45701.28460648148</v>
      </c>
      <c r="B305" s="9">
        <f t="shared" si="33"/>
        <v>45701.28460648148</v>
      </c>
      <c r="C305" s="2">
        <f>Speed!B305</f>
        <v>13.402777779999999</v>
      </c>
      <c r="D305" s="9">
        <f>Odometer!A305</f>
        <v>45701.284872685188</v>
      </c>
      <c r="E305" s="9">
        <f t="shared" si="34"/>
        <v>45701.284872685181</v>
      </c>
      <c r="F305" s="2">
        <f>Odometer!B305</f>
        <v>428752355</v>
      </c>
      <c r="G305" s="2">
        <f t="shared" si="35"/>
        <v>1</v>
      </c>
      <c r="H305" s="2">
        <f>SUM($G$2:G305)</f>
        <v>2458</v>
      </c>
      <c r="I305" s="10">
        <f t="shared" si="36"/>
        <v>45701.28460648148</v>
      </c>
      <c r="J305" s="10">
        <f t="shared" si="37"/>
        <v>45701.28460648148</v>
      </c>
      <c r="K305" s="3">
        <f t="shared" si="39"/>
        <v>2132</v>
      </c>
      <c r="L305">
        <f t="shared" si="32"/>
        <v>13.402777779999999</v>
      </c>
      <c r="M305">
        <f t="shared" si="38"/>
        <v>48.250000008000001</v>
      </c>
    </row>
    <row r="306" spans="1:13" x14ac:dyDescent="0.25">
      <c r="A306" s="9">
        <f>Speed!A306</f>
        <v>45701.284618055557</v>
      </c>
      <c r="B306" s="9">
        <f t="shared" si="33"/>
        <v>45701.28461805555</v>
      </c>
      <c r="C306" s="2">
        <f>Speed!B306</f>
        <v>13.741666670000001</v>
      </c>
      <c r="D306" s="9">
        <f>Odometer!A306</f>
        <v>45701.284872685188</v>
      </c>
      <c r="E306" s="9">
        <f t="shared" si="34"/>
        <v>45701.284872685181</v>
      </c>
      <c r="F306" s="2">
        <f>Odometer!B306</f>
        <v>428752356</v>
      </c>
      <c r="G306" s="2">
        <f t="shared" si="35"/>
        <v>13</v>
      </c>
      <c r="H306" s="2">
        <f>SUM($G$2:G306)</f>
        <v>2471</v>
      </c>
      <c r="I306" s="10">
        <f t="shared" si="36"/>
        <v>45701.284618055557</v>
      </c>
      <c r="J306" s="10">
        <f t="shared" si="37"/>
        <v>45701.28461805555</v>
      </c>
      <c r="K306" s="3">
        <f t="shared" si="39"/>
        <v>2145</v>
      </c>
      <c r="L306">
        <f t="shared" si="32"/>
        <v>13.741666670000001</v>
      </c>
      <c r="M306">
        <f t="shared" si="38"/>
        <v>49.470000012000007</v>
      </c>
    </row>
    <row r="307" spans="1:13" x14ac:dyDescent="0.25">
      <c r="A307" s="9">
        <f>Speed!A307</f>
        <v>45701.284629629627</v>
      </c>
      <c r="B307" s="9">
        <f t="shared" si="33"/>
        <v>45701.284629629627</v>
      </c>
      <c r="C307" s="2">
        <f>Speed!B307</f>
        <v>14</v>
      </c>
      <c r="D307" s="9">
        <f>Odometer!A307</f>
        <v>45701.284872685188</v>
      </c>
      <c r="E307" s="9">
        <f t="shared" si="34"/>
        <v>45701.284872685181</v>
      </c>
      <c r="F307" s="2">
        <f>Odometer!B307</f>
        <v>428752369</v>
      </c>
      <c r="G307" s="2">
        <f t="shared" si="35"/>
        <v>14</v>
      </c>
      <c r="H307" s="2">
        <f>SUM($G$2:G307)</f>
        <v>2485</v>
      </c>
      <c r="I307" s="10">
        <f t="shared" si="36"/>
        <v>45701.284629629627</v>
      </c>
      <c r="J307" s="10">
        <f t="shared" si="37"/>
        <v>45701.284629629627</v>
      </c>
      <c r="K307" s="3">
        <f t="shared" si="39"/>
        <v>2160</v>
      </c>
      <c r="L307">
        <f t="shared" si="32"/>
        <v>14</v>
      </c>
      <c r="M307">
        <f t="shared" si="38"/>
        <v>50.4</v>
      </c>
    </row>
    <row r="308" spans="1:13" x14ac:dyDescent="0.25">
      <c r="A308" s="9">
        <f>Speed!A308</f>
        <v>45701.284629629627</v>
      </c>
      <c r="B308" s="9">
        <f t="shared" si="33"/>
        <v>45701.284629629627</v>
      </c>
      <c r="C308" s="2">
        <f>Speed!B308</f>
        <v>14.25</v>
      </c>
      <c r="D308" s="9">
        <f>Odometer!A308</f>
        <v>45701.284895833334</v>
      </c>
      <c r="E308" s="9">
        <f t="shared" si="34"/>
        <v>45701.284895833334</v>
      </c>
      <c r="F308" s="2">
        <f>Odometer!B308</f>
        <v>428752383</v>
      </c>
      <c r="G308" s="2">
        <f t="shared" si="35"/>
        <v>9</v>
      </c>
      <c r="H308" s="2">
        <f>SUM($G$2:G308)</f>
        <v>2494</v>
      </c>
      <c r="I308" s="10">
        <f t="shared" si="36"/>
        <v>45701.284629629627</v>
      </c>
      <c r="J308" s="10">
        <f t="shared" si="37"/>
        <v>45701.284629629627</v>
      </c>
      <c r="K308" s="3">
        <f t="shared" si="39"/>
        <v>2160</v>
      </c>
      <c r="L308">
        <f t="shared" si="32"/>
        <v>14</v>
      </c>
      <c r="M308">
        <f t="shared" si="38"/>
        <v>50.4</v>
      </c>
    </row>
    <row r="309" spans="1:13" x14ac:dyDescent="0.25">
      <c r="A309" s="9">
        <f>Speed!A309</f>
        <v>45701.284641203703</v>
      </c>
      <c r="B309" s="9">
        <f t="shared" si="33"/>
        <v>45701.284641203703</v>
      </c>
      <c r="C309" s="2">
        <f>Speed!B309</f>
        <v>14.255555559999999</v>
      </c>
      <c r="D309" s="9">
        <f>Odometer!A309</f>
        <v>45701.284895833334</v>
      </c>
      <c r="E309" s="9">
        <f t="shared" si="34"/>
        <v>45701.284895833334</v>
      </c>
      <c r="F309" s="2">
        <f>Odometer!B309</f>
        <v>428752392</v>
      </c>
      <c r="G309" s="2">
        <f t="shared" si="35"/>
        <v>5</v>
      </c>
      <c r="H309" s="2">
        <f>SUM($G$2:G309)</f>
        <v>2499</v>
      </c>
      <c r="I309" s="10">
        <f t="shared" si="36"/>
        <v>45701.284641203703</v>
      </c>
      <c r="J309" s="10">
        <f t="shared" si="37"/>
        <v>45701.284641203703</v>
      </c>
      <c r="K309" s="3">
        <f t="shared" si="39"/>
        <v>2176</v>
      </c>
      <c r="L309">
        <f t="shared" si="32"/>
        <v>14.255555559999999</v>
      </c>
      <c r="M309">
        <f t="shared" si="38"/>
        <v>51.320000016000002</v>
      </c>
    </row>
    <row r="310" spans="1:13" x14ac:dyDescent="0.25">
      <c r="A310" s="9">
        <f>Speed!A310</f>
        <v>45701.28465277778</v>
      </c>
      <c r="B310" s="9">
        <f t="shared" si="33"/>
        <v>45701.284652777773</v>
      </c>
      <c r="C310" s="2">
        <f>Speed!B310</f>
        <v>14.505555559999999</v>
      </c>
      <c r="D310" s="9">
        <f>Odometer!A310</f>
        <v>45701.284907407404</v>
      </c>
      <c r="E310" s="9">
        <f t="shared" si="34"/>
        <v>45701.284907407404</v>
      </c>
      <c r="F310" s="2">
        <f>Odometer!B310</f>
        <v>428752397</v>
      </c>
      <c r="G310" s="2">
        <f t="shared" si="35"/>
        <v>7</v>
      </c>
      <c r="H310" s="2">
        <f>SUM($G$2:G310)</f>
        <v>2506</v>
      </c>
      <c r="I310" s="10">
        <f t="shared" si="36"/>
        <v>45701.28465277778</v>
      </c>
      <c r="J310" s="10">
        <f t="shared" si="37"/>
        <v>45701.284652777773</v>
      </c>
      <c r="K310" s="3">
        <f t="shared" si="39"/>
        <v>2190</v>
      </c>
      <c r="L310">
        <f t="shared" si="32"/>
        <v>14.505555559999999</v>
      </c>
      <c r="M310">
        <f t="shared" si="38"/>
        <v>52.220000016</v>
      </c>
    </row>
    <row r="311" spans="1:13" x14ac:dyDescent="0.25">
      <c r="A311" s="9">
        <f>Speed!A311</f>
        <v>45701.28466435185</v>
      </c>
      <c r="B311" s="9">
        <f t="shared" si="33"/>
        <v>45701.28466435185</v>
      </c>
      <c r="C311" s="2">
        <f>Speed!B311</f>
        <v>14.66111111</v>
      </c>
      <c r="D311" s="9">
        <f>Odometer!A311</f>
        <v>45701.284907407404</v>
      </c>
      <c r="E311" s="9">
        <f t="shared" si="34"/>
        <v>45701.284907407404</v>
      </c>
      <c r="F311" s="2">
        <f>Odometer!B311</f>
        <v>428752404</v>
      </c>
      <c r="G311" s="2">
        <f t="shared" si="35"/>
        <v>7</v>
      </c>
      <c r="H311" s="2">
        <f>SUM($G$2:G311)</f>
        <v>2513</v>
      </c>
      <c r="I311" s="10">
        <f t="shared" si="36"/>
        <v>45701.28466435185</v>
      </c>
      <c r="J311" s="10">
        <f t="shared" si="37"/>
        <v>45701.28466435185</v>
      </c>
      <c r="K311" s="3">
        <f t="shared" si="39"/>
        <v>2204</v>
      </c>
      <c r="L311">
        <f t="shared" si="32"/>
        <v>14.66111111</v>
      </c>
      <c r="M311">
        <f t="shared" si="38"/>
        <v>52.779999996000001</v>
      </c>
    </row>
    <row r="312" spans="1:13" x14ac:dyDescent="0.25">
      <c r="A312" s="9">
        <f>Speed!A312</f>
        <v>45701.284675925926</v>
      </c>
      <c r="B312" s="9">
        <f t="shared" si="33"/>
        <v>45701.284675925926</v>
      </c>
      <c r="C312" s="2">
        <f>Speed!B312</f>
        <v>14.8</v>
      </c>
      <c r="D312" s="9">
        <f>Odometer!A312</f>
        <v>45701.284918981481</v>
      </c>
      <c r="E312" s="9">
        <f t="shared" si="34"/>
        <v>45701.284918981481</v>
      </c>
      <c r="F312" s="2">
        <f>Odometer!B312</f>
        <v>428752411</v>
      </c>
      <c r="G312" s="2">
        <f t="shared" si="35"/>
        <v>2</v>
      </c>
      <c r="H312" s="2">
        <f>SUM($G$2:G312)</f>
        <v>2515</v>
      </c>
      <c r="I312" s="10">
        <f t="shared" si="36"/>
        <v>45701.284675925926</v>
      </c>
      <c r="J312" s="10">
        <f t="shared" si="37"/>
        <v>45701.284675925926</v>
      </c>
      <c r="K312" s="3">
        <f t="shared" si="39"/>
        <v>2219</v>
      </c>
      <c r="L312">
        <f t="shared" si="32"/>
        <v>14.8</v>
      </c>
      <c r="M312">
        <f t="shared" si="38"/>
        <v>53.28</v>
      </c>
    </row>
    <row r="313" spans="1:13" x14ac:dyDescent="0.25">
      <c r="A313" s="9">
        <f>Speed!A313</f>
        <v>45701.284687500003</v>
      </c>
      <c r="B313" s="9">
        <f t="shared" si="33"/>
        <v>45701.284687499996</v>
      </c>
      <c r="C313" s="2">
        <f>Speed!B313</f>
        <v>14.86388889</v>
      </c>
      <c r="D313" s="9">
        <f>Odometer!A313</f>
        <v>45701.284918981481</v>
      </c>
      <c r="E313" s="9">
        <f t="shared" si="34"/>
        <v>45701.284918981481</v>
      </c>
      <c r="F313" s="2">
        <f>Odometer!B313</f>
        <v>428752413</v>
      </c>
      <c r="G313" s="2">
        <f t="shared" si="35"/>
        <v>12</v>
      </c>
      <c r="H313" s="2">
        <f>SUM($G$2:G313)</f>
        <v>2527</v>
      </c>
      <c r="I313" s="10">
        <f t="shared" si="36"/>
        <v>45701.284687500003</v>
      </c>
      <c r="J313" s="10">
        <f t="shared" si="37"/>
        <v>45701.284687499996</v>
      </c>
      <c r="K313" s="3">
        <f t="shared" si="39"/>
        <v>2234</v>
      </c>
      <c r="L313">
        <f t="shared" si="32"/>
        <v>14.86388889</v>
      </c>
      <c r="M313">
        <f t="shared" si="38"/>
        <v>53.510000003999998</v>
      </c>
    </row>
    <row r="314" spans="1:13" x14ac:dyDescent="0.25">
      <c r="A314" s="9">
        <f>Speed!A314</f>
        <v>45701.284699074073</v>
      </c>
      <c r="B314" s="9">
        <f t="shared" si="33"/>
        <v>45701.284699074073</v>
      </c>
      <c r="C314" s="2">
        <f>Speed!B314</f>
        <v>14.95277778</v>
      </c>
      <c r="D314" s="9">
        <f>Odometer!A314</f>
        <v>45701.284930555557</v>
      </c>
      <c r="E314" s="9">
        <f t="shared" si="34"/>
        <v>45701.28493055555</v>
      </c>
      <c r="F314" s="2">
        <f>Odometer!B314</f>
        <v>428752425</v>
      </c>
      <c r="G314" s="2">
        <f t="shared" si="35"/>
        <v>15</v>
      </c>
      <c r="H314" s="2">
        <f>SUM($G$2:G314)</f>
        <v>2542</v>
      </c>
      <c r="I314" s="10">
        <f t="shared" si="36"/>
        <v>45701.284699074073</v>
      </c>
      <c r="J314" s="10">
        <f t="shared" si="37"/>
        <v>45701.284699074073</v>
      </c>
      <c r="K314" s="3">
        <f t="shared" si="39"/>
        <v>2250</v>
      </c>
      <c r="L314">
        <f t="shared" si="32"/>
        <v>14.95277778</v>
      </c>
      <c r="M314">
        <f t="shared" si="38"/>
        <v>53.830000007999999</v>
      </c>
    </row>
    <row r="315" spans="1:13" x14ac:dyDescent="0.25">
      <c r="A315" s="9">
        <f>Speed!A315</f>
        <v>45701.284710648149</v>
      </c>
      <c r="B315" s="9">
        <f t="shared" si="33"/>
        <v>45701.284710648149</v>
      </c>
      <c r="C315" s="2">
        <f>Speed!B315</f>
        <v>14.97777778</v>
      </c>
      <c r="D315" s="9">
        <f>Odometer!A315</f>
        <v>45701.284942129627</v>
      </c>
      <c r="E315" s="9">
        <f t="shared" si="34"/>
        <v>45701.284942129627</v>
      </c>
      <c r="F315" s="2">
        <f>Odometer!B315</f>
        <v>428752440</v>
      </c>
      <c r="G315" s="2">
        <f t="shared" si="35"/>
        <v>3</v>
      </c>
      <c r="H315" s="2">
        <f>SUM($G$2:G315)</f>
        <v>2545</v>
      </c>
      <c r="I315" s="10">
        <f t="shared" si="36"/>
        <v>45701.284710648149</v>
      </c>
      <c r="J315" s="10">
        <f t="shared" si="37"/>
        <v>45701.284710648149</v>
      </c>
      <c r="K315" s="3">
        <f t="shared" si="39"/>
        <v>2263</v>
      </c>
      <c r="L315">
        <f t="shared" si="32"/>
        <v>14.97777778</v>
      </c>
      <c r="M315">
        <f t="shared" si="38"/>
        <v>53.920000008000002</v>
      </c>
    </row>
    <row r="316" spans="1:13" x14ac:dyDescent="0.25">
      <c r="A316" s="9">
        <f>Speed!A316</f>
        <v>45701.284722222219</v>
      </c>
      <c r="B316" s="9">
        <f t="shared" si="33"/>
        <v>45701.284722222219</v>
      </c>
      <c r="C316" s="2">
        <f>Speed!B316</f>
        <v>15.01388889</v>
      </c>
      <c r="D316" s="9">
        <f>Odometer!A316</f>
        <v>45701.284942129627</v>
      </c>
      <c r="E316" s="9">
        <f t="shared" si="34"/>
        <v>45701.284942129627</v>
      </c>
      <c r="F316" s="2">
        <f>Odometer!B316</f>
        <v>428752443</v>
      </c>
      <c r="G316" s="2">
        <f t="shared" si="35"/>
        <v>9</v>
      </c>
      <c r="H316" s="2">
        <f>SUM($G$2:G316)</f>
        <v>2554</v>
      </c>
      <c r="I316" s="10">
        <f t="shared" si="36"/>
        <v>45701.284722222219</v>
      </c>
      <c r="J316" s="10">
        <f t="shared" si="37"/>
        <v>45701.284722222219</v>
      </c>
      <c r="K316" s="3">
        <f t="shared" si="39"/>
        <v>2278</v>
      </c>
      <c r="L316">
        <f t="shared" si="32"/>
        <v>15.01388889</v>
      </c>
      <c r="M316">
        <f t="shared" si="38"/>
        <v>54.050000004000005</v>
      </c>
    </row>
    <row r="317" spans="1:13" x14ac:dyDescent="0.25">
      <c r="A317" s="9">
        <f>Speed!A317</f>
        <v>45701.284733796296</v>
      </c>
      <c r="B317" s="9">
        <f t="shared" si="33"/>
        <v>45701.284733796296</v>
      </c>
      <c r="C317" s="2">
        <f>Speed!B317</f>
        <v>15.06666667</v>
      </c>
      <c r="D317" s="9">
        <f>Odometer!A317</f>
        <v>45701.284953703704</v>
      </c>
      <c r="E317" s="9">
        <f t="shared" si="34"/>
        <v>45701.284953703704</v>
      </c>
      <c r="F317" s="2">
        <f>Odometer!B317</f>
        <v>428752452</v>
      </c>
      <c r="G317" s="2">
        <f t="shared" si="35"/>
        <v>12</v>
      </c>
      <c r="H317" s="2">
        <f>SUM($G$2:G317)</f>
        <v>2566</v>
      </c>
      <c r="I317" s="10">
        <f t="shared" si="36"/>
        <v>45701.284733796296</v>
      </c>
      <c r="J317" s="10">
        <f t="shared" si="37"/>
        <v>45701.284733796296</v>
      </c>
      <c r="K317" s="3">
        <f t="shared" si="39"/>
        <v>2280</v>
      </c>
      <c r="L317">
        <f t="shared" si="32"/>
        <v>15.06666667</v>
      </c>
      <c r="M317">
        <f t="shared" si="38"/>
        <v>54.240000012000003</v>
      </c>
    </row>
    <row r="318" spans="1:13" x14ac:dyDescent="0.25">
      <c r="A318" s="9">
        <f>Speed!A318</f>
        <v>45701.284733796296</v>
      </c>
      <c r="B318" s="9">
        <f t="shared" si="33"/>
        <v>45701.284733796296</v>
      </c>
      <c r="C318" s="2">
        <f>Speed!B318</f>
        <v>15.080555560000001</v>
      </c>
      <c r="D318" s="9">
        <f>Odometer!A318</f>
        <v>45701.28496527778</v>
      </c>
      <c r="E318" s="9">
        <f t="shared" si="34"/>
        <v>45701.284965277773</v>
      </c>
      <c r="F318" s="2">
        <f>Odometer!B318</f>
        <v>428752464</v>
      </c>
      <c r="G318" s="2">
        <f t="shared" si="35"/>
        <v>2</v>
      </c>
      <c r="H318" s="2">
        <f>SUM($G$2:G318)</f>
        <v>2568</v>
      </c>
      <c r="I318" s="10">
        <f t="shared" si="36"/>
        <v>45701.284733796296</v>
      </c>
      <c r="J318" s="10">
        <f t="shared" si="37"/>
        <v>45701.284733796296</v>
      </c>
      <c r="K318" s="3">
        <f t="shared" si="39"/>
        <v>2280</v>
      </c>
      <c r="L318">
        <f t="shared" si="32"/>
        <v>15.06666667</v>
      </c>
      <c r="M318">
        <f t="shared" si="38"/>
        <v>54.240000012000003</v>
      </c>
    </row>
    <row r="319" spans="1:13" x14ac:dyDescent="0.25">
      <c r="A319" s="9">
        <f>Speed!A319</f>
        <v>45701.284745370373</v>
      </c>
      <c r="B319" s="9">
        <f t="shared" si="33"/>
        <v>45701.284745370365</v>
      </c>
      <c r="C319" s="2">
        <f>Speed!B319</f>
        <v>15.15</v>
      </c>
      <c r="D319" s="9">
        <f>Odometer!A319</f>
        <v>45701.28496527778</v>
      </c>
      <c r="E319" s="9">
        <f t="shared" si="34"/>
        <v>45701.284965277773</v>
      </c>
      <c r="F319" s="2">
        <f>Odometer!B319</f>
        <v>428752466</v>
      </c>
      <c r="G319" s="2">
        <f t="shared" si="35"/>
        <v>12</v>
      </c>
      <c r="H319" s="2">
        <f>SUM($G$2:G319)</f>
        <v>2580</v>
      </c>
      <c r="I319" s="10">
        <f t="shared" si="36"/>
        <v>45701.284745370373</v>
      </c>
      <c r="J319" s="10">
        <f t="shared" si="37"/>
        <v>45701.284745370365</v>
      </c>
      <c r="K319" s="3">
        <f t="shared" si="39"/>
        <v>2295</v>
      </c>
      <c r="L319">
        <f t="shared" si="32"/>
        <v>15.15</v>
      </c>
      <c r="M319">
        <f t="shared" si="38"/>
        <v>54.54</v>
      </c>
    </row>
    <row r="320" spans="1:13" x14ac:dyDescent="0.25">
      <c r="A320" s="9">
        <f>Speed!A320</f>
        <v>45701.284745370373</v>
      </c>
      <c r="B320" s="9">
        <f t="shared" si="33"/>
        <v>45701.284745370365</v>
      </c>
      <c r="C320" s="2">
        <f>Speed!B320</f>
        <v>15.13888889</v>
      </c>
      <c r="D320" s="9">
        <f>Odometer!A320</f>
        <v>45701.28497685185</v>
      </c>
      <c r="E320" s="9">
        <f t="shared" si="34"/>
        <v>45701.28497685185</v>
      </c>
      <c r="F320" s="2">
        <f>Odometer!B320</f>
        <v>428752478</v>
      </c>
      <c r="G320" s="2">
        <f t="shared" si="35"/>
        <v>13</v>
      </c>
      <c r="H320" s="2">
        <f>SUM($G$2:G320)</f>
        <v>2593</v>
      </c>
      <c r="I320" s="10">
        <f t="shared" si="36"/>
        <v>45701.284745370373</v>
      </c>
      <c r="J320" s="10">
        <f t="shared" si="37"/>
        <v>45701.284745370365</v>
      </c>
      <c r="K320" s="3">
        <f t="shared" si="39"/>
        <v>2295</v>
      </c>
      <c r="L320">
        <f t="shared" si="32"/>
        <v>15.15</v>
      </c>
      <c r="M320">
        <f t="shared" si="38"/>
        <v>54.54</v>
      </c>
    </row>
    <row r="321" spans="1:13" x14ac:dyDescent="0.25">
      <c r="A321" s="9">
        <f>Speed!A321</f>
        <v>45701.284756944442</v>
      </c>
      <c r="B321" s="9">
        <f t="shared" si="33"/>
        <v>45701.284756944442</v>
      </c>
      <c r="C321" s="2">
        <f>Speed!B321</f>
        <v>15.18055556</v>
      </c>
      <c r="D321" s="9">
        <f>Odometer!A321</f>
        <v>45701.284988425927</v>
      </c>
      <c r="E321" s="9">
        <f t="shared" si="34"/>
        <v>45701.284988425927</v>
      </c>
      <c r="F321" s="2">
        <f>Odometer!B321</f>
        <v>428752491</v>
      </c>
      <c r="G321" s="2">
        <f t="shared" si="35"/>
        <v>6</v>
      </c>
      <c r="H321" s="2">
        <f>SUM($G$2:G321)</f>
        <v>2599</v>
      </c>
      <c r="I321" s="10">
        <f t="shared" si="36"/>
        <v>45701.284756944442</v>
      </c>
      <c r="J321" s="10">
        <f t="shared" si="37"/>
        <v>45701.284756944442</v>
      </c>
      <c r="K321" s="3">
        <f t="shared" si="39"/>
        <v>2318</v>
      </c>
      <c r="L321">
        <f t="shared" si="32"/>
        <v>15.18055556</v>
      </c>
      <c r="M321">
        <f t="shared" si="38"/>
        <v>54.650000016</v>
      </c>
    </row>
    <row r="322" spans="1:13" x14ac:dyDescent="0.25">
      <c r="A322" s="9">
        <f>Speed!A322</f>
        <v>45701.284756944442</v>
      </c>
      <c r="B322" s="9">
        <f t="shared" si="33"/>
        <v>45701.284756944442</v>
      </c>
      <c r="C322" s="2">
        <f>Speed!B322</f>
        <v>15.21666667</v>
      </c>
      <c r="D322" s="9">
        <f>Odometer!A322</f>
        <v>45701.284988425927</v>
      </c>
      <c r="E322" s="9">
        <f t="shared" si="34"/>
        <v>45701.284988425927</v>
      </c>
      <c r="F322" s="2">
        <f>Odometer!B322</f>
        <v>428752497</v>
      </c>
      <c r="G322" s="2">
        <f t="shared" si="35"/>
        <v>7</v>
      </c>
      <c r="H322" s="2">
        <f>SUM($G$2:G322)</f>
        <v>2606</v>
      </c>
      <c r="I322" s="10">
        <f t="shared" si="36"/>
        <v>45701.284756944442</v>
      </c>
      <c r="J322" s="10">
        <f t="shared" si="37"/>
        <v>45701.284756944442</v>
      </c>
      <c r="K322" s="3">
        <f t="shared" si="39"/>
        <v>2318</v>
      </c>
      <c r="L322">
        <f t="shared" ref="L322:L385" si="40">INDEX($C$2:$C$2000, MATCH(I322,$A$2:$A$2000,0))</f>
        <v>15.18055556</v>
      </c>
      <c r="M322">
        <f t="shared" si="38"/>
        <v>54.650000016</v>
      </c>
    </row>
    <row r="323" spans="1:13" x14ac:dyDescent="0.25">
      <c r="A323" s="9">
        <f>Speed!A323</f>
        <v>45701.284768518519</v>
      </c>
      <c r="B323" s="9">
        <f t="shared" ref="B323:B386" si="41">MROUND(A323,"00:00:01")</f>
        <v>45701.284768518519</v>
      </c>
      <c r="C323" s="2">
        <f>Speed!B323</f>
        <v>15.225</v>
      </c>
      <c r="D323" s="9">
        <f>Odometer!A323</f>
        <v>45701.285000000003</v>
      </c>
      <c r="E323" s="9">
        <f t="shared" ref="E323:E386" si="42">MROUND(D323,"00:00:01")</f>
        <v>45701.284999999996</v>
      </c>
      <c r="F323" s="2">
        <f>Odometer!B323</f>
        <v>428752504</v>
      </c>
      <c r="G323" s="2">
        <f t="shared" ref="G323:G386" si="43">IF(F324-F323&lt;0,0,F324-F323)</f>
        <v>11</v>
      </c>
      <c r="H323" s="2">
        <f>SUM($G$2:G323)</f>
        <v>2617</v>
      </c>
      <c r="I323" s="10">
        <f t="shared" ref="I323:I386" si="44">A323</f>
        <v>45701.284768518519</v>
      </c>
      <c r="J323" s="10">
        <f t="shared" ref="J323:J386" si="45">MROUND(I323,"0:00:01")</f>
        <v>45701.284768518519</v>
      </c>
      <c r="K323" s="3">
        <f t="shared" si="39"/>
        <v>2325</v>
      </c>
      <c r="L323">
        <f t="shared" si="40"/>
        <v>15.225</v>
      </c>
      <c r="M323">
        <f t="shared" ref="M323:M386" si="46">L323*3.6</f>
        <v>54.81</v>
      </c>
    </row>
    <row r="324" spans="1:13" x14ac:dyDescent="0.25">
      <c r="A324" s="9">
        <f>Speed!A324</f>
        <v>45701.284768518519</v>
      </c>
      <c r="B324" s="9">
        <f t="shared" si="41"/>
        <v>45701.284768518519</v>
      </c>
      <c r="C324" s="2">
        <f>Speed!B324</f>
        <v>15.26111111</v>
      </c>
      <c r="D324" s="9">
        <f>Odometer!A324</f>
        <v>45701.285011574073</v>
      </c>
      <c r="E324" s="9">
        <f t="shared" si="42"/>
        <v>45701.285011574073</v>
      </c>
      <c r="F324" s="2">
        <f>Odometer!B324</f>
        <v>428752515</v>
      </c>
      <c r="G324" s="2">
        <f t="shared" si="43"/>
        <v>2</v>
      </c>
      <c r="H324" s="2">
        <f>SUM($G$2:G324)</f>
        <v>2619</v>
      </c>
      <c r="I324" s="10">
        <f t="shared" si="44"/>
        <v>45701.284768518519</v>
      </c>
      <c r="J324" s="10">
        <f t="shared" si="45"/>
        <v>45701.284768518519</v>
      </c>
      <c r="K324" s="3">
        <f t="shared" ref="K324:K387" si="47">IFERROR(INDEX($H$2:$H$2000,MATCH(J324,$E$2:$E$2000,0)),NA())</f>
        <v>2325</v>
      </c>
      <c r="L324">
        <f t="shared" si="40"/>
        <v>15.225</v>
      </c>
      <c r="M324">
        <f t="shared" si="46"/>
        <v>54.81</v>
      </c>
    </row>
    <row r="325" spans="1:13" x14ac:dyDescent="0.25">
      <c r="A325" s="9">
        <f>Speed!A325</f>
        <v>45701.284780092596</v>
      </c>
      <c r="B325" s="9">
        <f t="shared" si="41"/>
        <v>45701.284780092588</v>
      </c>
      <c r="C325" s="2">
        <f>Speed!B325</f>
        <v>15.144444439999999</v>
      </c>
      <c r="D325" s="9">
        <f>Odometer!A325</f>
        <v>45701.285011574073</v>
      </c>
      <c r="E325" s="9">
        <f t="shared" si="42"/>
        <v>45701.285011574073</v>
      </c>
      <c r="F325" s="2">
        <f>Odometer!B325</f>
        <v>428752517</v>
      </c>
      <c r="G325" s="2">
        <f t="shared" si="43"/>
        <v>5</v>
      </c>
      <c r="H325" s="2">
        <f>SUM($G$2:G325)</f>
        <v>2624</v>
      </c>
      <c r="I325" s="10">
        <f t="shared" si="44"/>
        <v>45701.284780092596</v>
      </c>
      <c r="J325" s="10">
        <f t="shared" si="45"/>
        <v>45701.284780092588</v>
      </c>
      <c r="K325" s="3">
        <f t="shared" si="47"/>
        <v>2354</v>
      </c>
      <c r="L325">
        <f t="shared" si="40"/>
        <v>15.144444439999999</v>
      </c>
      <c r="M325">
        <f t="shared" si="46"/>
        <v>54.519999983999995</v>
      </c>
    </row>
    <row r="326" spans="1:13" x14ac:dyDescent="0.25">
      <c r="A326" s="9">
        <f>Speed!A326</f>
        <v>45701.284791666665</v>
      </c>
      <c r="B326" s="9">
        <f t="shared" si="41"/>
        <v>45701.284791666665</v>
      </c>
      <c r="C326" s="2">
        <f>Speed!B326</f>
        <v>15.002777780000001</v>
      </c>
      <c r="D326" s="9">
        <f>Odometer!A326</f>
        <v>45701.285011574073</v>
      </c>
      <c r="E326" s="9">
        <f t="shared" si="42"/>
        <v>45701.285011574073</v>
      </c>
      <c r="F326" s="2">
        <f>Odometer!B326</f>
        <v>428752522</v>
      </c>
      <c r="G326" s="2">
        <f t="shared" si="43"/>
        <v>4</v>
      </c>
      <c r="H326" s="2">
        <f>SUM($G$2:G326)</f>
        <v>2628</v>
      </c>
      <c r="I326" s="10">
        <f t="shared" si="44"/>
        <v>45701.284791666665</v>
      </c>
      <c r="J326" s="10">
        <f t="shared" si="45"/>
        <v>45701.284791666665</v>
      </c>
      <c r="K326" s="3">
        <f t="shared" si="47"/>
        <v>2370</v>
      </c>
      <c r="L326">
        <f t="shared" si="40"/>
        <v>15.002777780000001</v>
      </c>
      <c r="M326">
        <f t="shared" si="46"/>
        <v>54.010000008000006</v>
      </c>
    </row>
    <row r="327" spans="1:13" x14ac:dyDescent="0.25">
      <c r="A327" s="9">
        <f>Speed!A327</f>
        <v>45701.284803240742</v>
      </c>
      <c r="B327" s="9">
        <f t="shared" si="41"/>
        <v>45701.284803240742</v>
      </c>
      <c r="C327" s="2">
        <f>Speed!B327</f>
        <v>14.96666667</v>
      </c>
      <c r="D327" s="9">
        <f>Odometer!A327</f>
        <v>45701.28502314815</v>
      </c>
      <c r="E327" s="9">
        <f t="shared" si="42"/>
        <v>45701.285023148142</v>
      </c>
      <c r="F327" s="2">
        <f>Odometer!B327</f>
        <v>428752526</v>
      </c>
      <c r="G327" s="2">
        <f t="shared" si="43"/>
        <v>4</v>
      </c>
      <c r="H327" s="2">
        <f>SUM($G$2:G327)</f>
        <v>2632</v>
      </c>
      <c r="I327" s="10">
        <f t="shared" si="44"/>
        <v>45701.284803240742</v>
      </c>
      <c r="J327" s="10">
        <f t="shared" si="45"/>
        <v>45701.284803240742</v>
      </c>
      <c r="K327" s="3">
        <f t="shared" si="47"/>
        <v>2384</v>
      </c>
      <c r="L327">
        <f t="shared" si="40"/>
        <v>14.96666667</v>
      </c>
      <c r="M327">
        <f t="shared" si="46"/>
        <v>53.880000012000004</v>
      </c>
    </row>
    <row r="328" spans="1:13" x14ac:dyDescent="0.25">
      <c r="A328" s="9">
        <f>Speed!A328</f>
        <v>45701.284814814811</v>
      </c>
      <c r="B328" s="9">
        <f t="shared" si="41"/>
        <v>45701.284814814811</v>
      </c>
      <c r="C328" s="2">
        <f>Speed!B328</f>
        <v>14.919444439999999</v>
      </c>
      <c r="D328" s="9">
        <f>Odometer!A328</f>
        <v>45701.28502314815</v>
      </c>
      <c r="E328" s="9">
        <f t="shared" si="42"/>
        <v>45701.285023148142</v>
      </c>
      <c r="F328" s="2">
        <f>Odometer!B328</f>
        <v>428752530</v>
      </c>
      <c r="G328" s="2">
        <f t="shared" si="43"/>
        <v>12</v>
      </c>
      <c r="H328" s="2">
        <f>SUM($G$2:G328)</f>
        <v>2644</v>
      </c>
      <c r="I328" s="10">
        <f t="shared" si="44"/>
        <v>45701.284814814811</v>
      </c>
      <c r="J328" s="10">
        <f t="shared" si="45"/>
        <v>45701.284814814811</v>
      </c>
      <c r="K328" s="3">
        <f t="shared" si="47"/>
        <v>2400</v>
      </c>
      <c r="L328">
        <f t="shared" si="40"/>
        <v>14.919444439999999</v>
      </c>
      <c r="M328">
        <f t="shared" si="46"/>
        <v>53.709999984</v>
      </c>
    </row>
    <row r="329" spans="1:13" x14ac:dyDescent="0.25">
      <c r="A329" s="9">
        <f>Speed!A329</f>
        <v>45701.284826388888</v>
      </c>
      <c r="B329" s="9">
        <f t="shared" si="41"/>
        <v>45701.284826388888</v>
      </c>
      <c r="C329" s="2">
        <f>Speed!B329</f>
        <v>14.855555560000001</v>
      </c>
      <c r="D329" s="9">
        <f>Odometer!A329</f>
        <v>45701.285034722219</v>
      </c>
      <c r="E329" s="9">
        <f t="shared" si="42"/>
        <v>45701.285034722219</v>
      </c>
      <c r="F329" s="2">
        <f>Odometer!B329</f>
        <v>428752542</v>
      </c>
      <c r="G329" s="2">
        <f t="shared" si="43"/>
        <v>1</v>
      </c>
      <c r="H329" s="2">
        <f>SUM($G$2:G329)</f>
        <v>2645</v>
      </c>
      <c r="I329" s="10">
        <f t="shared" si="44"/>
        <v>45701.284826388888</v>
      </c>
      <c r="J329" s="10">
        <f t="shared" si="45"/>
        <v>45701.284826388888</v>
      </c>
      <c r="K329" s="3">
        <f t="shared" si="47"/>
        <v>2413</v>
      </c>
      <c r="L329">
        <f t="shared" si="40"/>
        <v>14.855555560000001</v>
      </c>
      <c r="M329">
        <f t="shared" si="46"/>
        <v>53.480000016000005</v>
      </c>
    </row>
    <row r="330" spans="1:13" x14ac:dyDescent="0.25">
      <c r="A330" s="9">
        <f>Speed!A330</f>
        <v>45701.284837962965</v>
      </c>
      <c r="B330" s="9">
        <f t="shared" si="41"/>
        <v>45701.284837962958</v>
      </c>
      <c r="C330" s="2">
        <f>Speed!B330</f>
        <v>14.722222220000001</v>
      </c>
      <c r="D330" s="9">
        <f>Odometer!A330</f>
        <v>45701.285034722219</v>
      </c>
      <c r="E330" s="9">
        <f t="shared" si="42"/>
        <v>45701.285034722219</v>
      </c>
      <c r="F330" s="2">
        <f>Odometer!B330</f>
        <v>428752543</v>
      </c>
      <c r="G330" s="2">
        <f t="shared" si="43"/>
        <v>12</v>
      </c>
      <c r="H330" s="2">
        <f>SUM($G$2:G330)</f>
        <v>2657</v>
      </c>
      <c r="I330" s="10">
        <f t="shared" si="44"/>
        <v>45701.284837962965</v>
      </c>
      <c r="J330" s="10">
        <f t="shared" si="45"/>
        <v>45701.284837962958</v>
      </c>
      <c r="K330" s="3">
        <f t="shared" si="47"/>
        <v>2427</v>
      </c>
      <c r="L330">
        <f t="shared" si="40"/>
        <v>14.722222220000001</v>
      </c>
      <c r="M330">
        <f t="shared" si="46"/>
        <v>52.999999992000006</v>
      </c>
    </row>
    <row r="331" spans="1:13" x14ac:dyDescent="0.25">
      <c r="A331" s="9">
        <f>Speed!A331</f>
        <v>45701.284849537034</v>
      </c>
      <c r="B331" s="9">
        <f t="shared" si="41"/>
        <v>45701.284849537034</v>
      </c>
      <c r="C331" s="2">
        <f>Speed!B331</f>
        <v>14.527777779999999</v>
      </c>
      <c r="D331" s="9">
        <f>Odometer!A331</f>
        <v>45701.285046296296</v>
      </c>
      <c r="E331" s="9">
        <f t="shared" si="42"/>
        <v>45701.285046296296</v>
      </c>
      <c r="F331" s="2">
        <f>Odometer!B331</f>
        <v>428752555</v>
      </c>
      <c r="G331" s="2">
        <f t="shared" si="43"/>
        <v>10</v>
      </c>
      <c r="H331" s="2">
        <f>SUM($G$2:G331)</f>
        <v>2667</v>
      </c>
      <c r="I331" s="10">
        <f t="shared" si="44"/>
        <v>45701.284849537034</v>
      </c>
      <c r="J331" s="10">
        <f t="shared" si="45"/>
        <v>45701.284849537034</v>
      </c>
      <c r="K331" s="3">
        <f t="shared" si="47"/>
        <v>2434</v>
      </c>
      <c r="L331">
        <f t="shared" si="40"/>
        <v>14.527777779999999</v>
      </c>
      <c r="M331">
        <f t="shared" si="46"/>
        <v>52.300000007999998</v>
      </c>
    </row>
    <row r="332" spans="1:13" x14ac:dyDescent="0.25">
      <c r="A332" s="9">
        <f>Speed!A332</f>
        <v>45701.284849537034</v>
      </c>
      <c r="B332" s="9">
        <f t="shared" si="41"/>
        <v>45701.284849537034</v>
      </c>
      <c r="C332" s="2">
        <f>Speed!B332</f>
        <v>14.43055556</v>
      </c>
      <c r="D332" s="9">
        <f>Odometer!A332</f>
        <v>45701.285046296296</v>
      </c>
      <c r="E332" s="9">
        <f t="shared" si="42"/>
        <v>45701.285046296296</v>
      </c>
      <c r="F332" s="2">
        <f>Odometer!B332</f>
        <v>428752565</v>
      </c>
      <c r="G332" s="2">
        <f t="shared" si="43"/>
        <v>12</v>
      </c>
      <c r="H332" s="2">
        <f>SUM($G$2:G332)</f>
        <v>2679</v>
      </c>
      <c r="I332" s="10">
        <f t="shared" si="44"/>
        <v>45701.284849537034</v>
      </c>
      <c r="J332" s="10">
        <f t="shared" si="45"/>
        <v>45701.284849537034</v>
      </c>
      <c r="K332" s="3">
        <f t="shared" si="47"/>
        <v>2434</v>
      </c>
      <c r="L332">
        <f t="shared" si="40"/>
        <v>14.527777779999999</v>
      </c>
      <c r="M332">
        <f t="shared" si="46"/>
        <v>52.300000007999998</v>
      </c>
    </row>
    <row r="333" spans="1:13" x14ac:dyDescent="0.25">
      <c r="A333" s="9">
        <f>Speed!A333</f>
        <v>45701.284849537034</v>
      </c>
      <c r="B333" s="9">
        <f t="shared" si="41"/>
        <v>45701.284849537034</v>
      </c>
      <c r="C333" s="2">
        <f>Speed!B333</f>
        <v>14.36111111</v>
      </c>
      <c r="D333" s="9">
        <f>Odometer!A333</f>
        <v>45701.285069444442</v>
      </c>
      <c r="E333" s="9">
        <f t="shared" si="42"/>
        <v>45701.285069444442</v>
      </c>
      <c r="F333" s="2">
        <f>Odometer!B333</f>
        <v>428752577</v>
      </c>
      <c r="G333" s="2">
        <f t="shared" si="43"/>
        <v>10</v>
      </c>
      <c r="H333" s="2">
        <f>SUM($G$2:G333)</f>
        <v>2689</v>
      </c>
      <c r="I333" s="10">
        <f t="shared" si="44"/>
        <v>45701.284849537034</v>
      </c>
      <c r="J333" s="10">
        <f t="shared" si="45"/>
        <v>45701.284849537034</v>
      </c>
      <c r="K333" s="3">
        <f t="shared" si="47"/>
        <v>2434</v>
      </c>
      <c r="L333">
        <f t="shared" si="40"/>
        <v>14.527777779999999</v>
      </c>
      <c r="M333">
        <f t="shared" si="46"/>
        <v>52.300000007999998</v>
      </c>
    </row>
    <row r="334" spans="1:13" x14ac:dyDescent="0.25">
      <c r="A334" s="9">
        <f>Speed!A334</f>
        <v>45701.284861111111</v>
      </c>
      <c r="B334" s="9">
        <f t="shared" si="41"/>
        <v>45701.284861111111</v>
      </c>
      <c r="C334" s="2">
        <f>Speed!B334</f>
        <v>14.31944444</v>
      </c>
      <c r="D334" s="9">
        <f>Odometer!A334</f>
        <v>45701.285069444442</v>
      </c>
      <c r="E334" s="9">
        <f t="shared" si="42"/>
        <v>45701.285069444442</v>
      </c>
      <c r="F334" s="2">
        <f>Odometer!B334</f>
        <v>428752587</v>
      </c>
      <c r="G334" s="2">
        <f t="shared" si="43"/>
        <v>2</v>
      </c>
      <c r="H334" s="2">
        <f>SUM($G$2:G334)</f>
        <v>2691</v>
      </c>
      <c r="I334" s="10">
        <f t="shared" si="44"/>
        <v>45701.284861111111</v>
      </c>
      <c r="J334" s="10">
        <f t="shared" si="45"/>
        <v>45701.284861111111</v>
      </c>
      <c r="K334" s="3">
        <f t="shared" si="47"/>
        <v>2448</v>
      </c>
      <c r="L334">
        <f t="shared" si="40"/>
        <v>14.31944444</v>
      </c>
      <c r="M334">
        <f t="shared" si="46"/>
        <v>51.549999984000003</v>
      </c>
    </row>
    <row r="335" spans="1:13" x14ac:dyDescent="0.25">
      <c r="A335" s="9">
        <f>Speed!A335</f>
        <v>45701.284861111111</v>
      </c>
      <c r="B335" s="9">
        <f t="shared" si="41"/>
        <v>45701.284861111111</v>
      </c>
      <c r="C335" s="2">
        <f>Speed!B335</f>
        <v>14.26388889</v>
      </c>
      <c r="D335" s="9">
        <f>Odometer!A335</f>
        <v>45701.285081018519</v>
      </c>
      <c r="E335" s="9">
        <f t="shared" si="42"/>
        <v>45701.285081018519</v>
      </c>
      <c r="F335" s="2">
        <f>Odometer!B335</f>
        <v>428752589</v>
      </c>
      <c r="G335" s="2">
        <f t="shared" si="43"/>
        <v>2</v>
      </c>
      <c r="H335" s="2">
        <f>SUM($G$2:G335)</f>
        <v>2693</v>
      </c>
      <c r="I335" s="10">
        <f t="shared" si="44"/>
        <v>45701.284861111111</v>
      </c>
      <c r="J335" s="10">
        <f t="shared" si="45"/>
        <v>45701.284861111111</v>
      </c>
      <c r="K335" s="3">
        <f t="shared" si="47"/>
        <v>2448</v>
      </c>
      <c r="L335">
        <f t="shared" si="40"/>
        <v>14.31944444</v>
      </c>
      <c r="M335">
        <f t="shared" si="46"/>
        <v>51.549999984000003</v>
      </c>
    </row>
    <row r="336" spans="1:13" x14ac:dyDescent="0.25">
      <c r="A336" s="9">
        <f>Speed!A336</f>
        <v>45701.284872685188</v>
      </c>
      <c r="B336" s="9">
        <f t="shared" si="41"/>
        <v>45701.284872685181</v>
      </c>
      <c r="C336" s="2">
        <f>Speed!B336</f>
        <v>14.211111109999999</v>
      </c>
      <c r="D336" s="9">
        <f>Odometer!A336</f>
        <v>45701.285081018519</v>
      </c>
      <c r="E336" s="9">
        <f t="shared" si="42"/>
        <v>45701.285081018519</v>
      </c>
      <c r="F336" s="2">
        <f>Odometer!B336</f>
        <v>428752591</v>
      </c>
      <c r="G336" s="2">
        <f t="shared" si="43"/>
        <v>7</v>
      </c>
      <c r="H336" s="2">
        <f>SUM($G$2:G336)</f>
        <v>2700</v>
      </c>
      <c r="I336" s="10">
        <f t="shared" si="44"/>
        <v>45701.284872685188</v>
      </c>
      <c r="J336" s="10">
        <f t="shared" si="45"/>
        <v>45701.284872685181</v>
      </c>
      <c r="K336" s="3">
        <f t="shared" si="47"/>
        <v>2458</v>
      </c>
      <c r="L336">
        <f t="shared" si="40"/>
        <v>14.211111109999999</v>
      </c>
      <c r="M336">
        <f t="shared" si="46"/>
        <v>51.159999995999996</v>
      </c>
    </row>
    <row r="337" spans="1:13" x14ac:dyDescent="0.25">
      <c r="A337" s="9">
        <f>Speed!A337</f>
        <v>45701.284872685188</v>
      </c>
      <c r="B337" s="9">
        <f t="shared" si="41"/>
        <v>45701.284872685181</v>
      </c>
      <c r="C337" s="2">
        <f>Speed!B337</f>
        <v>14.233333330000001</v>
      </c>
      <c r="D337" s="9">
        <f>Odometer!A337</f>
        <v>45701.285081018519</v>
      </c>
      <c r="E337" s="9">
        <f t="shared" si="42"/>
        <v>45701.285081018519</v>
      </c>
      <c r="F337" s="2">
        <f>Odometer!B337</f>
        <v>428752598</v>
      </c>
      <c r="G337" s="2">
        <f t="shared" si="43"/>
        <v>10</v>
      </c>
      <c r="H337" s="2">
        <f>SUM($G$2:G337)</f>
        <v>2710</v>
      </c>
      <c r="I337" s="10">
        <f t="shared" si="44"/>
        <v>45701.284872685188</v>
      </c>
      <c r="J337" s="10">
        <f t="shared" si="45"/>
        <v>45701.284872685181</v>
      </c>
      <c r="K337" s="3">
        <f t="shared" si="47"/>
        <v>2458</v>
      </c>
      <c r="L337">
        <f t="shared" si="40"/>
        <v>14.211111109999999</v>
      </c>
      <c r="M337">
        <f t="shared" si="46"/>
        <v>51.159999995999996</v>
      </c>
    </row>
    <row r="338" spans="1:13" x14ac:dyDescent="0.25">
      <c r="A338" s="9">
        <f>Speed!A338</f>
        <v>45701.284872685188</v>
      </c>
      <c r="B338" s="9">
        <f t="shared" si="41"/>
        <v>45701.284872685181</v>
      </c>
      <c r="C338" s="2">
        <f>Speed!B338</f>
        <v>14.144444439999999</v>
      </c>
      <c r="D338" s="9">
        <f>Odometer!A338</f>
        <v>45701.285104166665</v>
      </c>
      <c r="E338" s="9">
        <f t="shared" si="42"/>
        <v>45701.285104166665</v>
      </c>
      <c r="F338" s="2">
        <f>Odometer!B338</f>
        <v>428752608</v>
      </c>
      <c r="G338" s="2">
        <f t="shared" si="43"/>
        <v>9</v>
      </c>
      <c r="H338" s="2">
        <f>SUM($G$2:G338)</f>
        <v>2719</v>
      </c>
      <c r="I338" s="10">
        <f t="shared" si="44"/>
        <v>45701.284872685188</v>
      </c>
      <c r="J338" s="10">
        <f t="shared" si="45"/>
        <v>45701.284872685181</v>
      </c>
      <c r="K338" s="3">
        <f t="shared" si="47"/>
        <v>2458</v>
      </c>
      <c r="L338">
        <f t="shared" si="40"/>
        <v>14.211111109999999</v>
      </c>
      <c r="M338">
        <f t="shared" si="46"/>
        <v>51.159999995999996</v>
      </c>
    </row>
    <row r="339" spans="1:13" x14ac:dyDescent="0.25">
      <c r="A339" s="9">
        <f>Speed!A339</f>
        <v>45701.284895833334</v>
      </c>
      <c r="B339" s="9">
        <f t="shared" si="41"/>
        <v>45701.284895833334</v>
      </c>
      <c r="C339" s="2">
        <f>Speed!B339</f>
        <v>14.03055556</v>
      </c>
      <c r="D339" s="9">
        <f>Odometer!A339</f>
        <v>45701.285115740742</v>
      </c>
      <c r="E339" s="9">
        <f t="shared" si="42"/>
        <v>45701.285115740735</v>
      </c>
      <c r="F339" s="2">
        <f>Odometer!B339</f>
        <v>428752617</v>
      </c>
      <c r="G339" s="2">
        <f t="shared" si="43"/>
        <v>10</v>
      </c>
      <c r="H339" s="2">
        <f>SUM($G$2:G339)</f>
        <v>2729</v>
      </c>
      <c r="I339" s="10">
        <f t="shared" si="44"/>
        <v>45701.284895833334</v>
      </c>
      <c r="J339" s="10">
        <f t="shared" si="45"/>
        <v>45701.284895833334</v>
      </c>
      <c r="K339" s="3">
        <f t="shared" si="47"/>
        <v>2494</v>
      </c>
      <c r="L339">
        <f t="shared" si="40"/>
        <v>14.03055556</v>
      </c>
      <c r="M339">
        <f t="shared" si="46"/>
        <v>50.510000015999999</v>
      </c>
    </row>
    <row r="340" spans="1:13" x14ac:dyDescent="0.25">
      <c r="A340" s="9">
        <f>Speed!A340</f>
        <v>45701.284895833334</v>
      </c>
      <c r="B340" s="9">
        <f t="shared" si="41"/>
        <v>45701.284895833334</v>
      </c>
      <c r="C340" s="2">
        <f>Speed!B340</f>
        <v>14.01111111</v>
      </c>
      <c r="D340" s="9">
        <f>Odometer!A340</f>
        <v>45701.285127314812</v>
      </c>
      <c r="E340" s="9">
        <f t="shared" si="42"/>
        <v>45701.285127314812</v>
      </c>
      <c r="F340" s="2">
        <f>Odometer!B340</f>
        <v>428752627</v>
      </c>
      <c r="G340" s="2">
        <f t="shared" si="43"/>
        <v>11</v>
      </c>
      <c r="H340" s="2">
        <f>SUM($G$2:G340)</f>
        <v>2740</v>
      </c>
      <c r="I340" s="10">
        <f t="shared" si="44"/>
        <v>45701.284895833334</v>
      </c>
      <c r="J340" s="10">
        <f t="shared" si="45"/>
        <v>45701.284895833334</v>
      </c>
      <c r="K340" s="3">
        <f t="shared" si="47"/>
        <v>2494</v>
      </c>
      <c r="L340">
        <f t="shared" si="40"/>
        <v>14.03055556</v>
      </c>
      <c r="M340">
        <f t="shared" si="46"/>
        <v>50.510000015999999</v>
      </c>
    </row>
    <row r="341" spans="1:13" x14ac:dyDescent="0.25">
      <c r="A341" s="9">
        <f>Speed!A341</f>
        <v>45701.284907407404</v>
      </c>
      <c r="B341" s="9">
        <f t="shared" si="41"/>
        <v>45701.284907407404</v>
      </c>
      <c r="C341" s="2">
        <f>Speed!B341</f>
        <v>13.983333330000001</v>
      </c>
      <c r="D341" s="9">
        <f>Odometer!A341</f>
        <v>45701.285138888888</v>
      </c>
      <c r="E341" s="9">
        <f t="shared" si="42"/>
        <v>45701.285138888888</v>
      </c>
      <c r="F341" s="2">
        <f>Odometer!B341</f>
        <v>428752638</v>
      </c>
      <c r="G341" s="2">
        <f t="shared" si="43"/>
        <v>10</v>
      </c>
      <c r="H341" s="2">
        <f>SUM($G$2:G341)</f>
        <v>2750</v>
      </c>
      <c r="I341" s="10">
        <f t="shared" si="44"/>
        <v>45701.284907407404</v>
      </c>
      <c r="J341" s="10">
        <f t="shared" si="45"/>
        <v>45701.284907407404</v>
      </c>
      <c r="K341" s="3">
        <f t="shared" si="47"/>
        <v>2506</v>
      </c>
      <c r="L341">
        <f t="shared" si="40"/>
        <v>13.983333330000001</v>
      </c>
      <c r="M341">
        <f t="shared" si="46"/>
        <v>50.339999988000002</v>
      </c>
    </row>
    <row r="342" spans="1:13" x14ac:dyDescent="0.25">
      <c r="A342" s="9">
        <f>Speed!A342</f>
        <v>45701.284907407404</v>
      </c>
      <c r="B342" s="9">
        <f t="shared" si="41"/>
        <v>45701.284907407404</v>
      </c>
      <c r="C342" s="2">
        <f>Speed!B342</f>
        <v>13.913888890000001</v>
      </c>
      <c r="D342" s="9">
        <f>Odometer!A342</f>
        <v>45701.285150462965</v>
      </c>
      <c r="E342" s="9">
        <f t="shared" si="42"/>
        <v>45701.285150462958</v>
      </c>
      <c r="F342" s="2">
        <f>Odometer!B342</f>
        <v>428752648</v>
      </c>
      <c r="G342" s="2">
        <f t="shared" si="43"/>
        <v>11</v>
      </c>
      <c r="H342" s="2">
        <f>SUM($G$2:G342)</f>
        <v>2761</v>
      </c>
      <c r="I342" s="10">
        <f t="shared" si="44"/>
        <v>45701.284907407404</v>
      </c>
      <c r="J342" s="10">
        <f t="shared" si="45"/>
        <v>45701.284907407404</v>
      </c>
      <c r="K342" s="3">
        <f t="shared" si="47"/>
        <v>2506</v>
      </c>
      <c r="L342">
        <f t="shared" si="40"/>
        <v>13.983333330000001</v>
      </c>
      <c r="M342">
        <f t="shared" si="46"/>
        <v>50.339999988000002</v>
      </c>
    </row>
    <row r="343" spans="1:13" x14ac:dyDescent="0.25">
      <c r="A343" s="9">
        <f>Speed!A343</f>
        <v>45701.284918981481</v>
      </c>
      <c r="B343" s="9">
        <f t="shared" si="41"/>
        <v>45701.284918981481</v>
      </c>
      <c r="C343" s="2">
        <f>Speed!B343</f>
        <v>13.82222222</v>
      </c>
      <c r="D343" s="9">
        <f>Odometer!A343</f>
        <v>45701.285162037035</v>
      </c>
      <c r="E343" s="9">
        <f t="shared" si="42"/>
        <v>45701.285162037035</v>
      </c>
      <c r="F343" s="2">
        <f>Odometer!B343</f>
        <v>428752659</v>
      </c>
      <c r="G343" s="2">
        <f t="shared" si="43"/>
        <v>9</v>
      </c>
      <c r="H343" s="2">
        <f>SUM($G$2:G343)</f>
        <v>2770</v>
      </c>
      <c r="I343" s="10">
        <f t="shared" si="44"/>
        <v>45701.284918981481</v>
      </c>
      <c r="J343" s="10">
        <f t="shared" si="45"/>
        <v>45701.284918981481</v>
      </c>
      <c r="K343" s="3">
        <f t="shared" si="47"/>
        <v>2515</v>
      </c>
      <c r="L343">
        <f t="shared" si="40"/>
        <v>13.82222222</v>
      </c>
      <c r="M343">
        <f t="shared" si="46"/>
        <v>49.759999992000004</v>
      </c>
    </row>
    <row r="344" spans="1:13" x14ac:dyDescent="0.25">
      <c r="A344" s="9">
        <f>Speed!A344</f>
        <v>45701.284918981481</v>
      </c>
      <c r="B344" s="9">
        <f t="shared" si="41"/>
        <v>45701.284918981481</v>
      </c>
      <c r="C344" s="2">
        <f>Speed!B344</f>
        <v>13.80555556</v>
      </c>
      <c r="D344" s="9">
        <f>Odometer!A344</f>
        <v>45701.285173611112</v>
      </c>
      <c r="E344" s="9">
        <f t="shared" si="42"/>
        <v>45701.285173611112</v>
      </c>
      <c r="F344" s="2">
        <f>Odometer!B344</f>
        <v>428752668</v>
      </c>
      <c r="G344" s="2">
        <f t="shared" si="43"/>
        <v>11</v>
      </c>
      <c r="H344" s="2">
        <f>SUM($G$2:G344)</f>
        <v>2781</v>
      </c>
      <c r="I344" s="10">
        <f t="shared" si="44"/>
        <v>45701.284918981481</v>
      </c>
      <c r="J344" s="10">
        <f t="shared" si="45"/>
        <v>45701.284918981481</v>
      </c>
      <c r="K344" s="3">
        <f t="shared" si="47"/>
        <v>2515</v>
      </c>
      <c r="L344">
        <f t="shared" si="40"/>
        <v>13.82222222</v>
      </c>
      <c r="M344">
        <f t="shared" si="46"/>
        <v>49.759999992000004</v>
      </c>
    </row>
    <row r="345" spans="1:13" x14ac:dyDescent="0.25">
      <c r="A345" s="9">
        <f>Speed!A345</f>
        <v>45701.284930555557</v>
      </c>
      <c r="B345" s="9">
        <f t="shared" si="41"/>
        <v>45701.28493055555</v>
      </c>
      <c r="C345" s="2">
        <f>Speed!B345</f>
        <v>13.574999999999999</v>
      </c>
      <c r="D345" s="9">
        <f>Odometer!A345</f>
        <v>45701.285185185188</v>
      </c>
      <c r="E345" s="9">
        <f t="shared" si="42"/>
        <v>45701.285185185181</v>
      </c>
      <c r="F345" s="2">
        <f>Odometer!B345</f>
        <v>428752679</v>
      </c>
      <c r="G345" s="2">
        <f t="shared" si="43"/>
        <v>11</v>
      </c>
      <c r="H345" s="2">
        <f>SUM($G$2:G345)</f>
        <v>2792</v>
      </c>
      <c r="I345" s="10">
        <f t="shared" si="44"/>
        <v>45701.284930555557</v>
      </c>
      <c r="J345" s="10">
        <f t="shared" si="45"/>
        <v>45701.28493055555</v>
      </c>
      <c r="K345" s="3">
        <f t="shared" si="47"/>
        <v>2542</v>
      </c>
      <c r="L345">
        <f t="shared" si="40"/>
        <v>13.574999999999999</v>
      </c>
      <c r="M345">
        <f t="shared" si="46"/>
        <v>48.87</v>
      </c>
    </row>
    <row r="346" spans="1:13" x14ac:dyDescent="0.25">
      <c r="A346" s="9">
        <f>Speed!A346</f>
        <v>45701.284942129627</v>
      </c>
      <c r="B346" s="9">
        <f t="shared" si="41"/>
        <v>45701.284942129627</v>
      </c>
      <c r="C346" s="2">
        <f>Speed!B346</f>
        <v>13.38888889</v>
      </c>
      <c r="D346" s="9">
        <f>Odometer!A346</f>
        <v>45701.285185185188</v>
      </c>
      <c r="E346" s="9">
        <f t="shared" si="42"/>
        <v>45701.285185185181</v>
      </c>
      <c r="F346" s="2">
        <f>Odometer!B346</f>
        <v>428752690</v>
      </c>
      <c r="G346" s="2">
        <f t="shared" si="43"/>
        <v>11</v>
      </c>
      <c r="H346" s="2">
        <f>SUM($G$2:G346)</f>
        <v>2803</v>
      </c>
      <c r="I346" s="10">
        <f t="shared" si="44"/>
        <v>45701.284942129627</v>
      </c>
      <c r="J346" s="10">
        <f t="shared" si="45"/>
        <v>45701.284942129627</v>
      </c>
      <c r="K346" s="3">
        <f t="shared" si="47"/>
        <v>2545</v>
      </c>
      <c r="L346">
        <f t="shared" si="40"/>
        <v>13.38888889</v>
      </c>
      <c r="M346">
        <f t="shared" si="46"/>
        <v>48.200000004000003</v>
      </c>
    </row>
    <row r="347" spans="1:13" x14ac:dyDescent="0.25">
      <c r="A347" s="9">
        <f>Speed!A347</f>
        <v>45701.284942129627</v>
      </c>
      <c r="B347" s="9">
        <f t="shared" si="41"/>
        <v>45701.284942129627</v>
      </c>
      <c r="C347" s="2">
        <f>Speed!B347</f>
        <v>13.31944444</v>
      </c>
      <c r="D347" s="9">
        <f>Odometer!A347</f>
        <v>45701.285196759258</v>
      </c>
      <c r="E347" s="9">
        <f t="shared" si="42"/>
        <v>45701.285196759258</v>
      </c>
      <c r="F347" s="2">
        <f>Odometer!B347</f>
        <v>428752701</v>
      </c>
      <c r="G347" s="2">
        <f t="shared" si="43"/>
        <v>10</v>
      </c>
      <c r="H347" s="2">
        <f>SUM($G$2:G347)</f>
        <v>2813</v>
      </c>
      <c r="I347" s="10">
        <f t="shared" si="44"/>
        <v>45701.284942129627</v>
      </c>
      <c r="J347" s="10">
        <f t="shared" si="45"/>
        <v>45701.284942129627</v>
      </c>
      <c r="K347" s="3">
        <f t="shared" si="47"/>
        <v>2545</v>
      </c>
      <c r="L347">
        <f t="shared" si="40"/>
        <v>13.38888889</v>
      </c>
      <c r="M347">
        <f t="shared" si="46"/>
        <v>48.200000004000003</v>
      </c>
    </row>
    <row r="348" spans="1:13" x14ac:dyDescent="0.25">
      <c r="A348" s="9">
        <f>Speed!A348</f>
        <v>45701.284953703704</v>
      </c>
      <c r="B348" s="9">
        <f t="shared" si="41"/>
        <v>45701.284953703704</v>
      </c>
      <c r="C348" s="2">
        <f>Speed!B348</f>
        <v>13.241666670000001</v>
      </c>
      <c r="D348" s="9">
        <f>Odometer!A348</f>
        <v>45701.285219907404</v>
      </c>
      <c r="E348" s="9">
        <f t="shared" si="42"/>
        <v>45701.285219907404</v>
      </c>
      <c r="F348" s="2">
        <f>Odometer!B348</f>
        <v>428752711</v>
      </c>
      <c r="G348" s="2">
        <f t="shared" si="43"/>
        <v>11</v>
      </c>
      <c r="H348" s="2">
        <f>SUM($G$2:G348)</f>
        <v>2824</v>
      </c>
      <c r="I348" s="10">
        <f t="shared" si="44"/>
        <v>45701.284953703704</v>
      </c>
      <c r="J348" s="10">
        <f t="shared" si="45"/>
        <v>45701.284953703704</v>
      </c>
      <c r="K348" s="3">
        <f t="shared" si="47"/>
        <v>2566</v>
      </c>
      <c r="L348">
        <f t="shared" si="40"/>
        <v>13.241666670000001</v>
      </c>
      <c r="M348">
        <f t="shared" si="46"/>
        <v>47.670000012000003</v>
      </c>
    </row>
    <row r="349" spans="1:13" x14ac:dyDescent="0.25">
      <c r="A349" s="9">
        <f>Speed!A349</f>
        <v>45701.28496527778</v>
      </c>
      <c r="B349" s="9">
        <f t="shared" si="41"/>
        <v>45701.284965277773</v>
      </c>
      <c r="C349" s="2">
        <f>Speed!B349</f>
        <v>13.11111111</v>
      </c>
      <c r="D349" s="9">
        <f>Odometer!A349</f>
        <v>45701.285231481481</v>
      </c>
      <c r="E349" s="9">
        <f t="shared" si="42"/>
        <v>45701.285231481481</v>
      </c>
      <c r="F349" s="2">
        <f>Odometer!B349</f>
        <v>428752722</v>
      </c>
      <c r="G349" s="2">
        <f t="shared" si="43"/>
        <v>2</v>
      </c>
      <c r="H349" s="2">
        <f>SUM($G$2:G349)</f>
        <v>2826</v>
      </c>
      <c r="I349" s="10">
        <f t="shared" si="44"/>
        <v>45701.28496527778</v>
      </c>
      <c r="J349" s="10">
        <f t="shared" si="45"/>
        <v>45701.284965277773</v>
      </c>
      <c r="K349" s="3">
        <f t="shared" si="47"/>
        <v>2568</v>
      </c>
      <c r="L349">
        <f t="shared" si="40"/>
        <v>13.11111111</v>
      </c>
      <c r="M349">
        <f t="shared" si="46"/>
        <v>47.199999996000003</v>
      </c>
    </row>
    <row r="350" spans="1:13" x14ac:dyDescent="0.25">
      <c r="A350" s="9">
        <f>Speed!A350</f>
        <v>45701.28496527778</v>
      </c>
      <c r="B350" s="9">
        <f t="shared" si="41"/>
        <v>45701.284965277773</v>
      </c>
      <c r="C350" s="2">
        <f>Speed!B350</f>
        <v>13.09444444</v>
      </c>
      <c r="D350" s="9">
        <f>Odometer!A350</f>
        <v>45701.285231481481</v>
      </c>
      <c r="E350" s="9">
        <f t="shared" si="42"/>
        <v>45701.285231481481</v>
      </c>
      <c r="F350" s="2">
        <f>Odometer!B350</f>
        <v>428752724</v>
      </c>
      <c r="G350" s="2">
        <f t="shared" si="43"/>
        <v>9</v>
      </c>
      <c r="H350" s="2">
        <f>SUM($G$2:G350)</f>
        <v>2835</v>
      </c>
      <c r="I350" s="10">
        <f t="shared" si="44"/>
        <v>45701.28496527778</v>
      </c>
      <c r="J350" s="10">
        <f t="shared" si="45"/>
        <v>45701.284965277773</v>
      </c>
      <c r="K350" s="3">
        <f t="shared" si="47"/>
        <v>2568</v>
      </c>
      <c r="L350">
        <f t="shared" si="40"/>
        <v>13.11111111</v>
      </c>
      <c r="M350">
        <f t="shared" si="46"/>
        <v>47.199999996000003</v>
      </c>
    </row>
    <row r="351" spans="1:13" x14ac:dyDescent="0.25">
      <c r="A351" s="9">
        <f>Speed!A351</f>
        <v>45701.28497685185</v>
      </c>
      <c r="B351" s="9">
        <f t="shared" si="41"/>
        <v>45701.28497685185</v>
      </c>
      <c r="C351" s="2">
        <f>Speed!B351</f>
        <v>12.991666670000001</v>
      </c>
      <c r="D351" s="9">
        <f>Odometer!A351</f>
        <v>45701.285243055558</v>
      </c>
      <c r="E351" s="9">
        <f t="shared" si="42"/>
        <v>45701.28524305555</v>
      </c>
      <c r="F351" s="2">
        <f>Odometer!B351</f>
        <v>428752733</v>
      </c>
      <c r="G351" s="2">
        <f t="shared" si="43"/>
        <v>11</v>
      </c>
      <c r="H351" s="2">
        <f>SUM($G$2:G351)</f>
        <v>2846</v>
      </c>
      <c r="I351" s="10">
        <f t="shared" si="44"/>
        <v>45701.28497685185</v>
      </c>
      <c r="J351" s="10">
        <f t="shared" si="45"/>
        <v>45701.28497685185</v>
      </c>
      <c r="K351" s="3">
        <f t="shared" si="47"/>
        <v>2593</v>
      </c>
      <c r="L351">
        <f t="shared" si="40"/>
        <v>12.991666670000001</v>
      </c>
      <c r="M351">
        <f t="shared" si="46"/>
        <v>46.770000012000004</v>
      </c>
    </row>
    <row r="352" spans="1:13" x14ac:dyDescent="0.25">
      <c r="A352" s="9">
        <f>Speed!A352</f>
        <v>45701.284988425927</v>
      </c>
      <c r="B352" s="9">
        <f t="shared" si="41"/>
        <v>45701.284988425927</v>
      </c>
      <c r="C352" s="2">
        <f>Speed!B352</f>
        <v>12.85</v>
      </c>
      <c r="D352" s="9">
        <f>Odometer!A352</f>
        <v>45701.285254629627</v>
      </c>
      <c r="E352" s="9">
        <f t="shared" si="42"/>
        <v>45701.285254629627</v>
      </c>
      <c r="F352" s="2">
        <f>Odometer!B352</f>
        <v>428752744</v>
      </c>
      <c r="G352" s="2">
        <f t="shared" si="43"/>
        <v>1</v>
      </c>
      <c r="H352" s="2">
        <f>SUM($G$2:G352)</f>
        <v>2847</v>
      </c>
      <c r="I352" s="10">
        <f t="shared" si="44"/>
        <v>45701.284988425927</v>
      </c>
      <c r="J352" s="10">
        <f t="shared" si="45"/>
        <v>45701.284988425927</v>
      </c>
      <c r="K352" s="3">
        <f t="shared" si="47"/>
        <v>2599</v>
      </c>
      <c r="L352">
        <f t="shared" si="40"/>
        <v>12.85</v>
      </c>
      <c r="M352">
        <f t="shared" si="46"/>
        <v>46.26</v>
      </c>
    </row>
    <row r="353" spans="1:13" x14ac:dyDescent="0.25">
      <c r="A353" s="9">
        <f>Speed!A353</f>
        <v>45701.284988425927</v>
      </c>
      <c r="B353" s="9">
        <f t="shared" si="41"/>
        <v>45701.284988425927</v>
      </c>
      <c r="C353" s="2">
        <f>Speed!B353</f>
        <v>12.880555559999999</v>
      </c>
      <c r="D353" s="9">
        <f>Odometer!A353</f>
        <v>45701.285254629627</v>
      </c>
      <c r="E353" s="9">
        <f t="shared" si="42"/>
        <v>45701.285254629627</v>
      </c>
      <c r="F353" s="2">
        <f>Odometer!B353</f>
        <v>428752745</v>
      </c>
      <c r="G353" s="2">
        <f t="shared" si="43"/>
        <v>10</v>
      </c>
      <c r="H353" s="2">
        <f>SUM($G$2:G353)</f>
        <v>2857</v>
      </c>
      <c r="I353" s="10">
        <f t="shared" si="44"/>
        <v>45701.284988425927</v>
      </c>
      <c r="J353" s="10">
        <f t="shared" si="45"/>
        <v>45701.284988425927</v>
      </c>
      <c r="K353" s="3">
        <f t="shared" si="47"/>
        <v>2599</v>
      </c>
      <c r="L353">
        <f t="shared" si="40"/>
        <v>12.85</v>
      </c>
      <c r="M353">
        <f t="shared" si="46"/>
        <v>46.26</v>
      </c>
    </row>
    <row r="354" spans="1:13" x14ac:dyDescent="0.25">
      <c r="A354" s="9">
        <f>Speed!A354</f>
        <v>45701.285000000003</v>
      </c>
      <c r="B354" s="9">
        <f t="shared" si="41"/>
        <v>45701.284999999996</v>
      </c>
      <c r="C354" s="2">
        <f>Speed!B354</f>
        <v>12.91111111</v>
      </c>
      <c r="D354" s="9">
        <f>Odometer!A354</f>
        <v>45701.285266203704</v>
      </c>
      <c r="E354" s="9">
        <f t="shared" si="42"/>
        <v>45701.285266203704</v>
      </c>
      <c r="F354" s="2">
        <f>Odometer!B354</f>
        <v>428752755</v>
      </c>
      <c r="G354" s="2">
        <f t="shared" si="43"/>
        <v>1</v>
      </c>
      <c r="H354" s="2">
        <f>SUM($G$2:G354)</f>
        <v>2858</v>
      </c>
      <c r="I354" s="10">
        <f t="shared" si="44"/>
        <v>45701.285000000003</v>
      </c>
      <c r="J354" s="10">
        <f t="shared" si="45"/>
        <v>45701.284999999996</v>
      </c>
      <c r="K354" s="3">
        <f t="shared" si="47"/>
        <v>2617</v>
      </c>
      <c r="L354">
        <f t="shared" si="40"/>
        <v>12.91111111</v>
      </c>
      <c r="M354">
        <f t="shared" si="46"/>
        <v>46.479999996000004</v>
      </c>
    </row>
    <row r="355" spans="1:13" x14ac:dyDescent="0.25">
      <c r="A355" s="9">
        <f>Speed!A355</f>
        <v>45701.285011574073</v>
      </c>
      <c r="B355" s="9">
        <f t="shared" si="41"/>
        <v>45701.285011574073</v>
      </c>
      <c r="C355" s="2">
        <f>Speed!B355</f>
        <v>12.811111110000001</v>
      </c>
      <c r="D355" s="9">
        <f>Odometer!A355</f>
        <v>45701.285266203704</v>
      </c>
      <c r="E355" s="9">
        <f t="shared" si="42"/>
        <v>45701.285266203704</v>
      </c>
      <c r="F355" s="2">
        <f>Odometer!B355</f>
        <v>428752756</v>
      </c>
      <c r="G355" s="2">
        <f t="shared" si="43"/>
        <v>9</v>
      </c>
      <c r="H355" s="2">
        <f>SUM($G$2:G355)</f>
        <v>2867</v>
      </c>
      <c r="I355" s="10">
        <f t="shared" si="44"/>
        <v>45701.285011574073</v>
      </c>
      <c r="J355" s="10">
        <f t="shared" si="45"/>
        <v>45701.285011574073</v>
      </c>
      <c r="K355" s="3">
        <f t="shared" si="47"/>
        <v>2619</v>
      </c>
      <c r="L355">
        <f t="shared" si="40"/>
        <v>12.811111110000001</v>
      </c>
      <c r="M355">
        <f t="shared" si="46"/>
        <v>46.119999996000004</v>
      </c>
    </row>
    <row r="356" spans="1:13" x14ac:dyDescent="0.25">
      <c r="A356" s="9">
        <f>Speed!A356</f>
        <v>45701.285011574073</v>
      </c>
      <c r="B356" s="9">
        <f t="shared" si="41"/>
        <v>45701.285011574073</v>
      </c>
      <c r="C356" s="2">
        <f>Speed!B356</f>
        <v>12.76388889</v>
      </c>
      <c r="D356" s="9">
        <f>Odometer!A356</f>
        <v>45701.285277777781</v>
      </c>
      <c r="E356" s="9">
        <f t="shared" si="42"/>
        <v>45701.285277777773</v>
      </c>
      <c r="F356" s="2">
        <f>Odometer!B356</f>
        <v>428752765</v>
      </c>
      <c r="G356" s="2">
        <f t="shared" si="43"/>
        <v>1</v>
      </c>
      <c r="H356" s="2">
        <f>SUM($G$2:G356)</f>
        <v>2868</v>
      </c>
      <c r="I356" s="10">
        <f t="shared" si="44"/>
        <v>45701.285011574073</v>
      </c>
      <c r="J356" s="10">
        <f t="shared" si="45"/>
        <v>45701.285011574073</v>
      </c>
      <c r="K356" s="3">
        <f t="shared" si="47"/>
        <v>2619</v>
      </c>
      <c r="L356">
        <f t="shared" si="40"/>
        <v>12.811111110000001</v>
      </c>
      <c r="M356">
        <f t="shared" si="46"/>
        <v>46.119999996000004</v>
      </c>
    </row>
    <row r="357" spans="1:13" x14ac:dyDescent="0.25">
      <c r="A357" s="9">
        <f>Speed!A357</f>
        <v>45701.28502314815</v>
      </c>
      <c r="B357" s="9">
        <f t="shared" si="41"/>
        <v>45701.285023148142</v>
      </c>
      <c r="C357" s="2">
        <f>Speed!B357</f>
        <v>12.73611111</v>
      </c>
      <c r="D357" s="9">
        <f>Odometer!A357</f>
        <v>45701.285277777781</v>
      </c>
      <c r="E357" s="9">
        <f t="shared" si="42"/>
        <v>45701.285277777773</v>
      </c>
      <c r="F357" s="2">
        <f>Odometer!B357</f>
        <v>428752766</v>
      </c>
      <c r="G357" s="2">
        <f t="shared" si="43"/>
        <v>11</v>
      </c>
      <c r="H357" s="2">
        <f>SUM($G$2:G357)</f>
        <v>2879</v>
      </c>
      <c r="I357" s="10">
        <f t="shared" si="44"/>
        <v>45701.28502314815</v>
      </c>
      <c r="J357" s="10">
        <f t="shared" si="45"/>
        <v>45701.285023148142</v>
      </c>
      <c r="K357" s="3">
        <f t="shared" si="47"/>
        <v>2632</v>
      </c>
      <c r="L357">
        <f t="shared" si="40"/>
        <v>12.73611111</v>
      </c>
      <c r="M357">
        <f t="shared" si="46"/>
        <v>45.849999996000001</v>
      </c>
    </row>
    <row r="358" spans="1:13" x14ac:dyDescent="0.25">
      <c r="A358" s="9">
        <f>Speed!A358</f>
        <v>45701.28502314815</v>
      </c>
      <c r="B358" s="9">
        <f t="shared" si="41"/>
        <v>45701.285023148142</v>
      </c>
      <c r="C358" s="2">
        <f>Speed!B358</f>
        <v>12.68055556</v>
      </c>
      <c r="D358" s="9">
        <f>Odometer!A358</f>
        <v>45701.28528935185</v>
      </c>
      <c r="E358" s="9">
        <f t="shared" si="42"/>
        <v>45701.28528935185</v>
      </c>
      <c r="F358" s="2">
        <f>Odometer!B358</f>
        <v>428752777</v>
      </c>
      <c r="G358" s="2">
        <f t="shared" si="43"/>
        <v>10</v>
      </c>
      <c r="H358" s="2">
        <f>SUM($G$2:G358)</f>
        <v>2889</v>
      </c>
      <c r="I358" s="10">
        <f t="shared" si="44"/>
        <v>45701.28502314815</v>
      </c>
      <c r="J358" s="10">
        <f t="shared" si="45"/>
        <v>45701.285023148142</v>
      </c>
      <c r="K358" s="3">
        <f t="shared" si="47"/>
        <v>2632</v>
      </c>
      <c r="L358">
        <f t="shared" si="40"/>
        <v>12.73611111</v>
      </c>
      <c r="M358">
        <f t="shared" si="46"/>
        <v>45.849999996000001</v>
      </c>
    </row>
    <row r="359" spans="1:13" x14ac:dyDescent="0.25">
      <c r="A359" s="9">
        <f>Speed!A359</f>
        <v>45701.285034722219</v>
      </c>
      <c r="B359" s="9">
        <f t="shared" si="41"/>
        <v>45701.285034722219</v>
      </c>
      <c r="C359" s="2">
        <f>Speed!B359</f>
        <v>12.330555560000001</v>
      </c>
      <c r="D359" s="9">
        <f>Odometer!A359</f>
        <v>45701.285300925927</v>
      </c>
      <c r="E359" s="9">
        <f t="shared" si="42"/>
        <v>45701.285300925927</v>
      </c>
      <c r="F359" s="2">
        <f>Odometer!B359</f>
        <v>428752787</v>
      </c>
      <c r="G359" s="2">
        <f t="shared" si="43"/>
        <v>11</v>
      </c>
      <c r="H359" s="2">
        <f>SUM($G$2:G359)</f>
        <v>2900</v>
      </c>
      <c r="I359" s="10">
        <f t="shared" si="44"/>
        <v>45701.285034722219</v>
      </c>
      <c r="J359" s="10">
        <f t="shared" si="45"/>
        <v>45701.285034722219</v>
      </c>
      <c r="K359" s="3">
        <f t="shared" si="47"/>
        <v>2645</v>
      </c>
      <c r="L359">
        <f t="shared" si="40"/>
        <v>12.330555560000001</v>
      </c>
      <c r="M359">
        <f t="shared" si="46"/>
        <v>44.390000016000002</v>
      </c>
    </row>
    <row r="360" spans="1:13" x14ac:dyDescent="0.25">
      <c r="A360" s="9">
        <f>Speed!A360</f>
        <v>45701.285034722219</v>
      </c>
      <c r="B360" s="9">
        <f t="shared" si="41"/>
        <v>45701.285034722219</v>
      </c>
      <c r="C360" s="2">
        <f>Speed!B360</f>
        <v>12.275</v>
      </c>
      <c r="D360" s="9">
        <f>Odometer!A360</f>
        <v>45701.285312499997</v>
      </c>
      <c r="E360" s="9">
        <f t="shared" si="42"/>
        <v>45701.285312499997</v>
      </c>
      <c r="F360" s="2">
        <f>Odometer!B360</f>
        <v>428752798</v>
      </c>
      <c r="G360" s="2">
        <f t="shared" si="43"/>
        <v>4</v>
      </c>
      <c r="H360" s="2">
        <f>SUM($G$2:G360)</f>
        <v>2904</v>
      </c>
      <c r="I360" s="10">
        <f t="shared" si="44"/>
        <v>45701.285034722219</v>
      </c>
      <c r="J360" s="10">
        <f t="shared" si="45"/>
        <v>45701.285034722219</v>
      </c>
      <c r="K360" s="3">
        <f t="shared" si="47"/>
        <v>2645</v>
      </c>
      <c r="L360">
        <f t="shared" si="40"/>
        <v>12.330555560000001</v>
      </c>
      <c r="M360">
        <f t="shared" si="46"/>
        <v>44.390000016000002</v>
      </c>
    </row>
    <row r="361" spans="1:13" x14ac:dyDescent="0.25">
      <c r="A361" s="9">
        <f>Speed!A361</f>
        <v>45701.285046296296</v>
      </c>
      <c r="B361" s="9">
        <f t="shared" si="41"/>
        <v>45701.285046296296</v>
      </c>
      <c r="C361" s="2">
        <f>Speed!B361</f>
        <v>11.86111111</v>
      </c>
      <c r="D361" s="9">
        <f>Odometer!A361</f>
        <v>45701.285312499997</v>
      </c>
      <c r="E361" s="9">
        <f t="shared" si="42"/>
        <v>45701.285312499997</v>
      </c>
      <c r="F361" s="2">
        <f>Odometer!B361</f>
        <v>428752802</v>
      </c>
      <c r="G361" s="2">
        <f t="shared" si="43"/>
        <v>6</v>
      </c>
      <c r="H361" s="2">
        <f>SUM($G$2:G361)</f>
        <v>2910</v>
      </c>
      <c r="I361" s="10">
        <f t="shared" si="44"/>
        <v>45701.285046296296</v>
      </c>
      <c r="J361" s="10">
        <f t="shared" si="45"/>
        <v>45701.285046296296</v>
      </c>
      <c r="K361" s="3">
        <f t="shared" si="47"/>
        <v>2667</v>
      </c>
      <c r="L361">
        <f t="shared" si="40"/>
        <v>11.86111111</v>
      </c>
      <c r="M361">
        <f t="shared" si="46"/>
        <v>42.699999996000003</v>
      </c>
    </row>
    <row r="362" spans="1:13" x14ac:dyDescent="0.25">
      <c r="A362" s="9">
        <f>Speed!A362</f>
        <v>45701.285057870373</v>
      </c>
      <c r="B362" s="9">
        <f t="shared" si="41"/>
        <v>45701.285057870366</v>
      </c>
      <c r="C362" s="2">
        <f>Speed!B362</f>
        <v>11.46944444</v>
      </c>
      <c r="D362" s="9">
        <f>Odometer!A362</f>
        <v>45701.285324074073</v>
      </c>
      <c r="E362" s="9">
        <f t="shared" si="42"/>
        <v>45701.285324074073</v>
      </c>
      <c r="F362" s="2">
        <f>Odometer!B362</f>
        <v>428752808</v>
      </c>
      <c r="G362" s="2">
        <f t="shared" si="43"/>
        <v>3</v>
      </c>
      <c r="H362" s="2">
        <f>SUM($G$2:G362)</f>
        <v>2913</v>
      </c>
      <c r="I362" s="10">
        <f t="shared" si="44"/>
        <v>45701.285057870373</v>
      </c>
      <c r="J362" s="10">
        <f t="shared" si="45"/>
        <v>45701.285057870366</v>
      </c>
      <c r="K362" s="3" t="e">
        <f t="shared" si="47"/>
        <v>#N/A</v>
      </c>
      <c r="L362">
        <f t="shared" si="40"/>
        <v>11.46944444</v>
      </c>
      <c r="M362">
        <f t="shared" si="46"/>
        <v>41.289999984000005</v>
      </c>
    </row>
    <row r="363" spans="1:13" x14ac:dyDescent="0.25">
      <c r="A363" s="9">
        <f>Speed!A363</f>
        <v>45701.285069444442</v>
      </c>
      <c r="B363" s="9">
        <f t="shared" si="41"/>
        <v>45701.285069444442</v>
      </c>
      <c r="C363" s="2">
        <f>Speed!B363</f>
        <v>10.866666670000001</v>
      </c>
      <c r="D363" s="9">
        <f>Odometer!A363</f>
        <v>45701.285324074073</v>
      </c>
      <c r="E363" s="9">
        <f t="shared" si="42"/>
        <v>45701.285324074073</v>
      </c>
      <c r="F363" s="2">
        <f>Odometer!B363</f>
        <v>428752811</v>
      </c>
      <c r="G363" s="2">
        <f t="shared" si="43"/>
        <v>3</v>
      </c>
      <c r="H363" s="2">
        <f>SUM($G$2:G363)</f>
        <v>2916</v>
      </c>
      <c r="I363" s="10">
        <f t="shared" si="44"/>
        <v>45701.285069444442</v>
      </c>
      <c r="J363" s="10">
        <f t="shared" si="45"/>
        <v>45701.285069444442</v>
      </c>
      <c r="K363" s="3">
        <f t="shared" si="47"/>
        <v>2689</v>
      </c>
      <c r="L363">
        <f t="shared" si="40"/>
        <v>10.866666670000001</v>
      </c>
      <c r="M363">
        <f t="shared" si="46"/>
        <v>39.120000012000006</v>
      </c>
    </row>
    <row r="364" spans="1:13" x14ac:dyDescent="0.25">
      <c r="A364" s="9">
        <f>Speed!A364</f>
        <v>45701.285081018519</v>
      </c>
      <c r="B364" s="9">
        <f t="shared" si="41"/>
        <v>45701.285081018519</v>
      </c>
      <c r="C364" s="2">
        <f>Speed!B364</f>
        <v>10.3</v>
      </c>
      <c r="D364" s="9">
        <f>Odometer!A364</f>
        <v>45701.285324074073</v>
      </c>
      <c r="E364" s="9">
        <f t="shared" si="42"/>
        <v>45701.285324074073</v>
      </c>
      <c r="F364" s="2">
        <f>Odometer!B364</f>
        <v>428752814</v>
      </c>
      <c r="G364" s="2">
        <f t="shared" si="43"/>
        <v>5</v>
      </c>
      <c r="H364" s="2">
        <f>SUM($G$2:G364)</f>
        <v>2921</v>
      </c>
      <c r="I364" s="10">
        <f t="shared" si="44"/>
        <v>45701.285081018519</v>
      </c>
      <c r="J364" s="10">
        <f t="shared" si="45"/>
        <v>45701.285081018519</v>
      </c>
      <c r="K364" s="3">
        <f t="shared" si="47"/>
        <v>2693</v>
      </c>
      <c r="L364">
        <f t="shared" si="40"/>
        <v>10.3</v>
      </c>
      <c r="M364">
        <f t="shared" si="46"/>
        <v>37.080000000000005</v>
      </c>
    </row>
    <row r="365" spans="1:13" x14ac:dyDescent="0.25">
      <c r="A365" s="9">
        <f>Speed!A365</f>
        <v>45701.285081018519</v>
      </c>
      <c r="B365" s="9">
        <f t="shared" si="41"/>
        <v>45701.285081018519</v>
      </c>
      <c r="C365" s="2">
        <f>Speed!B365</f>
        <v>10.188888889999999</v>
      </c>
      <c r="D365" s="9">
        <f>Odometer!A365</f>
        <v>45701.28533564815</v>
      </c>
      <c r="E365" s="9">
        <f t="shared" si="42"/>
        <v>45701.285335648143</v>
      </c>
      <c r="F365" s="2">
        <f>Odometer!B365</f>
        <v>428752819</v>
      </c>
      <c r="G365" s="2">
        <f t="shared" si="43"/>
        <v>9</v>
      </c>
      <c r="H365" s="2">
        <f>SUM($G$2:G365)</f>
        <v>2930</v>
      </c>
      <c r="I365" s="10">
        <f t="shared" si="44"/>
        <v>45701.285081018519</v>
      </c>
      <c r="J365" s="10">
        <f t="shared" si="45"/>
        <v>45701.285081018519</v>
      </c>
      <c r="K365" s="3">
        <f t="shared" si="47"/>
        <v>2693</v>
      </c>
      <c r="L365">
        <f t="shared" si="40"/>
        <v>10.3</v>
      </c>
      <c r="M365">
        <f t="shared" si="46"/>
        <v>37.080000000000005</v>
      </c>
    </row>
    <row r="366" spans="1:13" x14ac:dyDescent="0.25">
      <c r="A366" s="9">
        <f>Speed!A366</f>
        <v>45701.285081018519</v>
      </c>
      <c r="B366" s="9">
        <f t="shared" si="41"/>
        <v>45701.285081018519</v>
      </c>
      <c r="C366" s="2">
        <f>Speed!B366</f>
        <v>10.133333329999999</v>
      </c>
      <c r="D366" s="9">
        <f>Odometer!A366</f>
        <v>45701.28534722222</v>
      </c>
      <c r="E366" s="9">
        <f t="shared" si="42"/>
        <v>45701.28534722222</v>
      </c>
      <c r="F366" s="2">
        <f>Odometer!B366</f>
        <v>428752828</v>
      </c>
      <c r="G366" s="2">
        <f t="shared" si="43"/>
        <v>10</v>
      </c>
      <c r="H366" s="2">
        <f>SUM($G$2:G366)</f>
        <v>2940</v>
      </c>
      <c r="I366" s="10">
        <f t="shared" si="44"/>
        <v>45701.285081018519</v>
      </c>
      <c r="J366" s="10">
        <f t="shared" si="45"/>
        <v>45701.285081018519</v>
      </c>
      <c r="K366" s="3">
        <f t="shared" si="47"/>
        <v>2693</v>
      </c>
      <c r="L366">
        <f t="shared" si="40"/>
        <v>10.3</v>
      </c>
      <c r="M366">
        <f t="shared" si="46"/>
        <v>37.080000000000005</v>
      </c>
    </row>
    <row r="367" spans="1:13" x14ac:dyDescent="0.25">
      <c r="A367" s="9">
        <f>Speed!A367</f>
        <v>45701.285081018519</v>
      </c>
      <c r="B367" s="9">
        <f t="shared" si="41"/>
        <v>45701.285081018519</v>
      </c>
      <c r="C367" s="2">
        <f>Speed!B367</f>
        <v>10.07222222</v>
      </c>
      <c r="D367" s="9">
        <f>Odometer!A367</f>
        <v>45701.285358796296</v>
      </c>
      <c r="E367" s="9">
        <f t="shared" si="42"/>
        <v>45701.285358796296</v>
      </c>
      <c r="F367" s="2">
        <f>Odometer!B367</f>
        <v>428752838</v>
      </c>
      <c r="G367" s="2">
        <f t="shared" si="43"/>
        <v>9</v>
      </c>
      <c r="H367" s="2">
        <f>SUM($G$2:G367)</f>
        <v>2949</v>
      </c>
      <c r="I367" s="10">
        <f t="shared" si="44"/>
        <v>45701.285081018519</v>
      </c>
      <c r="J367" s="10">
        <f t="shared" si="45"/>
        <v>45701.285081018519</v>
      </c>
      <c r="K367" s="3">
        <f t="shared" si="47"/>
        <v>2693</v>
      </c>
      <c r="L367">
        <f t="shared" si="40"/>
        <v>10.3</v>
      </c>
      <c r="M367">
        <f t="shared" si="46"/>
        <v>37.080000000000005</v>
      </c>
    </row>
    <row r="368" spans="1:13" x14ac:dyDescent="0.25">
      <c r="A368" s="9">
        <f>Speed!A368</f>
        <v>45701.285092592596</v>
      </c>
      <c r="B368" s="9">
        <f t="shared" si="41"/>
        <v>45701.285092592589</v>
      </c>
      <c r="C368" s="2">
        <f>Speed!B368</f>
        <v>10.061111110000001</v>
      </c>
      <c r="D368" s="9">
        <f>Odometer!A368</f>
        <v>45701.285370370373</v>
      </c>
      <c r="E368" s="9">
        <f t="shared" si="42"/>
        <v>45701.285370370366</v>
      </c>
      <c r="F368" s="2">
        <f>Odometer!B368</f>
        <v>428752847</v>
      </c>
      <c r="G368" s="2">
        <f t="shared" si="43"/>
        <v>8</v>
      </c>
      <c r="H368" s="2">
        <f>SUM($G$2:G368)</f>
        <v>2957</v>
      </c>
      <c r="I368" s="10">
        <f t="shared" si="44"/>
        <v>45701.285092592596</v>
      </c>
      <c r="J368" s="10">
        <f t="shared" si="45"/>
        <v>45701.285092592589</v>
      </c>
      <c r="K368" s="3" t="e">
        <f t="shared" si="47"/>
        <v>#N/A</v>
      </c>
      <c r="L368">
        <f t="shared" si="40"/>
        <v>10.061111110000001</v>
      </c>
      <c r="M368">
        <f t="shared" si="46"/>
        <v>36.219999996000006</v>
      </c>
    </row>
    <row r="369" spans="1:13" x14ac:dyDescent="0.25">
      <c r="A369" s="9">
        <f>Speed!A369</f>
        <v>45701.285104166665</v>
      </c>
      <c r="B369" s="9">
        <f t="shared" si="41"/>
        <v>45701.285104166665</v>
      </c>
      <c r="C369" s="2">
        <f>Speed!B369</f>
        <v>10.074999999999999</v>
      </c>
      <c r="D369" s="9">
        <f>Odometer!A369</f>
        <v>45701.285381944443</v>
      </c>
      <c r="E369" s="9">
        <f t="shared" si="42"/>
        <v>45701.285381944443</v>
      </c>
      <c r="F369" s="2">
        <f>Odometer!B369</f>
        <v>428752855</v>
      </c>
      <c r="G369" s="2">
        <f t="shared" si="43"/>
        <v>8</v>
      </c>
      <c r="H369" s="2">
        <f>SUM($G$2:G369)</f>
        <v>2965</v>
      </c>
      <c r="I369" s="10">
        <f t="shared" si="44"/>
        <v>45701.285104166665</v>
      </c>
      <c r="J369" s="10">
        <f t="shared" si="45"/>
        <v>45701.285104166665</v>
      </c>
      <c r="K369" s="3">
        <f t="shared" si="47"/>
        <v>2719</v>
      </c>
      <c r="L369">
        <f t="shared" si="40"/>
        <v>10.074999999999999</v>
      </c>
      <c r="M369">
        <f t="shared" si="46"/>
        <v>36.269999999999996</v>
      </c>
    </row>
    <row r="370" spans="1:13" x14ac:dyDescent="0.25">
      <c r="A370" s="9">
        <f>Speed!A370</f>
        <v>45701.285115740742</v>
      </c>
      <c r="B370" s="9">
        <f t="shared" si="41"/>
        <v>45701.285115740735</v>
      </c>
      <c r="C370" s="2">
        <f>Speed!B370</f>
        <v>10.05555556</v>
      </c>
      <c r="D370" s="9">
        <f>Odometer!A370</f>
        <v>45701.285393518519</v>
      </c>
      <c r="E370" s="9">
        <f t="shared" si="42"/>
        <v>45701.285393518519</v>
      </c>
      <c r="F370" s="2">
        <f>Odometer!B370</f>
        <v>428752863</v>
      </c>
      <c r="G370" s="2">
        <f t="shared" si="43"/>
        <v>8</v>
      </c>
      <c r="H370" s="2">
        <f>SUM($G$2:G370)</f>
        <v>2973</v>
      </c>
      <c r="I370" s="10">
        <f t="shared" si="44"/>
        <v>45701.285115740742</v>
      </c>
      <c r="J370" s="10">
        <f t="shared" si="45"/>
        <v>45701.285115740735</v>
      </c>
      <c r="K370" s="3">
        <f t="shared" si="47"/>
        <v>2729</v>
      </c>
      <c r="L370">
        <f t="shared" si="40"/>
        <v>10.05555556</v>
      </c>
      <c r="M370">
        <f t="shared" si="46"/>
        <v>36.200000016000004</v>
      </c>
    </row>
    <row r="371" spans="1:13" x14ac:dyDescent="0.25">
      <c r="A371" s="9">
        <f>Speed!A371</f>
        <v>45701.285127314812</v>
      </c>
      <c r="B371" s="9">
        <f t="shared" si="41"/>
        <v>45701.285127314812</v>
      </c>
      <c r="C371" s="2">
        <f>Speed!B371</f>
        <v>10.06944444</v>
      </c>
      <c r="D371" s="9">
        <f>Odometer!A371</f>
        <v>45701.285393518519</v>
      </c>
      <c r="E371" s="9">
        <f t="shared" si="42"/>
        <v>45701.285393518519</v>
      </c>
      <c r="F371" s="2">
        <f>Odometer!B371</f>
        <v>428752871</v>
      </c>
      <c r="G371" s="2">
        <f t="shared" si="43"/>
        <v>7</v>
      </c>
      <c r="H371" s="2">
        <f>SUM($G$2:G371)</f>
        <v>2980</v>
      </c>
      <c r="I371" s="10">
        <f t="shared" si="44"/>
        <v>45701.285127314812</v>
      </c>
      <c r="J371" s="10">
        <f t="shared" si="45"/>
        <v>45701.285127314812</v>
      </c>
      <c r="K371" s="3">
        <f t="shared" si="47"/>
        <v>2740</v>
      </c>
      <c r="L371">
        <f t="shared" si="40"/>
        <v>10.06944444</v>
      </c>
      <c r="M371">
        <f t="shared" si="46"/>
        <v>36.249999983999999</v>
      </c>
    </row>
    <row r="372" spans="1:13" x14ac:dyDescent="0.25">
      <c r="A372" s="9">
        <f>Speed!A372</f>
        <v>45701.285138888888</v>
      </c>
      <c r="B372" s="9">
        <f t="shared" si="41"/>
        <v>45701.285138888888</v>
      </c>
      <c r="C372" s="2">
        <f>Speed!B372</f>
        <v>10.141666669999999</v>
      </c>
      <c r="D372" s="9">
        <f>Odometer!A372</f>
        <v>45701.285416666666</v>
      </c>
      <c r="E372" s="9">
        <f t="shared" si="42"/>
        <v>45701.285416666666</v>
      </c>
      <c r="F372" s="2">
        <f>Odometer!B372</f>
        <v>428752878</v>
      </c>
      <c r="G372" s="2">
        <f t="shared" si="43"/>
        <v>6</v>
      </c>
      <c r="H372" s="2">
        <f>SUM($G$2:G372)</f>
        <v>2986</v>
      </c>
      <c r="I372" s="10">
        <f t="shared" si="44"/>
        <v>45701.285138888888</v>
      </c>
      <c r="J372" s="10">
        <f t="shared" si="45"/>
        <v>45701.285138888888</v>
      </c>
      <c r="K372" s="3">
        <f t="shared" si="47"/>
        <v>2750</v>
      </c>
      <c r="L372">
        <f t="shared" si="40"/>
        <v>10.141666669999999</v>
      </c>
      <c r="M372">
        <f t="shared" si="46"/>
        <v>36.510000011999999</v>
      </c>
    </row>
    <row r="373" spans="1:13" x14ac:dyDescent="0.25">
      <c r="A373" s="9">
        <f>Speed!A373</f>
        <v>45701.285150462965</v>
      </c>
      <c r="B373" s="9">
        <f t="shared" si="41"/>
        <v>45701.285150462958</v>
      </c>
      <c r="C373" s="2">
        <f>Speed!B373</f>
        <v>10.25</v>
      </c>
      <c r="D373" s="9">
        <f>Odometer!A373</f>
        <v>45701.285428240742</v>
      </c>
      <c r="E373" s="9">
        <f t="shared" si="42"/>
        <v>45701.285428240735</v>
      </c>
      <c r="F373" s="2">
        <f>Odometer!B373</f>
        <v>428752884</v>
      </c>
      <c r="G373" s="2">
        <f t="shared" si="43"/>
        <v>6</v>
      </c>
      <c r="H373" s="2">
        <f>SUM($G$2:G373)</f>
        <v>2992</v>
      </c>
      <c r="I373" s="10">
        <f t="shared" si="44"/>
        <v>45701.285150462965</v>
      </c>
      <c r="J373" s="10">
        <f t="shared" si="45"/>
        <v>45701.285150462958</v>
      </c>
      <c r="K373" s="3">
        <f t="shared" si="47"/>
        <v>2761</v>
      </c>
      <c r="L373">
        <f t="shared" si="40"/>
        <v>10.25</v>
      </c>
      <c r="M373">
        <f t="shared" si="46"/>
        <v>36.9</v>
      </c>
    </row>
    <row r="374" spans="1:13" x14ac:dyDescent="0.25">
      <c r="A374" s="9">
        <f>Speed!A374</f>
        <v>45701.285162037035</v>
      </c>
      <c r="B374" s="9">
        <f t="shared" si="41"/>
        <v>45701.285162037035</v>
      </c>
      <c r="C374" s="2">
        <f>Speed!B374</f>
        <v>10.313888889999999</v>
      </c>
      <c r="D374" s="9">
        <f>Odometer!A374</f>
        <v>45701.285439814812</v>
      </c>
      <c r="E374" s="9">
        <f t="shared" si="42"/>
        <v>45701.285439814812</v>
      </c>
      <c r="F374" s="2">
        <f>Odometer!B374</f>
        <v>428752890</v>
      </c>
      <c r="G374" s="2">
        <f t="shared" si="43"/>
        <v>5</v>
      </c>
      <c r="H374" s="2">
        <f>SUM($G$2:G374)</f>
        <v>2997</v>
      </c>
      <c r="I374" s="10">
        <f t="shared" si="44"/>
        <v>45701.285162037035</v>
      </c>
      <c r="J374" s="10">
        <f t="shared" si="45"/>
        <v>45701.285162037035</v>
      </c>
      <c r="K374" s="3">
        <f t="shared" si="47"/>
        <v>2770</v>
      </c>
      <c r="L374">
        <f t="shared" si="40"/>
        <v>10.313888889999999</v>
      </c>
      <c r="M374">
        <f t="shared" si="46"/>
        <v>37.130000003999996</v>
      </c>
    </row>
    <row r="375" spans="1:13" x14ac:dyDescent="0.25">
      <c r="A375" s="9">
        <f>Speed!A375</f>
        <v>45701.285173611112</v>
      </c>
      <c r="B375" s="9">
        <f t="shared" si="41"/>
        <v>45701.285173611112</v>
      </c>
      <c r="C375" s="2">
        <f>Speed!B375</f>
        <v>10.527777779999999</v>
      </c>
      <c r="D375" s="9">
        <f>Odometer!A375</f>
        <v>45701.285439814812</v>
      </c>
      <c r="E375" s="9">
        <f t="shared" si="42"/>
        <v>45701.285439814812</v>
      </c>
      <c r="F375" s="2">
        <f>Odometer!B375</f>
        <v>428752895</v>
      </c>
      <c r="G375" s="2">
        <f t="shared" si="43"/>
        <v>1</v>
      </c>
      <c r="H375" s="2">
        <f>SUM($G$2:G375)</f>
        <v>2998</v>
      </c>
      <c r="I375" s="10">
        <f t="shared" si="44"/>
        <v>45701.285173611112</v>
      </c>
      <c r="J375" s="10">
        <f t="shared" si="45"/>
        <v>45701.285173611112</v>
      </c>
      <c r="K375" s="3">
        <f t="shared" si="47"/>
        <v>2781</v>
      </c>
      <c r="L375">
        <f t="shared" si="40"/>
        <v>10.527777779999999</v>
      </c>
      <c r="M375">
        <f t="shared" si="46"/>
        <v>37.900000007999999</v>
      </c>
    </row>
    <row r="376" spans="1:13" x14ac:dyDescent="0.25">
      <c r="A376" s="9">
        <f>Speed!A376</f>
        <v>45701.285185185188</v>
      </c>
      <c r="B376" s="9">
        <f t="shared" si="41"/>
        <v>45701.285185185181</v>
      </c>
      <c r="C376" s="2">
        <f>Speed!B376</f>
        <v>10.641666669999999</v>
      </c>
      <c r="D376" s="9">
        <f>Odometer!A376</f>
        <v>45701.285451388889</v>
      </c>
      <c r="E376" s="9">
        <f t="shared" si="42"/>
        <v>45701.285451388889</v>
      </c>
      <c r="F376" s="2">
        <f>Odometer!B376</f>
        <v>428752896</v>
      </c>
      <c r="G376" s="2">
        <f t="shared" si="43"/>
        <v>1</v>
      </c>
      <c r="H376" s="2">
        <f>SUM($G$2:G376)</f>
        <v>2999</v>
      </c>
      <c r="I376" s="10">
        <f t="shared" si="44"/>
        <v>45701.285185185188</v>
      </c>
      <c r="J376" s="10">
        <f t="shared" si="45"/>
        <v>45701.285185185181</v>
      </c>
      <c r="K376" s="3">
        <f t="shared" si="47"/>
        <v>2792</v>
      </c>
      <c r="L376">
        <f t="shared" si="40"/>
        <v>10.641666669999999</v>
      </c>
      <c r="M376">
        <f t="shared" si="46"/>
        <v>38.310000011999996</v>
      </c>
    </row>
    <row r="377" spans="1:13" x14ac:dyDescent="0.25">
      <c r="A377" s="9">
        <f>Speed!A377</f>
        <v>45701.285185185188</v>
      </c>
      <c r="B377" s="9">
        <f t="shared" si="41"/>
        <v>45701.285185185181</v>
      </c>
      <c r="C377" s="2">
        <f>Speed!B377</f>
        <v>10.73888889</v>
      </c>
      <c r="D377" s="9">
        <f>Odometer!A377</f>
        <v>45701.285451388889</v>
      </c>
      <c r="E377" s="9">
        <f t="shared" si="42"/>
        <v>45701.285451388889</v>
      </c>
      <c r="F377" s="2">
        <f>Odometer!B377</f>
        <v>428752897</v>
      </c>
      <c r="G377" s="2">
        <f t="shared" si="43"/>
        <v>4</v>
      </c>
      <c r="H377" s="2">
        <f>SUM($G$2:G377)</f>
        <v>3003</v>
      </c>
      <c r="I377" s="10">
        <f t="shared" si="44"/>
        <v>45701.285185185188</v>
      </c>
      <c r="J377" s="10">
        <f t="shared" si="45"/>
        <v>45701.285185185181</v>
      </c>
      <c r="K377" s="3">
        <f t="shared" si="47"/>
        <v>2792</v>
      </c>
      <c r="L377">
        <f t="shared" si="40"/>
        <v>10.641666669999999</v>
      </c>
      <c r="M377">
        <f t="shared" si="46"/>
        <v>38.310000011999996</v>
      </c>
    </row>
    <row r="378" spans="1:13" x14ac:dyDescent="0.25">
      <c r="A378" s="9">
        <f>Speed!A378</f>
        <v>45701.285196759258</v>
      </c>
      <c r="B378" s="9">
        <f t="shared" si="41"/>
        <v>45701.285196759258</v>
      </c>
      <c r="C378" s="2">
        <f>Speed!B378</f>
        <v>10.84444444</v>
      </c>
      <c r="D378" s="9">
        <f>Odometer!A378</f>
        <v>45701.285462962966</v>
      </c>
      <c r="E378" s="9">
        <f t="shared" si="42"/>
        <v>45701.285462962958</v>
      </c>
      <c r="F378" s="2">
        <f>Odometer!B378</f>
        <v>428752901</v>
      </c>
      <c r="G378" s="2">
        <f t="shared" si="43"/>
        <v>5</v>
      </c>
      <c r="H378" s="2">
        <f>SUM($G$2:G378)</f>
        <v>3008</v>
      </c>
      <c r="I378" s="10">
        <f t="shared" si="44"/>
        <v>45701.285196759258</v>
      </c>
      <c r="J378" s="10">
        <f t="shared" si="45"/>
        <v>45701.285196759258</v>
      </c>
      <c r="K378" s="3">
        <f t="shared" si="47"/>
        <v>2813</v>
      </c>
      <c r="L378">
        <f t="shared" si="40"/>
        <v>10.84444444</v>
      </c>
      <c r="M378">
        <f t="shared" si="46"/>
        <v>39.039999984000005</v>
      </c>
    </row>
    <row r="379" spans="1:13" x14ac:dyDescent="0.25">
      <c r="A379" s="9">
        <f>Speed!A379</f>
        <v>45701.285219907404</v>
      </c>
      <c r="B379" s="9">
        <f t="shared" si="41"/>
        <v>45701.285219907404</v>
      </c>
      <c r="C379" s="2">
        <f>Speed!B379</f>
        <v>10.83888889</v>
      </c>
      <c r="D379" s="9">
        <f>Odometer!A379</f>
        <v>45701.285474537035</v>
      </c>
      <c r="E379" s="9">
        <f t="shared" si="42"/>
        <v>45701.285474537035</v>
      </c>
      <c r="F379" s="2">
        <f>Odometer!B379</f>
        <v>428752906</v>
      </c>
      <c r="G379" s="2">
        <f t="shared" si="43"/>
        <v>5</v>
      </c>
      <c r="H379" s="2">
        <f>SUM($G$2:G379)</f>
        <v>3013</v>
      </c>
      <c r="I379" s="10">
        <f t="shared" si="44"/>
        <v>45701.285219907404</v>
      </c>
      <c r="J379" s="10">
        <f t="shared" si="45"/>
        <v>45701.285219907404</v>
      </c>
      <c r="K379" s="3">
        <f t="shared" si="47"/>
        <v>2824</v>
      </c>
      <c r="L379">
        <f t="shared" si="40"/>
        <v>10.83888889</v>
      </c>
      <c r="M379">
        <f t="shared" si="46"/>
        <v>39.020000004000003</v>
      </c>
    </row>
    <row r="380" spans="1:13" x14ac:dyDescent="0.25">
      <c r="A380" s="9">
        <f>Speed!A380</f>
        <v>45701.285231481481</v>
      </c>
      <c r="B380" s="9">
        <f t="shared" si="41"/>
        <v>45701.285231481481</v>
      </c>
      <c r="C380" s="2">
        <f>Speed!B380</f>
        <v>10.85</v>
      </c>
      <c r="D380" s="9">
        <f>Odometer!A380</f>
        <v>45701.285486111112</v>
      </c>
      <c r="E380" s="9">
        <f t="shared" si="42"/>
        <v>45701.285486111112</v>
      </c>
      <c r="F380" s="2">
        <f>Odometer!B380</f>
        <v>428752911</v>
      </c>
      <c r="G380" s="2">
        <f t="shared" si="43"/>
        <v>5</v>
      </c>
      <c r="H380" s="2">
        <f>SUM($G$2:G380)</f>
        <v>3018</v>
      </c>
      <c r="I380" s="10">
        <f t="shared" si="44"/>
        <v>45701.285231481481</v>
      </c>
      <c r="J380" s="10">
        <f t="shared" si="45"/>
        <v>45701.285231481481</v>
      </c>
      <c r="K380" s="3">
        <f t="shared" si="47"/>
        <v>2826</v>
      </c>
      <c r="L380">
        <f t="shared" si="40"/>
        <v>10.85</v>
      </c>
      <c r="M380">
        <f t="shared" si="46"/>
        <v>39.06</v>
      </c>
    </row>
    <row r="381" spans="1:13" x14ac:dyDescent="0.25">
      <c r="A381" s="9">
        <f>Speed!A381</f>
        <v>45701.285231481481</v>
      </c>
      <c r="B381" s="9">
        <f t="shared" si="41"/>
        <v>45701.285231481481</v>
      </c>
      <c r="C381" s="2">
        <f>Speed!B381</f>
        <v>10.836111109999999</v>
      </c>
      <c r="D381" s="9">
        <f>Odometer!A381</f>
        <v>45701.285497685189</v>
      </c>
      <c r="E381" s="9">
        <f t="shared" si="42"/>
        <v>45701.285497685181</v>
      </c>
      <c r="F381" s="2">
        <f>Odometer!B381</f>
        <v>428752916</v>
      </c>
      <c r="G381" s="2">
        <f t="shared" si="43"/>
        <v>1</v>
      </c>
      <c r="H381" s="2">
        <f>SUM($G$2:G381)</f>
        <v>3019</v>
      </c>
      <c r="I381" s="10">
        <f t="shared" si="44"/>
        <v>45701.285231481481</v>
      </c>
      <c r="J381" s="10">
        <f t="shared" si="45"/>
        <v>45701.285231481481</v>
      </c>
      <c r="K381" s="3">
        <f t="shared" si="47"/>
        <v>2826</v>
      </c>
      <c r="L381">
        <f t="shared" si="40"/>
        <v>10.85</v>
      </c>
      <c r="M381">
        <f t="shared" si="46"/>
        <v>39.06</v>
      </c>
    </row>
    <row r="382" spans="1:13" x14ac:dyDescent="0.25">
      <c r="A382" s="9">
        <f>Speed!A382</f>
        <v>45701.285243055558</v>
      </c>
      <c r="B382" s="9">
        <f t="shared" si="41"/>
        <v>45701.28524305555</v>
      </c>
      <c r="C382" s="2">
        <f>Speed!B382</f>
        <v>10.84166667</v>
      </c>
      <c r="D382" s="9">
        <f>Odometer!A382</f>
        <v>45701.285497685189</v>
      </c>
      <c r="E382" s="9">
        <f t="shared" si="42"/>
        <v>45701.285497685181</v>
      </c>
      <c r="F382" s="2">
        <f>Odometer!B382</f>
        <v>428752917</v>
      </c>
      <c r="G382" s="2">
        <f t="shared" si="43"/>
        <v>5</v>
      </c>
      <c r="H382" s="2">
        <f>SUM($G$2:G382)</f>
        <v>3024</v>
      </c>
      <c r="I382" s="10">
        <f t="shared" si="44"/>
        <v>45701.285243055558</v>
      </c>
      <c r="J382" s="10">
        <f t="shared" si="45"/>
        <v>45701.28524305555</v>
      </c>
      <c r="K382" s="3">
        <f t="shared" si="47"/>
        <v>2846</v>
      </c>
      <c r="L382">
        <f t="shared" si="40"/>
        <v>10.84166667</v>
      </c>
      <c r="M382">
        <f t="shared" si="46"/>
        <v>39.030000012000002</v>
      </c>
    </row>
    <row r="383" spans="1:13" x14ac:dyDescent="0.25">
      <c r="A383" s="9">
        <f>Speed!A383</f>
        <v>45701.285254629627</v>
      </c>
      <c r="B383" s="9">
        <f t="shared" si="41"/>
        <v>45701.285254629627</v>
      </c>
      <c r="C383" s="2">
        <f>Speed!B383</f>
        <v>10.81666667</v>
      </c>
      <c r="D383" s="9">
        <f>Odometer!A383</f>
        <v>45701.285509259258</v>
      </c>
      <c r="E383" s="9">
        <f t="shared" si="42"/>
        <v>45701.285509259258</v>
      </c>
      <c r="F383" s="2">
        <f>Odometer!B383</f>
        <v>428752922</v>
      </c>
      <c r="G383" s="2">
        <f t="shared" si="43"/>
        <v>6</v>
      </c>
      <c r="H383" s="2">
        <f>SUM($G$2:G383)</f>
        <v>3030</v>
      </c>
      <c r="I383" s="10">
        <f t="shared" si="44"/>
        <v>45701.285254629627</v>
      </c>
      <c r="J383" s="10">
        <f t="shared" si="45"/>
        <v>45701.285254629627</v>
      </c>
      <c r="K383" s="3">
        <f t="shared" si="47"/>
        <v>2847</v>
      </c>
      <c r="L383">
        <f t="shared" si="40"/>
        <v>10.81666667</v>
      </c>
      <c r="M383">
        <f t="shared" si="46"/>
        <v>38.940000011999999</v>
      </c>
    </row>
    <row r="384" spans="1:13" x14ac:dyDescent="0.25">
      <c r="A384" s="9">
        <f>Speed!A384</f>
        <v>45701.285254629627</v>
      </c>
      <c r="B384" s="9">
        <f t="shared" si="41"/>
        <v>45701.285254629627</v>
      </c>
      <c r="C384" s="2">
        <f>Speed!B384</f>
        <v>10.811111110000001</v>
      </c>
      <c r="D384" s="9">
        <f>Odometer!A384</f>
        <v>45701.285520833335</v>
      </c>
      <c r="E384" s="9">
        <f t="shared" si="42"/>
        <v>45701.285520833328</v>
      </c>
      <c r="F384" s="2">
        <f>Odometer!B384</f>
        <v>428752928</v>
      </c>
      <c r="G384" s="2">
        <f t="shared" si="43"/>
        <v>6</v>
      </c>
      <c r="H384" s="2">
        <f>SUM($G$2:G384)</f>
        <v>3036</v>
      </c>
      <c r="I384" s="10">
        <f t="shared" si="44"/>
        <v>45701.285254629627</v>
      </c>
      <c r="J384" s="10">
        <f t="shared" si="45"/>
        <v>45701.285254629627</v>
      </c>
      <c r="K384" s="3">
        <f t="shared" si="47"/>
        <v>2847</v>
      </c>
      <c r="L384">
        <f t="shared" si="40"/>
        <v>10.81666667</v>
      </c>
      <c r="M384">
        <f t="shared" si="46"/>
        <v>38.940000011999999</v>
      </c>
    </row>
    <row r="385" spans="1:13" x14ac:dyDescent="0.25">
      <c r="A385" s="9">
        <f>Speed!A385</f>
        <v>45701.285266203704</v>
      </c>
      <c r="B385" s="9">
        <f t="shared" si="41"/>
        <v>45701.285266203704</v>
      </c>
      <c r="C385" s="2">
        <f>Speed!B385</f>
        <v>10.80833333</v>
      </c>
      <c r="D385" s="9">
        <f>Odometer!A385</f>
        <v>45701.285532407404</v>
      </c>
      <c r="E385" s="9">
        <f t="shared" si="42"/>
        <v>45701.285532407404</v>
      </c>
      <c r="F385" s="2">
        <f>Odometer!B385</f>
        <v>428752934</v>
      </c>
      <c r="G385" s="2">
        <f t="shared" si="43"/>
        <v>6</v>
      </c>
      <c r="H385" s="2">
        <f>SUM($G$2:G385)</f>
        <v>3042</v>
      </c>
      <c r="I385" s="10">
        <f t="shared" si="44"/>
        <v>45701.285266203704</v>
      </c>
      <c r="J385" s="10">
        <f t="shared" si="45"/>
        <v>45701.285266203704</v>
      </c>
      <c r="K385" s="3">
        <f t="shared" si="47"/>
        <v>2858</v>
      </c>
      <c r="L385">
        <f t="shared" si="40"/>
        <v>10.80833333</v>
      </c>
      <c r="M385">
        <f t="shared" si="46"/>
        <v>38.909999988000003</v>
      </c>
    </row>
    <row r="386" spans="1:13" x14ac:dyDescent="0.25">
      <c r="A386" s="9">
        <f>Speed!A386</f>
        <v>45701.285266203704</v>
      </c>
      <c r="B386" s="9">
        <f t="shared" si="41"/>
        <v>45701.285266203704</v>
      </c>
      <c r="C386" s="2">
        <f>Speed!B386</f>
        <v>10.824999999999999</v>
      </c>
      <c r="D386" s="9">
        <f>Odometer!A386</f>
        <v>45701.285543981481</v>
      </c>
      <c r="E386" s="9">
        <f t="shared" si="42"/>
        <v>45701.285543981481</v>
      </c>
      <c r="F386" s="2">
        <f>Odometer!B386</f>
        <v>428752940</v>
      </c>
      <c r="G386" s="2">
        <f t="shared" si="43"/>
        <v>2</v>
      </c>
      <c r="H386" s="2">
        <f>SUM($G$2:G386)</f>
        <v>3044</v>
      </c>
      <c r="I386" s="10">
        <f t="shared" si="44"/>
        <v>45701.285266203704</v>
      </c>
      <c r="J386" s="10">
        <f t="shared" si="45"/>
        <v>45701.285266203704</v>
      </c>
      <c r="K386" s="3">
        <f t="shared" si="47"/>
        <v>2858</v>
      </c>
      <c r="L386">
        <f t="shared" ref="L386:L449" si="48">INDEX($C$2:$C$2000, MATCH(I386,$A$2:$A$2000,0))</f>
        <v>10.80833333</v>
      </c>
      <c r="M386">
        <f t="shared" si="46"/>
        <v>38.909999988000003</v>
      </c>
    </row>
    <row r="387" spans="1:13" x14ac:dyDescent="0.25">
      <c r="A387" s="9">
        <f>Speed!A387</f>
        <v>45701.285277777781</v>
      </c>
      <c r="B387" s="9">
        <f t="shared" ref="B387:B450" si="49">MROUND(A387,"00:00:01")</f>
        <v>45701.285277777773</v>
      </c>
      <c r="C387" s="2">
        <f>Speed!B387</f>
        <v>10.80833333</v>
      </c>
      <c r="D387" s="9">
        <f>Odometer!A387</f>
        <v>45701.285543981481</v>
      </c>
      <c r="E387" s="9">
        <f t="shared" ref="E387:E450" si="50">MROUND(D387,"00:00:01")</f>
        <v>45701.285543981481</v>
      </c>
      <c r="F387" s="2">
        <f>Odometer!B387</f>
        <v>428752942</v>
      </c>
      <c r="G387" s="2">
        <f t="shared" ref="G387:G450" si="51">IF(F388-F387&lt;0,0,F388-F387)</f>
        <v>5</v>
      </c>
      <c r="H387" s="2">
        <f>SUM($G$2:G387)</f>
        <v>3049</v>
      </c>
      <c r="I387" s="10">
        <f t="shared" ref="I387:I450" si="52">A387</f>
        <v>45701.285277777781</v>
      </c>
      <c r="J387" s="10">
        <f t="shared" ref="J387:J450" si="53">MROUND(I387,"0:00:01")</f>
        <v>45701.285277777773</v>
      </c>
      <c r="K387" s="3">
        <f t="shared" si="47"/>
        <v>2868</v>
      </c>
      <c r="L387">
        <f t="shared" si="48"/>
        <v>10.80833333</v>
      </c>
      <c r="M387">
        <f t="shared" ref="M387:M450" si="54">L387*3.6</f>
        <v>38.909999988000003</v>
      </c>
    </row>
    <row r="388" spans="1:13" x14ac:dyDescent="0.25">
      <c r="A388" s="9">
        <f>Speed!A388</f>
        <v>45701.285277777781</v>
      </c>
      <c r="B388" s="9">
        <f t="shared" si="49"/>
        <v>45701.285277777773</v>
      </c>
      <c r="C388" s="2">
        <f>Speed!B388</f>
        <v>10.80555556</v>
      </c>
      <c r="D388" s="9">
        <f>Odometer!A388</f>
        <v>45701.285555555558</v>
      </c>
      <c r="E388" s="9">
        <f t="shared" si="50"/>
        <v>45701.285555555551</v>
      </c>
      <c r="F388" s="2">
        <f>Odometer!B388</f>
        <v>428752947</v>
      </c>
      <c r="G388" s="2">
        <f t="shared" si="51"/>
        <v>2</v>
      </c>
      <c r="H388" s="2">
        <f>SUM($G$2:G388)</f>
        <v>3051</v>
      </c>
      <c r="I388" s="10">
        <f t="shared" si="52"/>
        <v>45701.285277777781</v>
      </c>
      <c r="J388" s="10">
        <f t="shared" si="53"/>
        <v>45701.285277777773</v>
      </c>
      <c r="K388" s="3">
        <f t="shared" ref="K388:K451" si="55">IFERROR(INDEX($H$2:$H$2000,MATCH(J388,$E$2:$E$2000,0)),NA())</f>
        <v>2868</v>
      </c>
      <c r="L388">
        <f t="shared" si="48"/>
        <v>10.80833333</v>
      </c>
      <c r="M388">
        <f t="shared" si="54"/>
        <v>38.909999988000003</v>
      </c>
    </row>
    <row r="389" spans="1:13" x14ac:dyDescent="0.25">
      <c r="A389" s="9">
        <f>Speed!A389</f>
        <v>45701.28528935185</v>
      </c>
      <c r="B389" s="9">
        <f t="shared" si="49"/>
        <v>45701.28528935185</v>
      </c>
      <c r="C389" s="2">
        <f>Speed!B389</f>
        <v>10.72777778</v>
      </c>
      <c r="D389" s="9">
        <f>Odometer!A389</f>
        <v>45701.285555555558</v>
      </c>
      <c r="E389" s="9">
        <f t="shared" si="50"/>
        <v>45701.285555555551</v>
      </c>
      <c r="F389" s="2">
        <f>Odometer!B389</f>
        <v>428752949</v>
      </c>
      <c r="G389" s="2">
        <f t="shared" si="51"/>
        <v>3</v>
      </c>
      <c r="H389" s="2">
        <f>SUM($G$2:G389)</f>
        <v>3054</v>
      </c>
      <c r="I389" s="10">
        <f t="shared" si="52"/>
        <v>45701.28528935185</v>
      </c>
      <c r="J389" s="10">
        <f t="shared" si="53"/>
        <v>45701.28528935185</v>
      </c>
      <c r="K389" s="3">
        <f t="shared" si="55"/>
        <v>2889</v>
      </c>
      <c r="L389">
        <f t="shared" si="48"/>
        <v>10.72777778</v>
      </c>
      <c r="M389">
        <f t="shared" si="54"/>
        <v>38.620000008000005</v>
      </c>
    </row>
    <row r="390" spans="1:13" x14ac:dyDescent="0.25">
      <c r="A390" s="9">
        <f>Speed!A390</f>
        <v>45701.285300925927</v>
      </c>
      <c r="B390" s="9">
        <f t="shared" si="49"/>
        <v>45701.285300925927</v>
      </c>
      <c r="C390" s="2">
        <f>Speed!B390</f>
        <v>10.644444439999999</v>
      </c>
      <c r="D390" s="9">
        <f>Odometer!A390</f>
        <v>45701.285555555558</v>
      </c>
      <c r="E390" s="9">
        <f t="shared" si="50"/>
        <v>45701.285555555551</v>
      </c>
      <c r="F390" s="2">
        <f>Odometer!B390</f>
        <v>428752952</v>
      </c>
      <c r="G390" s="2">
        <f t="shared" si="51"/>
        <v>6</v>
      </c>
      <c r="H390" s="2">
        <f>SUM($G$2:G390)</f>
        <v>3060</v>
      </c>
      <c r="I390" s="10">
        <f t="shared" si="52"/>
        <v>45701.285300925927</v>
      </c>
      <c r="J390" s="10">
        <f t="shared" si="53"/>
        <v>45701.285300925927</v>
      </c>
      <c r="K390" s="3">
        <f t="shared" si="55"/>
        <v>2900</v>
      </c>
      <c r="L390">
        <f t="shared" si="48"/>
        <v>10.644444439999999</v>
      </c>
      <c r="M390">
        <f t="shared" si="54"/>
        <v>38.319999983999999</v>
      </c>
    </row>
    <row r="391" spans="1:13" x14ac:dyDescent="0.25">
      <c r="A391" s="9">
        <f>Speed!A391</f>
        <v>45701.285312499997</v>
      </c>
      <c r="B391" s="9">
        <f t="shared" si="49"/>
        <v>45701.285312499997</v>
      </c>
      <c r="C391" s="2">
        <f>Speed!B391</f>
        <v>10.55833333</v>
      </c>
      <c r="D391" s="9">
        <f>Odometer!A391</f>
        <v>45701.285578703704</v>
      </c>
      <c r="E391" s="9">
        <f t="shared" si="50"/>
        <v>45701.285578703704</v>
      </c>
      <c r="F391" s="2">
        <f>Odometer!B391</f>
        <v>428752958</v>
      </c>
      <c r="G391" s="2">
        <f t="shared" si="51"/>
        <v>5</v>
      </c>
      <c r="H391" s="2">
        <f>SUM($G$2:G391)</f>
        <v>3065</v>
      </c>
      <c r="I391" s="10">
        <f t="shared" si="52"/>
        <v>45701.285312499997</v>
      </c>
      <c r="J391" s="10">
        <f t="shared" si="53"/>
        <v>45701.285312499997</v>
      </c>
      <c r="K391" s="3">
        <f t="shared" si="55"/>
        <v>2904</v>
      </c>
      <c r="L391">
        <f t="shared" si="48"/>
        <v>10.55833333</v>
      </c>
      <c r="M391">
        <f t="shared" si="54"/>
        <v>38.009999988000004</v>
      </c>
    </row>
    <row r="392" spans="1:13" x14ac:dyDescent="0.25">
      <c r="A392" s="9">
        <f>Speed!A392</f>
        <v>45701.285312499997</v>
      </c>
      <c r="B392" s="9">
        <f t="shared" si="49"/>
        <v>45701.285312499997</v>
      </c>
      <c r="C392" s="2">
        <f>Speed!B392</f>
        <v>10.563888889999999</v>
      </c>
      <c r="D392" s="9">
        <f>Odometer!A392</f>
        <v>45701.285590277781</v>
      </c>
      <c r="E392" s="9">
        <f t="shared" si="50"/>
        <v>45701.285590277774</v>
      </c>
      <c r="F392" s="2">
        <f>Odometer!B392</f>
        <v>428752963</v>
      </c>
      <c r="G392" s="2">
        <f t="shared" si="51"/>
        <v>4</v>
      </c>
      <c r="H392" s="2">
        <f>SUM($G$2:G392)</f>
        <v>3069</v>
      </c>
      <c r="I392" s="10">
        <f t="shared" si="52"/>
        <v>45701.285312499997</v>
      </c>
      <c r="J392" s="10">
        <f t="shared" si="53"/>
        <v>45701.285312499997</v>
      </c>
      <c r="K392" s="3">
        <f t="shared" si="55"/>
        <v>2904</v>
      </c>
      <c r="L392">
        <f t="shared" si="48"/>
        <v>10.55833333</v>
      </c>
      <c r="M392">
        <f t="shared" si="54"/>
        <v>38.009999988000004</v>
      </c>
    </row>
    <row r="393" spans="1:13" x14ac:dyDescent="0.25">
      <c r="A393" s="9">
        <f>Speed!A393</f>
        <v>45701.285312499997</v>
      </c>
      <c r="B393" s="9">
        <f t="shared" si="49"/>
        <v>45701.285312499997</v>
      </c>
      <c r="C393" s="2">
        <f>Speed!B393</f>
        <v>10.516666669999999</v>
      </c>
      <c r="D393" s="9">
        <f>Odometer!A393</f>
        <v>45701.285601851851</v>
      </c>
      <c r="E393" s="9">
        <f t="shared" si="50"/>
        <v>45701.285601851851</v>
      </c>
      <c r="F393" s="2">
        <f>Odometer!B393</f>
        <v>428752967</v>
      </c>
      <c r="G393" s="2">
        <f t="shared" si="51"/>
        <v>3</v>
      </c>
      <c r="H393" s="2">
        <f>SUM($G$2:G393)</f>
        <v>3072</v>
      </c>
      <c r="I393" s="10">
        <f t="shared" si="52"/>
        <v>45701.285312499997</v>
      </c>
      <c r="J393" s="10">
        <f t="shared" si="53"/>
        <v>45701.285312499997</v>
      </c>
      <c r="K393" s="3">
        <f t="shared" si="55"/>
        <v>2904</v>
      </c>
      <c r="L393">
        <f t="shared" si="48"/>
        <v>10.55833333</v>
      </c>
      <c r="M393">
        <f t="shared" si="54"/>
        <v>38.009999988000004</v>
      </c>
    </row>
    <row r="394" spans="1:13" x14ac:dyDescent="0.25">
      <c r="A394" s="9">
        <f>Speed!A394</f>
        <v>45701.285324074073</v>
      </c>
      <c r="B394" s="9">
        <f t="shared" si="49"/>
        <v>45701.285324074073</v>
      </c>
      <c r="C394" s="2">
        <f>Speed!B394</f>
        <v>10.347222220000001</v>
      </c>
      <c r="D394" s="9">
        <f>Odometer!A394</f>
        <v>45701.285601851851</v>
      </c>
      <c r="E394" s="9">
        <f t="shared" si="50"/>
        <v>45701.285601851851</v>
      </c>
      <c r="F394" s="2">
        <f>Odometer!B394</f>
        <v>428752970</v>
      </c>
      <c r="G394" s="2">
        <f t="shared" si="51"/>
        <v>3</v>
      </c>
      <c r="H394" s="2">
        <f>SUM($G$2:G394)</f>
        <v>3075</v>
      </c>
      <c r="I394" s="10">
        <f t="shared" si="52"/>
        <v>45701.285324074073</v>
      </c>
      <c r="J394" s="10">
        <f t="shared" si="53"/>
        <v>45701.285324074073</v>
      </c>
      <c r="K394" s="3">
        <f t="shared" si="55"/>
        <v>2913</v>
      </c>
      <c r="L394">
        <f t="shared" si="48"/>
        <v>10.347222220000001</v>
      </c>
      <c r="M394">
        <f t="shared" si="54"/>
        <v>37.249999992000006</v>
      </c>
    </row>
    <row r="395" spans="1:13" x14ac:dyDescent="0.25">
      <c r="A395" s="9">
        <f>Speed!A395</f>
        <v>45701.285324074073</v>
      </c>
      <c r="B395" s="9">
        <f t="shared" si="49"/>
        <v>45701.285324074073</v>
      </c>
      <c r="C395" s="2">
        <f>Speed!B395</f>
        <v>10.30277778</v>
      </c>
      <c r="D395" s="9">
        <f>Odometer!A395</f>
        <v>45701.285624999997</v>
      </c>
      <c r="E395" s="9">
        <f t="shared" si="50"/>
        <v>45701.285624999997</v>
      </c>
      <c r="F395" s="2">
        <f>Odometer!B395</f>
        <v>428752973</v>
      </c>
      <c r="G395" s="2">
        <f t="shared" si="51"/>
        <v>2</v>
      </c>
      <c r="H395" s="2">
        <f>SUM($G$2:G395)</f>
        <v>3077</v>
      </c>
      <c r="I395" s="10">
        <f t="shared" si="52"/>
        <v>45701.285324074073</v>
      </c>
      <c r="J395" s="10">
        <f t="shared" si="53"/>
        <v>45701.285324074073</v>
      </c>
      <c r="K395" s="3">
        <f t="shared" si="55"/>
        <v>2913</v>
      </c>
      <c r="L395">
        <f t="shared" si="48"/>
        <v>10.347222220000001</v>
      </c>
      <c r="M395">
        <f t="shared" si="54"/>
        <v>37.249999992000006</v>
      </c>
    </row>
    <row r="396" spans="1:13" x14ac:dyDescent="0.25">
      <c r="A396" s="9">
        <f>Speed!A396</f>
        <v>45701.285324074073</v>
      </c>
      <c r="B396" s="9">
        <f t="shared" si="49"/>
        <v>45701.285324074073</v>
      </c>
      <c r="C396" s="2">
        <f>Speed!B396</f>
        <v>10.233333330000001</v>
      </c>
      <c r="D396" s="9">
        <f>Odometer!A396</f>
        <v>45701.285624999997</v>
      </c>
      <c r="E396" s="9">
        <f t="shared" si="50"/>
        <v>45701.285624999997</v>
      </c>
      <c r="F396" s="2">
        <f>Odometer!B396</f>
        <v>428752975</v>
      </c>
      <c r="G396" s="2">
        <f t="shared" si="51"/>
        <v>2</v>
      </c>
      <c r="H396" s="2">
        <f>SUM($G$2:G396)</f>
        <v>3079</v>
      </c>
      <c r="I396" s="10">
        <f t="shared" si="52"/>
        <v>45701.285324074073</v>
      </c>
      <c r="J396" s="10">
        <f t="shared" si="53"/>
        <v>45701.285324074073</v>
      </c>
      <c r="K396" s="3">
        <f t="shared" si="55"/>
        <v>2913</v>
      </c>
      <c r="L396">
        <f t="shared" si="48"/>
        <v>10.347222220000001</v>
      </c>
      <c r="M396">
        <f t="shared" si="54"/>
        <v>37.249999992000006</v>
      </c>
    </row>
    <row r="397" spans="1:13" x14ac:dyDescent="0.25">
      <c r="A397" s="9">
        <f>Speed!A397</f>
        <v>45701.28533564815</v>
      </c>
      <c r="B397" s="9">
        <f t="shared" si="49"/>
        <v>45701.285335648143</v>
      </c>
      <c r="C397" s="2">
        <f>Speed!B397</f>
        <v>10.080555560000001</v>
      </c>
      <c r="D397" s="9">
        <f>Odometer!A397</f>
        <v>45701.285636574074</v>
      </c>
      <c r="E397" s="9">
        <f t="shared" si="50"/>
        <v>45701.285636574074</v>
      </c>
      <c r="F397" s="2">
        <f>Odometer!B397</f>
        <v>428752977</v>
      </c>
      <c r="G397" s="2">
        <f t="shared" si="51"/>
        <v>1</v>
      </c>
      <c r="H397" s="2">
        <f>SUM($G$2:G397)</f>
        <v>3080</v>
      </c>
      <c r="I397" s="10">
        <f t="shared" si="52"/>
        <v>45701.28533564815</v>
      </c>
      <c r="J397" s="10">
        <f t="shared" si="53"/>
        <v>45701.285335648143</v>
      </c>
      <c r="K397" s="3">
        <f t="shared" si="55"/>
        <v>2930</v>
      </c>
      <c r="L397">
        <f t="shared" si="48"/>
        <v>10.080555560000001</v>
      </c>
      <c r="M397">
        <f t="shared" si="54"/>
        <v>36.290000016</v>
      </c>
    </row>
    <row r="398" spans="1:13" x14ac:dyDescent="0.25">
      <c r="A398" s="9">
        <f>Speed!A398</f>
        <v>45701.28534722222</v>
      </c>
      <c r="B398" s="9">
        <f t="shared" si="49"/>
        <v>45701.28534722222</v>
      </c>
      <c r="C398" s="2">
        <f>Speed!B398</f>
        <v>9.7166666670000001</v>
      </c>
      <c r="D398" s="9">
        <f>Odometer!A398</f>
        <v>45701.285914351851</v>
      </c>
      <c r="E398" s="9">
        <f t="shared" si="50"/>
        <v>45701.285914351851</v>
      </c>
      <c r="F398" s="2">
        <f>Odometer!B398</f>
        <v>428752978</v>
      </c>
      <c r="G398" s="2">
        <f t="shared" si="51"/>
        <v>1</v>
      </c>
      <c r="H398" s="2">
        <f>SUM($G$2:G398)</f>
        <v>3081</v>
      </c>
      <c r="I398" s="10">
        <f t="shared" si="52"/>
        <v>45701.28534722222</v>
      </c>
      <c r="J398" s="10">
        <f t="shared" si="53"/>
        <v>45701.28534722222</v>
      </c>
      <c r="K398" s="3">
        <f t="shared" si="55"/>
        <v>2940</v>
      </c>
      <c r="L398">
        <f t="shared" si="48"/>
        <v>9.7166666670000001</v>
      </c>
      <c r="M398">
        <f t="shared" si="54"/>
        <v>34.980000001200004</v>
      </c>
    </row>
    <row r="399" spans="1:13" x14ac:dyDescent="0.25">
      <c r="A399" s="9">
        <f>Speed!A399</f>
        <v>45701.285358796296</v>
      </c>
      <c r="B399" s="9">
        <f t="shared" si="49"/>
        <v>45701.285358796296</v>
      </c>
      <c r="C399" s="2">
        <f>Speed!B399</f>
        <v>9.1888888889999993</v>
      </c>
      <c r="D399" s="9">
        <f>Odometer!A399</f>
        <v>45701.285937499997</v>
      </c>
      <c r="E399" s="9">
        <f t="shared" si="50"/>
        <v>45701.285937499997</v>
      </c>
      <c r="F399" s="2">
        <f>Odometer!B399</f>
        <v>428752979</v>
      </c>
      <c r="G399" s="2">
        <f t="shared" si="51"/>
        <v>3</v>
      </c>
      <c r="H399" s="2">
        <f>SUM($G$2:G399)</f>
        <v>3084</v>
      </c>
      <c r="I399" s="10">
        <f t="shared" si="52"/>
        <v>45701.285358796296</v>
      </c>
      <c r="J399" s="10">
        <f t="shared" si="53"/>
        <v>45701.285358796296</v>
      </c>
      <c r="K399" s="3">
        <f t="shared" si="55"/>
        <v>2949</v>
      </c>
      <c r="L399">
        <f t="shared" si="48"/>
        <v>9.1888888889999993</v>
      </c>
      <c r="M399">
        <f t="shared" si="54"/>
        <v>33.080000000399998</v>
      </c>
    </row>
    <row r="400" spans="1:13" x14ac:dyDescent="0.25">
      <c r="A400" s="9">
        <f>Speed!A400</f>
        <v>45701.285370370373</v>
      </c>
      <c r="B400" s="9">
        <f t="shared" si="49"/>
        <v>45701.285370370366</v>
      </c>
      <c r="C400" s="2">
        <f>Speed!B400</f>
        <v>8.5666666669999998</v>
      </c>
      <c r="D400" s="9">
        <f>Odometer!A400</f>
        <v>45701.285937499997</v>
      </c>
      <c r="E400" s="9">
        <f t="shared" si="50"/>
        <v>45701.285937499997</v>
      </c>
      <c r="F400" s="2">
        <f>Odometer!B400</f>
        <v>428752982</v>
      </c>
      <c r="G400" s="2">
        <f t="shared" si="51"/>
        <v>4</v>
      </c>
      <c r="H400" s="2">
        <f>SUM($G$2:G400)</f>
        <v>3088</v>
      </c>
      <c r="I400" s="10">
        <f t="shared" si="52"/>
        <v>45701.285370370373</v>
      </c>
      <c r="J400" s="10">
        <f t="shared" si="53"/>
        <v>45701.285370370366</v>
      </c>
      <c r="K400" s="3">
        <f t="shared" si="55"/>
        <v>2957</v>
      </c>
      <c r="L400">
        <f t="shared" si="48"/>
        <v>8.5666666669999998</v>
      </c>
      <c r="M400">
        <f t="shared" si="54"/>
        <v>30.8400000012</v>
      </c>
    </row>
    <row r="401" spans="1:13" x14ac:dyDescent="0.25">
      <c r="A401" s="9">
        <f>Speed!A401</f>
        <v>45701.285381944443</v>
      </c>
      <c r="B401" s="9">
        <f t="shared" si="49"/>
        <v>45701.285381944443</v>
      </c>
      <c r="C401" s="2">
        <f>Speed!B401</f>
        <v>8.1111111109999996</v>
      </c>
      <c r="D401" s="9">
        <f>Odometer!A401</f>
        <v>45701.285949074074</v>
      </c>
      <c r="E401" s="9">
        <f t="shared" si="50"/>
        <v>45701.285949074074</v>
      </c>
      <c r="F401" s="2">
        <f>Odometer!B401</f>
        <v>428752986</v>
      </c>
      <c r="G401" s="2">
        <f t="shared" si="51"/>
        <v>2</v>
      </c>
      <c r="H401" s="2">
        <f>SUM($G$2:G401)</f>
        <v>3090</v>
      </c>
      <c r="I401" s="10">
        <f t="shared" si="52"/>
        <v>45701.285381944443</v>
      </c>
      <c r="J401" s="10">
        <f t="shared" si="53"/>
        <v>45701.285381944443</v>
      </c>
      <c r="K401" s="3">
        <f t="shared" si="55"/>
        <v>2965</v>
      </c>
      <c r="L401">
        <f t="shared" si="48"/>
        <v>8.1111111109999996</v>
      </c>
      <c r="M401">
        <f t="shared" si="54"/>
        <v>29.199999999599999</v>
      </c>
    </row>
    <row r="402" spans="1:13" x14ac:dyDescent="0.25">
      <c r="A402" s="9">
        <f>Speed!A402</f>
        <v>45701.285393518519</v>
      </c>
      <c r="B402" s="9">
        <f t="shared" si="49"/>
        <v>45701.285393518519</v>
      </c>
      <c r="C402" s="2">
        <f>Speed!B402</f>
        <v>7.8194444440000002</v>
      </c>
      <c r="D402" s="9">
        <f>Odometer!A402</f>
        <v>45701.285960648151</v>
      </c>
      <c r="E402" s="9">
        <f t="shared" si="50"/>
        <v>45701.285960648143</v>
      </c>
      <c r="F402" s="2">
        <f>Odometer!B402</f>
        <v>428752988</v>
      </c>
      <c r="G402" s="2">
        <f t="shared" si="51"/>
        <v>3</v>
      </c>
      <c r="H402" s="2">
        <f>SUM($G$2:G402)</f>
        <v>3093</v>
      </c>
      <c r="I402" s="10">
        <f t="shared" si="52"/>
        <v>45701.285393518519</v>
      </c>
      <c r="J402" s="10">
        <f t="shared" si="53"/>
        <v>45701.285393518519</v>
      </c>
      <c r="K402" s="3">
        <f t="shared" si="55"/>
        <v>2973</v>
      </c>
      <c r="L402">
        <f t="shared" si="48"/>
        <v>7.8194444440000002</v>
      </c>
      <c r="M402">
        <f t="shared" si="54"/>
        <v>28.149999998400002</v>
      </c>
    </row>
    <row r="403" spans="1:13" x14ac:dyDescent="0.25">
      <c r="A403" s="9">
        <f>Speed!A403</f>
        <v>45701.285393518519</v>
      </c>
      <c r="B403" s="9">
        <f t="shared" si="49"/>
        <v>45701.285393518519</v>
      </c>
      <c r="C403" s="2">
        <f>Speed!B403</f>
        <v>7.3944444440000003</v>
      </c>
      <c r="D403" s="9">
        <f>Odometer!A403</f>
        <v>45701.28597222222</v>
      </c>
      <c r="E403" s="9">
        <f t="shared" si="50"/>
        <v>45701.28597222222</v>
      </c>
      <c r="F403" s="2">
        <f>Odometer!B403</f>
        <v>428752991</v>
      </c>
      <c r="G403" s="2">
        <f t="shared" si="51"/>
        <v>6</v>
      </c>
      <c r="H403" s="2">
        <f>SUM($G$2:G403)</f>
        <v>3099</v>
      </c>
      <c r="I403" s="10">
        <f t="shared" si="52"/>
        <v>45701.285393518519</v>
      </c>
      <c r="J403" s="10">
        <f t="shared" si="53"/>
        <v>45701.285393518519</v>
      </c>
      <c r="K403" s="3">
        <f t="shared" si="55"/>
        <v>2973</v>
      </c>
      <c r="L403">
        <f t="shared" si="48"/>
        <v>7.8194444440000002</v>
      </c>
      <c r="M403">
        <f t="shared" si="54"/>
        <v>28.149999998400002</v>
      </c>
    </row>
    <row r="404" spans="1:13" x14ac:dyDescent="0.25">
      <c r="A404" s="9">
        <f>Speed!A404</f>
        <v>45701.285416666666</v>
      </c>
      <c r="B404" s="9">
        <f t="shared" si="49"/>
        <v>45701.285416666666</v>
      </c>
      <c r="C404" s="2">
        <f>Speed!B404</f>
        <v>6.9055555560000004</v>
      </c>
      <c r="D404" s="9">
        <f>Odometer!A404</f>
        <v>45701.285983796297</v>
      </c>
      <c r="E404" s="9">
        <f t="shared" si="50"/>
        <v>45701.285983796297</v>
      </c>
      <c r="F404" s="2">
        <f>Odometer!B404</f>
        <v>428752997</v>
      </c>
      <c r="G404" s="2">
        <f t="shared" si="51"/>
        <v>7</v>
      </c>
      <c r="H404" s="2">
        <f>SUM($G$2:G404)</f>
        <v>3106</v>
      </c>
      <c r="I404" s="10">
        <f t="shared" si="52"/>
        <v>45701.285416666666</v>
      </c>
      <c r="J404" s="10">
        <f t="shared" si="53"/>
        <v>45701.285416666666</v>
      </c>
      <c r="K404" s="3">
        <f t="shared" si="55"/>
        <v>2986</v>
      </c>
      <c r="L404">
        <f t="shared" si="48"/>
        <v>6.9055555560000004</v>
      </c>
      <c r="M404">
        <f t="shared" si="54"/>
        <v>24.860000001600003</v>
      </c>
    </row>
    <row r="405" spans="1:13" x14ac:dyDescent="0.25">
      <c r="A405" s="9">
        <f>Speed!A405</f>
        <v>45701.285428240742</v>
      </c>
      <c r="B405" s="9">
        <f t="shared" si="49"/>
        <v>45701.285428240735</v>
      </c>
      <c r="C405" s="2">
        <f>Speed!B405</f>
        <v>6.358333333</v>
      </c>
      <c r="D405" s="9">
        <f>Odometer!A405</f>
        <v>45701.285995370374</v>
      </c>
      <c r="E405" s="9">
        <f t="shared" si="50"/>
        <v>45701.285995370366</v>
      </c>
      <c r="F405" s="2">
        <f>Odometer!B405</f>
        <v>428753004</v>
      </c>
      <c r="G405" s="2">
        <f t="shared" si="51"/>
        <v>7</v>
      </c>
      <c r="H405" s="2">
        <f>SUM($G$2:G405)</f>
        <v>3113</v>
      </c>
      <c r="I405" s="10">
        <f t="shared" si="52"/>
        <v>45701.285428240742</v>
      </c>
      <c r="J405" s="10">
        <f t="shared" si="53"/>
        <v>45701.285428240735</v>
      </c>
      <c r="K405" s="3">
        <f t="shared" si="55"/>
        <v>2992</v>
      </c>
      <c r="L405">
        <f t="shared" si="48"/>
        <v>6.358333333</v>
      </c>
      <c r="M405">
        <f t="shared" si="54"/>
        <v>22.8899999988</v>
      </c>
    </row>
    <row r="406" spans="1:13" x14ac:dyDescent="0.25">
      <c r="A406" s="9">
        <f>Speed!A406</f>
        <v>45701.285439814812</v>
      </c>
      <c r="B406" s="9">
        <f t="shared" si="49"/>
        <v>45701.285439814812</v>
      </c>
      <c r="C406" s="2">
        <f>Speed!B406</f>
        <v>5.7972222220000003</v>
      </c>
      <c r="D406" s="9">
        <f>Odometer!A406</f>
        <v>45701.286006944443</v>
      </c>
      <c r="E406" s="9">
        <f t="shared" si="50"/>
        <v>45701.286006944443</v>
      </c>
      <c r="F406" s="2">
        <f>Odometer!B406</f>
        <v>428753011</v>
      </c>
      <c r="G406" s="2">
        <f t="shared" si="51"/>
        <v>8</v>
      </c>
      <c r="H406" s="2">
        <f>SUM($G$2:G406)</f>
        <v>3121</v>
      </c>
      <c r="I406" s="10">
        <f t="shared" si="52"/>
        <v>45701.285439814812</v>
      </c>
      <c r="J406" s="10">
        <f t="shared" si="53"/>
        <v>45701.285439814812</v>
      </c>
      <c r="K406" s="3">
        <f t="shared" si="55"/>
        <v>2997</v>
      </c>
      <c r="L406">
        <f t="shared" si="48"/>
        <v>5.7972222220000003</v>
      </c>
      <c r="M406">
        <f t="shared" si="54"/>
        <v>20.869999999200001</v>
      </c>
    </row>
    <row r="407" spans="1:13" x14ac:dyDescent="0.25">
      <c r="A407" s="9">
        <f>Speed!A407</f>
        <v>45701.285439814812</v>
      </c>
      <c r="B407" s="9">
        <f t="shared" si="49"/>
        <v>45701.285439814812</v>
      </c>
      <c r="C407" s="2">
        <f>Speed!B407</f>
        <v>5.3555555559999997</v>
      </c>
      <c r="D407" s="9">
        <f>Odometer!A407</f>
        <v>45701.286006944443</v>
      </c>
      <c r="E407" s="9">
        <f t="shared" si="50"/>
        <v>45701.286006944443</v>
      </c>
      <c r="F407" s="2">
        <f>Odometer!B407</f>
        <v>428753019</v>
      </c>
      <c r="G407" s="2">
        <f t="shared" si="51"/>
        <v>1</v>
      </c>
      <c r="H407" s="2">
        <f>SUM($G$2:G407)</f>
        <v>3122</v>
      </c>
      <c r="I407" s="10">
        <f t="shared" si="52"/>
        <v>45701.285439814812</v>
      </c>
      <c r="J407" s="10">
        <f t="shared" si="53"/>
        <v>45701.285439814812</v>
      </c>
      <c r="K407" s="3">
        <f t="shared" si="55"/>
        <v>2997</v>
      </c>
      <c r="L407">
        <f t="shared" si="48"/>
        <v>5.7972222220000003</v>
      </c>
      <c r="M407">
        <f t="shared" si="54"/>
        <v>20.869999999200001</v>
      </c>
    </row>
    <row r="408" spans="1:13" x14ac:dyDescent="0.25">
      <c r="A408" s="9">
        <f>Speed!A408</f>
        <v>45701.285451388889</v>
      </c>
      <c r="B408" s="9">
        <f t="shared" si="49"/>
        <v>45701.285451388889</v>
      </c>
      <c r="C408" s="2">
        <f>Speed!B408</f>
        <v>5.25</v>
      </c>
      <c r="D408" s="9">
        <f>Odometer!A408</f>
        <v>45701.28601851852</v>
      </c>
      <c r="E408" s="9">
        <f t="shared" si="50"/>
        <v>45701.286018518513</v>
      </c>
      <c r="F408" s="2">
        <f>Odometer!B408</f>
        <v>428753020</v>
      </c>
      <c r="G408" s="2">
        <f t="shared" si="51"/>
        <v>10</v>
      </c>
      <c r="H408" s="2">
        <f>SUM($G$2:G408)</f>
        <v>3132</v>
      </c>
      <c r="I408" s="10">
        <f t="shared" si="52"/>
        <v>45701.285451388889</v>
      </c>
      <c r="J408" s="10">
        <f t="shared" si="53"/>
        <v>45701.285451388889</v>
      </c>
      <c r="K408" s="3">
        <f t="shared" si="55"/>
        <v>2999</v>
      </c>
      <c r="L408">
        <f t="shared" si="48"/>
        <v>5.25</v>
      </c>
      <c r="M408">
        <f t="shared" si="54"/>
        <v>18.900000000000002</v>
      </c>
    </row>
    <row r="409" spans="1:13" x14ac:dyDescent="0.25">
      <c r="A409" s="9">
        <f>Speed!A409</f>
        <v>45701.285451388889</v>
      </c>
      <c r="B409" s="9">
        <f t="shared" si="49"/>
        <v>45701.285451388889</v>
      </c>
      <c r="C409" s="2">
        <f>Speed!B409</f>
        <v>5.1805555559999998</v>
      </c>
      <c r="D409" s="9">
        <f>Odometer!A409</f>
        <v>45701.286030092589</v>
      </c>
      <c r="E409" s="9">
        <f t="shared" si="50"/>
        <v>45701.286030092589</v>
      </c>
      <c r="F409" s="2">
        <f>Odometer!B409</f>
        <v>428753030</v>
      </c>
      <c r="G409" s="2">
        <f t="shared" si="51"/>
        <v>10</v>
      </c>
      <c r="H409" s="2">
        <f>SUM($G$2:G409)</f>
        <v>3142</v>
      </c>
      <c r="I409" s="10">
        <f t="shared" si="52"/>
        <v>45701.285451388889</v>
      </c>
      <c r="J409" s="10">
        <f t="shared" si="53"/>
        <v>45701.285451388889</v>
      </c>
      <c r="K409" s="3">
        <f t="shared" si="55"/>
        <v>2999</v>
      </c>
      <c r="L409">
        <f t="shared" si="48"/>
        <v>5.25</v>
      </c>
      <c r="M409">
        <f t="shared" si="54"/>
        <v>18.900000000000002</v>
      </c>
    </row>
    <row r="410" spans="1:13" x14ac:dyDescent="0.25">
      <c r="A410" s="9">
        <f>Speed!A410</f>
        <v>45701.285462962966</v>
      </c>
      <c r="B410" s="9">
        <f t="shared" si="49"/>
        <v>45701.285462962958</v>
      </c>
      <c r="C410" s="2">
        <f>Speed!B410</f>
        <v>5.1222222220000004</v>
      </c>
      <c r="D410" s="9">
        <f>Odometer!A410</f>
        <v>45701.286041666666</v>
      </c>
      <c r="E410" s="9">
        <f t="shared" si="50"/>
        <v>45701.286041666666</v>
      </c>
      <c r="F410" s="2">
        <f>Odometer!B410</f>
        <v>428753040</v>
      </c>
      <c r="G410" s="2">
        <f t="shared" si="51"/>
        <v>7</v>
      </c>
      <c r="H410" s="2">
        <f>SUM($G$2:G410)</f>
        <v>3149</v>
      </c>
      <c r="I410" s="10">
        <f t="shared" si="52"/>
        <v>45701.285462962966</v>
      </c>
      <c r="J410" s="10">
        <f t="shared" si="53"/>
        <v>45701.285462962958</v>
      </c>
      <c r="K410" s="3">
        <f t="shared" si="55"/>
        <v>3008</v>
      </c>
      <c r="L410">
        <f t="shared" si="48"/>
        <v>5.1222222220000004</v>
      </c>
      <c r="M410">
        <f t="shared" si="54"/>
        <v>18.439999999200001</v>
      </c>
    </row>
    <row r="411" spans="1:13" x14ac:dyDescent="0.25">
      <c r="A411" s="9">
        <f>Speed!A411</f>
        <v>45701.285474537035</v>
      </c>
      <c r="B411" s="9">
        <f t="shared" si="49"/>
        <v>45701.285474537035</v>
      </c>
      <c r="C411" s="2">
        <f>Speed!B411</f>
        <v>5.0638888890000002</v>
      </c>
      <c r="D411" s="9">
        <f>Odometer!A411</f>
        <v>45701.286041666666</v>
      </c>
      <c r="E411" s="9">
        <f t="shared" si="50"/>
        <v>45701.286041666666</v>
      </c>
      <c r="F411" s="2">
        <f>Odometer!B411</f>
        <v>428753047</v>
      </c>
      <c r="G411" s="2">
        <f t="shared" si="51"/>
        <v>2</v>
      </c>
      <c r="H411" s="2">
        <f>SUM($G$2:G411)</f>
        <v>3151</v>
      </c>
      <c r="I411" s="10">
        <f t="shared" si="52"/>
        <v>45701.285474537035</v>
      </c>
      <c r="J411" s="10">
        <f t="shared" si="53"/>
        <v>45701.285474537035</v>
      </c>
      <c r="K411" s="3">
        <f t="shared" si="55"/>
        <v>3013</v>
      </c>
      <c r="L411">
        <f t="shared" si="48"/>
        <v>5.0638888890000002</v>
      </c>
      <c r="M411">
        <f t="shared" si="54"/>
        <v>18.2300000004</v>
      </c>
    </row>
    <row r="412" spans="1:13" x14ac:dyDescent="0.25">
      <c r="A412" s="9">
        <f>Speed!A412</f>
        <v>45701.285486111112</v>
      </c>
      <c r="B412" s="9">
        <f t="shared" si="49"/>
        <v>45701.285486111112</v>
      </c>
      <c r="C412" s="2">
        <f>Speed!B412</f>
        <v>5.1638888889999999</v>
      </c>
      <c r="D412" s="9">
        <f>Odometer!A412</f>
        <v>45701.286053240743</v>
      </c>
      <c r="E412" s="9">
        <f t="shared" si="50"/>
        <v>45701.286053240736</v>
      </c>
      <c r="F412" s="2">
        <f>Odometer!B412</f>
        <v>428753049</v>
      </c>
      <c r="G412" s="2">
        <f t="shared" si="51"/>
        <v>8</v>
      </c>
      <c r="H412" s="2">
        <f>SUM($G$2:G412)</f>
        <v>3159</v>
      </c>
      <c r="I412" s="10">
        <f t="shared" si="52"/>
        <v>45701.285486111112</v>
      </c>
      <c r="J412" s="10">
        <f t="shared" si="53"/>
        <v>45701.285486111112</v>
      </c>
      <c r="K412" s="3">
        <f t="shared" si="55"/>
        <v>3018</v>
      </c>
      <c r="L412">
        <f t="shared" si="48"/>
        <v>5.1638888889999999</v>
      </c>
      <c r="M412">
        <f t="shared" si="54"/>
        <v>18.5900000004</v>
      </c>
    </row>
    <row r="413" spans="1:13" x14ac:dyDescent="0.25">
      <c r="A413" s="9">
        <f>Speed!A413</f>
        <v>45701.285497685189</v>
      </c>
      <c r="B413" s="9">
        <f t="shared" si="49"/>
        <v>45701.285497685181</v>
      </c>
      <c r="C413" s="2">
        <f>Speed!B413</f>
        <v>5.386111111</v>
      </c>
      <c r="D413" s="9">
        <f>Odometer!A413</f>
        <v>45701.286053240743</v>
      </c>
      <c r="E413" s="9">
        <f t="shared" si="50"/>
        <v>45701.286053240736</v>
      </c>
      <c r="F413" s="2">
        <f>Odometer!B413</f>
        <v>428753057</v>
      </c>
      <c r="G413" s="2">
        <f t="shared" si="51"/>
        <v>9</v>
      </c>
      <c r="H413" s="2">
        <f>SUM($G$2:G413)</f>
        <v>3168</v>
      </c>
      <c r="I413" s="10">
        <f t="shared" si="52"/>
        <v>45701.285497685189</v>
      </c>
      <c r="J413" s="10">
        <f t="shared" si="53"/>
        <v>45701.285497685181</v>
      </c>
      <c r="K413" s="3">
        <f t="shared" si="55"/>
        <v>3019</v>
      </c>
      <c r="L413">
        <f t="shared" si="48"/>
        <v>5.386111111</v>
      </c>
      <c r="M413">
        <f t="shared" si="54"/>
        <v>19.389999999600001</v>
      </c>
    </row>
    <row r="414" spans="1:13" x14ac:dyDescent="0.25">
      <c r="A414" s="9">
        <f>Speed!A414</f>
        <v>45701.285497685189</v>
      </c>
      <c r="B414" s="9">
        <f t="shared" si="49"/>
        <v>45701.285497685181</v>
      </c>
      <c r="C414" s="2">
        <f>Speed!B414</f>
        <v>5.3972222219999999</v>
      </c>
      <c r="D414" s="9">
        <f>Odometer!A414</f>
        <v>45701.286076388889</v>
      </c>
      <c r="E414" s="9">
        <f t="shared" si="50"/>
        <v>45701.286076388889</v>
      </c>
      <c r="F414" s="2">
        <f>Odometer!B414</f>
        <v>428753066</v>
      </c>
      <c r="G414" s="2">
        <f t="shared" si="51"/>
        <v>1</v>
      </c>
      <c r="H414" s="2">
        <f>SUM($G$2:G414)</f>
        <v>3169</v>
      </c>
      <c r="I414" s="10">
        <f t="shared" si="52"/>
        <v>45701.285497685189</v>
      </c>
      <c r="J414" s="10">
        <f t="shared" si="53"/>
        <v>45701.285497685181</v>
      </c>
      <c r="K414" s="3">
        <f t="shared" si="55"/>
        <v>3019</v>
      </c>
      <c r="L414">
        <f t="shared" si="48"/>
        <v>5.386111111</v>
      </c>
      <c r="M414">
        <f t="shared" si="54"/>
        <v>19.389999999600001</v>
      </c>
    </row>
    <row r="415" spans="1:13" x14ac:dyDescent="0.25">
      <c r="A415" s="9">
        <f>Speed!A415</f>
        <v>45701.285509259258</v>
      </c>
      <c r="B415" s="9">
        <f t="shared" si="49"/>
        <v>45701.285509259258</v>
      </c>
      <c r="C415" s="2">
        <f>Speed!B415</f>
        <v>5.6388888890000004</v>
      </c>
      <c r="D415" s="9">
        <f>Odometer!A415</f>
        <v>45701.286076388889</v>
      </c>
      <c r="E415" s="9">
        <f t="shared" si="50"/>
        <v>45701.286076388889</v>
      </c>
      <c r="F415" s="2">
        <f>Odometer!B415</f>
        <v>428753067</v>
      </c>
      <c r="G415" s="2">
        <f t="shared" si="51"/>
        <v>9</v>
      </c>
      <c r="H415" s="2">
        <f>SUM($G$2:G415)</f>
        <v>3178</v>
      </c>
      <c r="I415" s="10">
        <f t="shared" si="52"/>
        <v>45701.285509259258</v>
      </c>
      <c r="J415" s="10">
        <f t="shared" si="53"/>
        <v>45701.285509259258</v>
      </c>
      <c r="K415" s="3">
        <f t="shared" si="55"/>
        <v>3030</v>
      </c>
      <c r="L415">
        <f t="shared" si="48"/>
        <v>5.6388888890000004</v>
      </c>
      <c r="M415">
        <f t="shared" si="54"/>
        <v>20.300000000400001</v>
      </c>
    </row>
    <row r="416" spans="1:13" x14ac:dyDescent="0.25">
      <c r="A416" s="9">
        <f>Speed!A416</f>
        <v>45701.285520833335</v>
      </c>
      <c r="B416" s="9">
        <f t="shared" si="49"/>
        <v>45701.285520833328</v>
      </c>
      <c r="C416" s="2">
        <f>Speed!B416</f>
        <v>5.8611111109999996</v>
      </c>
      <c r="D416" s="9">
        <f>Odometer!A416</f>
        <v>45701.286087962966</v>
      </c>
      <c r="E416" s="9">
        <f t="shared" si="50"/>
        <v>45701.286087962959</v>
      </c>
      <c r="F416" s="2">
        <f>Odometer!B416</f>
        <v>428753076</v>
      </c>
      <c r="G416" s="2">
        <f t="shared" si="51"/>
        <v>8</v>
      </c>
      <c r="H416" s="2">
        <f>SUM($G$2:G416)</f>
        <v>3186</v>
      </c>
      <c r="I416" s="10">
        <f t="shared" si="52"/>
        <v>45701.285520833335</v>
      </c>
      <c r="J416" s="10">
        <f t="shared" si="53"/>
        <v>45701.285520833328</v>
      </c>
      <c r="K416" s="3">
        <f t="shared" si="55"/>
        <v>3036</v>
      </c>
      <c r="L416">
        <f t="shared" si="48"/>
        <v>5.8611111109999996</v>
      </c>
      <c r="M416">
        <f t="shared" si="54"/>
        <v>21.099999999599998</v>
      </c>
    </row>
    <row r="417" spans="1:13" x14ac:dyDescent="0.25">
      <c r="A417" s="9">
        <f>Speed!A417</f>
        <v>45701.285532407404</v>
      </c>
      <c r="B417" s="9">
        <f t="shared" si="49"/>
        <v>45701.285532407404</v>
      </c>
      <c r="C417" s="2">
        <f>Speed!B417</f>
        <v>6.0277777779999999</v>
      </c>
      <c r="D417" s="9">
        <f>Odometer!A417</f>
        <v>45701.286099537036</v>
      </c>
      <c r="E417" s="9">
        <f t="shared" si="50"/>
        <v>45701.286099537036</v>
      </c>
      <c r="F417" s="2">
        <f>Odometer!B417</f>
        <v>428753084</v>
      </c>
      <c r="G417" s="2">
        <f t="shared" si="51"/>
        <v>1</v>
      </c>
      <c r="H417" s="2">
        <f>SUM($G$2:G417)</f>
        <v>3187</v>
      </c>
      <c r="I417" s="10">
        <f t="shared" si="52"/>
        <v>45701.285532407404</v>
      </c>
      <c r="J417" s="10">
        <f t="shared" si="53"/>
        <v>45701.285532407404</v>
      </c>
      <c r="K417" s="3">
        <f t="shared" si="55"/>
        <v>3042</v>
      </c>
      <c r="L417">
        <f t="shared" si="48"/>
        <v>6.0277777779999999</v>
      </c>
      <c r="M417">
        <f t="shared" si="54"/>
        <v>21.700000000799999</v>
      </c>
    </row>
    <row r="418" spans="1:13" x14ac:dyDescent="0.25">
      <c r="A418" s="9">
        <f>Speed!A418</f>
        <v>45701.285543981481</v>
      </c>
      <c r="B418" s="9">
        <f t="shared" si="49"/>
        <v>45701.285543981481</v>
      </c>
      <c r="C418" s="2">
        <f>Speed!B418</f>
        <v>6.0611111109999998</v>
      </c>
      <c r="D418" s="9">
        <f>Odometer!A418</f>
        <v>45701.286099537036</v>
      </c>
      <c r="E418" s="9">
        <f t="shared" si="50"/>
        <v>45701.286099537036</v>
      </c>
      <c r="F418" s="2">
        <f>Odometer!B418</f>
        <v>428753085</v>
      </c>
      <c r="G418" s="2">
        <f t="shared" si="51"/>
        <v>8</v>
      </c>
      <c r="H418" s="2">
        <f>SUM($G$2:G418)</f>
        <v>3195</v>
      </c>
      <c r="I418" s="10">
        <f t="shared" si="52"/>
        <v>45701.285543981481</v>
      </c>
      <c r="J418" s="10">
        <f t="shared" si="53"/>
        <v>45701.285543981481</v>
      </c>
      <c r="K418" s="3">
        <f t="shared" si="55"/>
        <v>3044</v>
      </c>
      <c r="L418">
        <f t="shared" si="48"/>
        <v>6.0611111109999998</v>
      </c>
      <c r="M418">
        <f t="shared" si="54"/>
        <v>21.8199999996</v>
      </c>
    </row>
    <row r="419" spans="1:13" x14ac:dyDescent="0.25">
      <c r="A419" s="9">
        <f>Speed!A419</f>
        <v>45701.285543981481</v>
      </c>
      <c r="B419" s="9">
        <f t="shared" si="49"/>
        <v>45701.285543981481</v>
      </c>
      <c r="C419" s="2">
        <f>Speed!B419</f>
        <v>6.0750000000000002</v>
      </c>
      <c r="D419" s="9">
        <f>Odometer!A419</f>
        <v>45701.286111111112</v>
      </c>
      <c r="E419" s="9">
        <f t="shared" si="50"/>
        <v>45701.286111111112</v>
      </c>
      <c r="F419" s="2">
        <f>Odometer!B419</f>
        <v>428753093</v>
      </c>
      <c r="G419" s="2">
        <f t="shared" si="51"/>
        <v>10</v>
      </c>
      <c r="H419" s="2">
        <f>SUM($G$2:G419)</f>
        <v>3205</v>
      </c>
      <c r="I419" s="10">
        <f t="shared" si="52"/>
        <v>45701.285543981481</v>
      </c>
      <c r="J419" s="10">
        <f t="shared" si="53"/>
        <v>45701.285543981481</v>
      </c>
      <c r="K419" s="3">
        <f t="shared" si="55"/>
        <v>3044</v>
      </c>
      <c r="L419">
        <f t="shared" si="48"/>
        <v>6.0611111109999998</v>
      </c>
      <c r="M419">
        <f t="shared" si="54"/>
        <v>21.8199999996</v>
      </c>
    </row>
    <row r="420" spans="1:13" x14ac:dyDescent="0.25">
      <c r="A420" s="9">
        <f>Speed!A420</f>
        <v>45701.285555555558</v>
      </c>
      <c r="B420" s="9">
        <f t="shared" si="49"/>
        <v>45701.285555555551</v>
      </c>
      <c r="C420" s="2">
        <f>Speed!B420</f>
        <v>6</v>
      </c>
      <c r="D420" s="9">
        <f>Odometer!A420</f>
        <v>45701.286111111112</v>
      </c>
      <c r="E420" s="9">
        <f t="shared" si="50"/>
        <v>45701.286111111112</v>
      </c>
      <c r="F420" s="2">
        <f>Odometer!B420</f>
        <v>428753103</v>
      </c>
      <c r="G420" s="2">
        <f t="shared" si="51"/>
        <v>9</v>
      </c>
      <c r="H420" s="2">
        <f>SUM($G$2:G420)</f>
        <v>3214</v>
      </c>
      <c r="I420" s="10">
        <f t="shared" si="52"/>
        <v>45701.285555555558</v>
      </c>
      <c r="J420" s="10">
        <f t="shared" si="53"/>
        <v>45701.285555555551</v>
      </c>
      <c r="K420" s="3">
        <f t="shared" si="55"/>
        <v>3051</v>
      </c>
      <c r="L420">
        <f t="shared" si="48"/>
        <v>6</v>
      </c>
      <c r="M420">
        <f t="shared" si="54"/>
        <v>21.6</v>
      </c>
    </row>
    <row r="421" spans="1:13" x14ac:dyDescent="0.25">
      <c r="A421" s="9">
        <f>Speed!A421</f>
        <v>45701.285555555558</v>
      </c>
      <c r="B421" s="9">
        <f t="shared" si="49"/>
        <v>45701.285555555551</v>
      </c>
      <c r="C421" s="2">
        <f>Speed!B421</f>
        <v>5.9472222219999997</v>
      </c>
      <c r="D421" s="9">
        <f>Odometer!A421</f>
        <v>45701.286134259259</v>
      </c>
      <c r="E421" s="9">
        <f t="shared" si="50"/>
        <v>45701.286134259259</v>
      </c>
      <c r="F421" s="2">
        <f>Odometer!B421</f>
        <v>428753112</v>
      </c>
      <c r="G421" s="2">
        <f t="shared" si="51"/>
        <v>10</v>
      </c>
      <c r="H421" s="2">
        <f>SUM($G$2:G421)</f>
        <v>3224</v>
      </c>
      <c r="I421" s="10">
        <f t="shared" si="52"/>
        <v>45701.285555555558</v>
      </c>
      <c r="J421" s="10">
        <f t="shared" si="53"/>
        <v>45701.285555555551</v>
      </c>
      <c r="K421" s="3">
        <f t="shared" si="55"/>
        <v>3051</v>
      </c>
      <c r="L421">
        <f t="shared" si="48"/>
        <v>6</v>
      </c>
      <c r="M421">
        <f t="shared" si="54"/>
        <v>21.6</v>
      </c>
    </row>
    <row r="422" spans="1:13" x14ac:dyDescent="0.25">
      <c r="A422" s="9">
        <f>Speed!A422</f>
        <v>45701.285555555558</v>
      </c>
      <c r="B422" s="9">
        <f t="shared" si="49"/>
        <v>45701.285555555551</v>
      </c>
      <c r="C422" s="2">
        <f>Speed!B422</f>
        <v>5.8166666669999998</v>
      </c>
      <c r="D422" s="9">
        <f>Odometer!A422</f>
        <v>45701.286134259259</v>
      </c>
      <c r="E422" s="9">
        <f t="shared" si="50"/>
        <v>45701.286134259259</v>
      </c>
      <c r="F422" s="2">
        <f>Odometer!B422</f>
        <v>428753122</v>
      </c>
      <c r="G422" s="2">
        <f t="shared" si="51"/>
        <v>10</v>
      </c>
      <c r="H422" s="2">
        <f>SUM($G$2:G422)</f>
        <v>3234</v>
      </c>
      <c r="I422" s="10">
        <f t="shared" si="52"/>
        <v>45701.285555555558</v>
      </c>
      <c r="J422" s="10">
        <f t="shared" si="53"/>
        <v>45701.285555555551</v>
      </c>
      <c r="K422" s="3">
        <f t="shared" si="55"/>
        <v>3051</v>
      </c>
      <c r="L422">
        <f t="shared" si="48"/>
        <v>6</v>
      </c>
      <c r="M422">
        <f t="shared" si="54"/>
        <v>21.6</v>
      </c>
    </row>
    <row r="423" spans="1:13" x14ac:dyDescent="0.25">
      <c r="A423" s="9">
        <f>Speed!A423</f>
        <v>45701.285578703704</v>
      </c>
      <c r="B423" s="9">
        <f t="shared" si="49"/>
        <v>45701.285578703704</v>
      </c>
      <c r="C423" s="2">
        <f>Speed!B423</f>
        <v>5.3166666669999998</v>
      </c>
      <c r="D423" s="9">
        <f>Odometer!A423</f>
        <v>45701.286157407405</v>
      </c>
      <c r="E423" s="9">
        <f t="shared" si="50"/>
        <v>45701.286157407405</v>
      </c>
      <c r="F423" s="2">
        <f>Odometer!B423</f>
        <v>428753132</v>
      </c>
      <c r="G423" s="2">
        <f t="shared" si="51"/>
        <v>8</v>
      </c>
      <c r="H423" s="2">
        <f>SUM($G$2:G423)</f>
        <v>3242</v>
      </c>
      <c r="I423" s="10">
        <f t="shared" si="52"/>
        <v>45701.285578703704</v>
      </c>
      <c r="J423" s="10">
        <f t="shared" si="53"/>
        <v>45701.285578703704</v>
      </c>
      <c r="K423" s="3">
        <f t="shared" si="55"/>
        <v>3065</v>
      </c>
      <c r="L423">
        <f t="shared" si="48"/>
        <v>5.3166666669999998</v>
      </c>
      <c r="M423">
        <f t="shared" si="54"/>
        <v>19.140000001200001</v>
      </c>
    </row>
    <row r="424" spans="1:13" x14ac:dyDescent="0.25">
      <c r="A424" s="9">
        <f>Speed!A424</f>
        <v>45701.285590277781</v>
      </c>
      <c r="B424" s="9">
        <f t="shared" si="49"/>
        <v>45701.285590277774</v>
      </c>
      <c r="C424" s="2">
        <f>Speed!B424</f>
        <v>4.733333333</v>
      </c>
      <c r="D424" s="9">
        <f>Odometer!A424</f>
        <v>45701.286168981482</v>
      </c>
      <c r="E424" s="9">
        <f t="shared" si="50"/>
        <v>45701.286168981482</v>
      </c>
      <c r="F424" s="2">
        <f>Odometer!B424</f>
        <v>428753140</v>
      </c>
      <c r="G424" s="2">
        <f t="shared" si="51"/>
        <v>10</v>
      </c>
      <c r="H424" s="2">
        <f>SUM($G$2:G424)</f>
        <v>3252</v>
      </c>
      <c r="I424" s="10">
        <f t="shared" si="52"/>
        <v>45701.285590277781</v>
      </c>
      <c r="J424" s="10">
        <f t="shared" si="53"/>
        <v>45701.285590277774</v>
      </c>
      <c r="K424" s="3">
        <f t="shared" si="55"/>
        <v>3069</v>
      </c>
      <c r="L424">
        <f t="shared" si="48"/>
        <v>4.733333333</v>
      </c>
      <c r="M424">
        <f t="shared" si="54"/>
        <v>17.039999998799999</v>
      </c>
    </row>
    <row r="425" spans="1:13" x14ac:dyDescent="0.25">
      <c r="A425" s="9">
        <f>Speed!A425</f>
        <v>45701.285601851851</v>
      </c>
      <c r="B425" s="9">
        <f t="shared" si="49"/>
        <v>45701.285601851851</v>
      </c>
      <c r="C425" s="2">
        <f>Speed!B425</f>
        <v>4.016666667</v>
      </c>
      <c r="D425" s="9">
        <f>Odometer!A425</f>
        <v>45701.286180555559</v>
      </c>
      <c r="E425" s="9">
        <f t="shared" si="50"/>
        <v>45701.286180555551</v>
      </c>
      <c r="F425" s="2">
        <f>Odometer!B425</f>
        <v>428753150</v>
      </c>
      <c r="G425" s="2">
        <f t="shared" si="51"/>
        <v>9</v>
      </c>
      <c r="H425" s="2">
        <f>SUM($G$2:G425)</f>
        <v>3261</v>
      </c>
      <c r="I425" s="10">
        <f t="shared" si="52"/>
        <v>45701.285601851851</v>
      </c>
      <c r="J425" s="10">
        <f t="shared" si="53"/>
        <v>45701.285601851851</v>
      </c>
      <c r="K425" s="3">
        <f t="shared" si="55"/>
        <v>3072</v>
      </c>
      <c r="L425">
        <f t="shared" si="48"/>
        <v>4.016666667</v>
      </c>
      <c r="M425">
        <f t="shared" si="54"/>
        <v>14.460000001200001</v>
      </c>
    </row>
    <row r="426" spans="1:13" x14ac:dyDescent="0.25">
      <c r="A426" s="9">
        <f>Speed!A426</f>
        <v>45701.285601851851</v>
      </c>
      <c r="B426" s="9">
        <f t="shared" si="49"/>
        <v>45701.285601851851</v>
      </c>
      <c r="C426" s="2">
        <f>Speed!B426</f>
        <v>4.0583333330000002</v>
      </c>
      <c r="D426" s="9">
        <f>Odometer!A426</f>
        <v>45701.286192129628</v>
      </c>
      <c r="E426" s="9">
        <f t="shared" si="50"/>
        <v>45701.286192129628</v>
      </c>
      <c r="F426" s="2">
        <f>Odometer!B426</f>
        <v>428753159</v>
      </c>
      <c r="G426" s="2">
        <f t="shared" si="51"/>
        <v>10</v>
      </c>
      <c r="H426" s="2">
        <f>SUM($G$2:G426)</f>
        <v>3271</v>
      </c>
      <c r="I426" s="10">
        <f t="shared" si="52"/>
        <v>45701.285601851851</v>
      </c>
      <c r="J426" s="10">
        <f t="shared" si="53"/>
        <v>45701.285601851851</v>
      </c>
      <c r="K426" s="3">
        <f t="shared" si="55"/>
        <v>3072</v>
      </c>
      <c r="L426">
        <f t="shared" si="48"/>
        <v>4.016666667</v>
      </c>
      <c r="M426">
        <f t="shared" si="54"/>
        <v>14.460000001200001</v>
      </c>
    </row>
    <row r="427" spans="1:13" x14ac:dyDescent="0.25">
      <c r="A427" s="9">
        <f>Speed!A427</f>
        <v>45701.285601851851</v>
      </c>
      <c r="B427" s="9">
        <f t="shared" si="49"/>
        <v>45701.285601851851</v>
      </c>
      <c r="C427" s="2">
        <f>Speed!B427</f>
        <v>3.2805555559999999</v>
      </c>
      <c r="D427" s="9">
        <f>Odometer!A427</f>
        <v>45701.286203703705</v>
      </c>
      <c r="E427" s="9">
        <f t="shared" si="50"/>
        <v>45701.286203703705</v>
      </c>
      <c r="F427" s="2">
        <f>Odometer!B427</f>
        <v>428753169</v>
      </c>
      <c r="G427" s="2">
        <f t="shared" si="51"/>
        <v>8</v>
      </c>
      <c r="H427" s="2">
        <f>SUM($G$2:G427)</f>
        <v>3279</v>
      </c>
      <c r="I427" s="10">
        <f t="shared" si="52"/>
        <v>45701.285601851851</v>
      </c>
      <c r="J427" s="10">
        <f t="shared" si="53"/>
        <v>45701.285601851851</v>
      </c>
      <c r="K427" s="3">
        <f t="shared" si="55"/>
        <v>3072</v>
      </c>
      <c r="L427">
        <f t="shared" si="48"/>
        <v>4.016666667</v>
      </c>
      <c r="M427">
        <f t="shared" si="54"/>
        <v>14.460000001200001</v>
      </c>
    </row>
    <row r="428" spans="1:13" x14ac:dyDescent="0.25">
      <c r="A428" s="9">
        <f>Speed!A428</f>
        <v>45701.285624999997</v>
      </c>
      <c r="B428" s="9">
        <f t="shared" si="49"/>
        <v>45701.285624999997</v>
      </c>
      <c r="C428" s="2">
        <f>Speed!B428</f>
        <v>2.3944444439999999</v>
      </c>
      <c r="D428" s="9">
        <f>Odometer!A428</f>
        <v>45701.286215277774</v>
      </c>
      <c r="E428" s="9">
        <f t="shared" si="50"/>
        <v>45701.286215277774</v>
      </c>
      <c r="F428" s="2">
        <f>Odometer!B428</f>
        <v>428753177</v>
      </c>
      <c r="G428" s="2">
        <f t="shared" si="51"/>
        <v>9</v>
      </c>
      <c r="H428" s="2">
        <f>SUM($G$2:G428)</f>
        <v>3288</v>
      </c>
      <c r="I428" s="10">
        <f t="shared" si="52"/>
        <v>45701.285624999997</v>
      </c>
      <c r="J428" s="10">
        <f t="shared" si="53"/>
        <v>45701.285624999997</v>
      </c>
      <c r="K428" s="3">
        <f t="shared" si="55"/>
        <v>3077</v>
      </c>
      <c r="L428">
        <f t="shared" si="48"/>
        <v>2.3944444439999999</v>
      </c>
      <c r="M428">
        <f t="shared" si="54"/>
        <v>8.6199999983999991</v>
      </c>
    </row>
    <row r="429" spans="1:13" x14ac:dyDescent="0.25">
      <c r="A429" s="9">
        <f>Speed!A429</f>
        <v>45701.285624999997</v>
      </c>
      <c r="B429" s="9">
        <f t="shared" si="49"/>
        <v>45701.285624999997</v>
      </c>
      <c r="C429" s="2">
        <f>Speed!B429</f>
        <v>1.630555556</v>
      </c>
      <c r="D429" s="9">
        <f>Odometer!A429</f>
        <v>45701.286226851851</v>
      </c>
      <c r="E429" s="9">
        <f t="shared" si="50"/>
        <v>45701.286226851851</v>
      </c>
      <c r="F429" s="2">
        <f>Odometer!B429</f>
        <v>428753186</v>
      </c>
      <c r="G429" s="2">
        <f t="shared" si="51"/>
        <v>9</v>
      </c>
      <c r="H429" s="2">
        <f>SUM($G$2:G429)</f>
        <v>3297</v>
      </c>
      <c r="I429" s="10">
        <f t="shared" si="52"/>
        <v>45701.285624999997</v>
      </c>
      <c r="J429" s="10">
        <f t="shared" si="53"/>
        <v>45701.285624999997</v>
      </c>
      <c r="K429" s="3">
        <f t="shared" si="55"/>
        <v>3077</v>
      </c>
      <c r="L429">
        <f t="shared" si="48"/>
        <v>2.3944444439999999</v>
      </c>
      <c r="M429">
        <f t="shared" si="54"/>
        <v>8.6199999983999991</v>
      </c>
    </row>
    <row r="430" spans="1:13" x14ac:dyDescent="0.25">
      <c r="A430" s="9">
        <f>Speed!A430</f>
        <v>45701.285636574074</v>
      </c>
      <c r="B430" s="9">
        <f t="shared" si="49"/>
        <v>45701.285636574074</v>
      </c>
      <c r="C430" s="2">
        <f>Speed!B430</f>
        <v>0.91111111099999997</v>
      </c>
      <c r="D430" s="9">
        <f>Odometer!A430</f>
        <v>45701.286238425928</v>
      </c>
      <c r="E430" s="9">
        <f t="shared" si="50"/>
        <v>45701.286238425921</v>
      </c>
      <c r="F430" s="2">
        <f>Odometer!B430</f>
        <v>428753195</v>
      </c>
      <c r="G430" s="2">
        <f t="shared" si="51"/>
        <v>9</v>
      </c>
      <c r="H430" s="2">
        <f>SUM($G$2:G430)</f>
        <v>3306</v>
      </c>
      <c r="I430" s="10">
        <f t="shared" si="52"/>
        <v>45701.285636574074</v>
      </c>
      <c r="J430" s="10">
        <f t="shared" si="53"/>
        <v>45701.285636574074</v>
      </c>
      <c r="K430" s="3">
        <f t="shared" si="55"/>
        <v>3080</v>
      </c>
      <c r="L430">
        <f t="shared" si="48"/>
        <v>0.91111111099999997</v>
      </c>
      <c r="M430">
        <f t="shared" si="54"/>
        <v>3.2799999995999998</v>
      </c>
    </row>
    <row r="431" spans="1:13" x14ac:dyDescent="0.25">
      <c r="A431" s="9">
        <f>Speed!A431</f>
        <v>45701.28565972222</v>
      </c>
      <c r="B431" s="9">
        <f t="shared" si="49"/>
        <v>45701.28565972222</v>
      </c>
      <c r="C431" s="2">
        <f>Speed!B431</f>
        <v>0.21944444399999999</v>
      </c>
      <c r="D431" s="9">
        <f>Odometer!A431</f>
        <v>45701.286249999997</v>
      </c>
      <c r="E431" s="9">
        <f t="shared" si="50"/>
        <v>45701.286249999997</v>
      </c>
      <c r="F431" s="2">
        <f>Odometer!B431</f>
        <v>428753204</v>
      </c>
      <c r="G431" s="2">
        <f t="shared" si="51"/>
        <v>9</v>
      </c>
      <c r="H431" s="2">
        <f>SUM($G$2:G431)</f>
        <v>3315</v>
      </c>
      <c r="I431" s="10">
        <f t="shared" si="52"/>
        <v>45701.28565972222</v>
      </c>
      <c r="J431" s="10">
        <f t="shared" si="53"/>
        <v>45701.28565972222</v>
      </c>
      <c r="K431" s="3" t="e">
        <f t="shared" si="55"/>
        <v>#N/A</v>
      </c>
      <c r="L431">
        <f t="shared" si="48"/>
        <v>0.21944444399999999</v>
      </c>
      <c r="M431">
        <f t="shared" si="54"/>
        <v>0.78999999840000001</v>
      </c>
    </row>
    <row r="432" spans="1:13" x14ac:dyDescent="0.25">
      <c r="A432" s="9">
        <f>Speed!A432</f>
        <v>45701.285671296297</v>
      </c>
      <c r="B432" s="9">
        <f t="shared" si="49"/>
        <v>45701.285671296297</v>
      </c>
      <c r="C432" s="2">
        <f>Speed!B432</f>
        <v>0.108333333</v>
      </c>
      <c r="D432" s="9">
        <f>Odometer!A432</f>
        <v>45701.286261574074</v>
      </c>
      <c r="E432" s="9">
        <f t="shared" si="50"/>
        <v>45701.286261574074</v>
      </c>
      <c r="F432" s="2">
        <f>Odometer!B432</f>
        <v>428753213</v>
      </c>
      <c r="G432" s="2">
        <f t="shared" si="51"/>
        <v>9</v>
      </c>
      <c r="H432" s="2">
        <f>SUM($G$2:G432)</f>
        <v>3324</v>
      </c>
      <c r="I432" s="10">
        <f t="shared" si="52"/>
        <v>45701.285671296297</v>
      </c>
      <c r="J432" s="10">
        <f t="shared" si="53"/>
        <v>45701.285671296297</v>
      </c>
      <c r="K432" s="3" t="e">
        <f t="shared" si="55"/>
        <v>#N/A</v>
      </c>
      <c r="L432">
        <f t="shared" si="48"/>
        <v>0.108333333</v>
      </c>
      <c r="M432">
        <f t="shared" si="54"/>
        <v>0.38999999880000003</v>
      </c>
    </row>
    <row r="433" spans="1:13" x14ac:dyDescent="0.25">
      <c r="A433" s="9">
        <f>Speed!A433</f>
        <v>45701.285671296297</v>
      </c>
      <c r="B433" s="9">
        <f t="shared" si="49"/>
        <v>45701.285671296297</v>
      </c>
      <c r="C433" s="2">
        <f>Speed!B433</f>
        <v>0</v>
      </c>
      <c r="D433" s="9">
        <f>Odometer!A433</f>
        <v>45701.286273148151</v>
      </c>
      <c r="E433" s="9">
        <f t="shared" si="50"/>
        <v>45701.286273148144</v>
      </c>
      <c r="F433" s="2">
        <f>Odometer!B433</f>
        <v>428753222</v>
      </c>
      <c r="G433" s="2">
        <f t="shared" si="51"/>
        <v>9</v>
      </c>
      <c r="H433" s="2">
        <f>SUM($G$2:G433)</f>
        <v>3333</v>
      </c>
      <c r="I433" s="10">
        <f t="shared" si="52"/>
        <v>45701.285671296297</v>
      </c>
      <c r="J433" s="10">
        <f t="shared" si="53"/>
        <v>45701.285671296297</v>
      </c>
      <c r="K433" s="3" t="e">
        <f t="shared" si="55"/>
        <v>#N/A</v>
      </c>
      <c r="L433">
        <f t="shared" si="48"/>
        <v>0.108333333</v>
      </c>
      <c r="M433">
        <f t="shared" si="54"/>
        <v>0.38999999880000003</v>
      </c>
    </row>
    <row r="434" spans="1:13" x14ac:dyDescent="0.25">
      <c r="A434" s="9">
        <f>Speed!A434</f>
        <v>45701.285914351851</v>
      </c>
      <c r="B434" s="9">
        <f t="shared" si="49"/>
        <v>45701.285914351851</v>
      </c>
      <c r="C434" s="2">
        <f>Speed!B434</f>
        <v>0.24722222199999999</v>
      </c>
      <c r="D434" s="9">
        <f>Odometer!A434</f>
        <v>45701.28628472222</v>
      </c>
      <c r="E434" s="9">
        <f t="shared" si="50"/>
        <v>45701.28628472222</v>
      </c>
      <c r="F434" s="2">
        <f>Odometer!B434</f>
        <v>428753231</v>
      </c>
      <c r="G434" s="2">
        <f t="shared" si="51"/>
        <v>9</v>
      </c>
      <c r="H434" s="2">
        <f>SUM($G$2:G434)</f>
        <v>3342</v>
      </c>
      <c r="I434" s="10">
        <f t="shared" si="52"/>
        <v>45701.285914351851</v>
      </c>
      <c r="J434" s="10">
        <f t="shared" si="53"/>
        <v>45701.285914351851</v>
      </c>
      <c r="K434" s="3">
        <f t="shared" si="55"/>
        <v>3081</v>
      </c>
      <c r="L434">
        <f t="shared" si="48"/>
        <v>0.24722222199999999</v>
      </c>
      <c r="M434">
        <f t="shared" si="54"/>
        <v>0.88999999919999995</v>
      </c>
    </row>
    <row r="435" spans="1:13" x14ac:dyDescent="0.25">
      <c r="A435" s="9">
        <f>Speed!A435</f>
        <v>45701.285914351851</v>
      </c>
      <c r="B435" s="9">
        <f t="shared" si="49"/>
        <v>45701.285914351851</v>
      </c>
      <c r="C435" s="2">
        <f>Speed!B435</f>
        <v>0.58333333300000001</v>
      </c>
      <c r="D435" s="9">
        <f>Odometer!A435</f>
        <v>45701.286296296297</v>
      </c>
      <c r="E435" s="9">
        <f t="shared" si="50"/>
        <v>45701.286296296297</v>
      </c>
      <c r="F435" s="2">
        <f>Odometer!B435</f>
        <v>428753240</v>
      </c>
      <c r="G435" s="2">
        <f t="shared" si="51"/>
        <v>9</v>
      </c>
      <c r="H435" s="2">
        <f>SUM($G$2:G435)</f>
        <v>3351</v>
      </c>
      <c r="I435" s="10">
        <f t="shared" si="52"/>
        <v>45701.285914351851</v>
      </c>
      <c r="J435" s="10">
        <f t="shared" si="53"/>
        <v>45701.285914351851</v>
      </c>
      <c r="K435" s="3">
        <f t="shared" si="55"/>
        <v>3081</v>
      </c>
      <c r="L435">
        <f t="shared" si="48"/>
        <v>0.24722222199999999</v>
      </c>
      <c r="M435">
        <f t="shared" si="54"/>
        <v>0.88999999919999995</v>
      </c>
    </row>
    <row r="436" spans="1:13" x14ac:dyDescent="0.25">
      <c r="A436" s="9">
        <f>Speed!A436</f>
        <v>45701.285925925928</v>
      </c>
      <c r="B436" s="9">
        <f t="shared" si="49"/>
        <v>45701.28592592592</v>
      </c>
      <c r="C436" s="2">
        <f>Speed!B436</f>
        <v>0.85</v>
      </c>
      <c r="D436" s="9">
        <f>Odometer!A436</f>
        <v>45701.286307870374</v>
      </c>
      <c r="E436" s="9">
        <f t="shared" si="50"/>
        <v>45701.286307870367</v>
      </c>
      <c r="F436" s="2">
        <f>Odometer!B436</f>
        <v>428753249</v>
      </c>
      <c r="G436" s="2">
        <f t="shared" si="51"/>
        <v>9</v>
      </c>
      <c r="H436" s="2">
        <f>SUM($G$2:G436)</f>
        <v>3360</v>
      </c>
      <c r="I436" s="10">
        <f t="shared" si="52"/>
        <v>45701.285925925928</v>
      </c>
      <c r="J436" s="10">
        <f t="shared" si="53"/>
        <v>45701.28592592592</v>
      </c>
      <c r="K436" s="3" t="e">
        <f t="shared" si="55"/>
        <v>#N/A</v>
      </c>
      <c r="L436">
        <f t="shared" si="48"/>
        <v>0.85</v>
      </c>
      <c r="M436">
        <f t="shared" si="54"/>
        <v>3.06</v>
      </c>
    </row>
    <row r="437" spans="1:13" x14ac:dyDescent="0.25">
      <c r="A437" s="9">
        <f>Speed!A437</f>
        <v>45701.285937499997</v>
      </c>
      <c r="B437" s="9">
        <f t="shared" si="49"/>
        <v>45701.285937499997</v>
      </c>
      <c r="C437" s="2">
        <f>Speed!B437</f>
        <v>1.988888889</v>
      </c>
      <c r="D437" s="9">
        <f>Odometer!A437</f>
        <v>45701.286319444444</v>
      </c>
      <c r="E437" s="9">
        <f t="shared" si="50"/>
        <v>45701.286319444444</v>
      </c>
      <c r="F437" s="2">
        <f>Odometer!B437</f>
        <v>428753258</v>
      </c>
      <c r="G437" s="2">
        <f t="shared" si="51"/>
        <v>10</v>
      </c>
      <c r="H437" s="2">
        <f>SUM($G$2:G437)</f>
        <v>3370</v>
      </c>
      <c r="I437" s="10">
        <f t="shared" si="52"/>
        <v>45701.285937499997</v>
      </c>
      <c r="J437" s="10">
        <f t="shared" si="53"/>
        <v>45701.285937499997</v>
      </c>
      <c r="K437" s="3">
        <f t="shared" si="55"/>
        <v>3084</v>
      </c>
      <c r="L437">
        <f t="shared" si="48"/>
        <v>1.988888889</v>
      </c>
      <c r="M437">
        <f t="shared" si="54"/>
        <v>7.1600000004000002</v>
      </c>
    </row>
    <row r="438" spans="1:13" x14ac:dyDescent="0.25">
      <c r="A438" s="9">
        <f>Speed!A438</f>
        <v>45701.285937499997</v>
      </c>
      <c r="B438" s="9">
        <f t="shared" si="49"/>
        <v>45701.285937499997</v>
      </c>
      <c r="C438" s="2">
        <f>Speed!B438</f>
        <v>3.380555556</v>
      </c>
      <c r="D438" s="9">
        <f>Odometer!A438</f>
        <v>45701.28633101852</v>
      </c>
      <c r="E438" s="9">
        <f t="shared" si="50"/>
        <v>45701.286331018513</v>
      </c>
      <c r="F438" s="2">
        <f>Odometer!B438</f>
        <v>428753268</v>
      </c>
      <c r="G438" s="2">
        <f t="shared" si="51"/>
        <v>9</v>
      </c>
      <c r="H438" s="2">
        <f>SUM($G$2:G438)</f>
        <v>3379</v>
      </c>
      <c r="I438" s="10">
        <f t="shared" si="52"/>
        <v>45701.285937499997</v>
      </c>
      <c r="J438" s="10">
        <f t="shared" si="53"/>
        <v>45701.285937499997</v>
      </c>
      <c r="K438" s="3">
        <f t="shared" si="55"/>
        <v>3084</v>
      </c>
      <c r="L438">
        <f t="shared" si="48"/>
        <v>1.988888889</v>
      </c>
      <c r="M438">
        <f t="shared" si="54"/>
        <v>7.1600000004000002</v>
      </c>
    </row>
    <row r="439" spans="1:13" x14ac:dyDescent="0.25">
      <c r="A439" s="9">
        <f>Speed!A439</f>
        <v>45701.285949074074</v>
      </c>
      <c r="B439" s="9">
        <f t="shared" si="49"/>
        <v>45701.285949074074</v>
      </c>
      <c r="C439" s="2">
        <f>Speed!B439</f>
        <v>3.5</v>
      </c>
      <c r="D439" s="9">
        <f>Odometer!A439</f>
        <v>45701.28634259259</v>
      </c>
      <c r="E439" s="9">
        <f t="shared" si="50"/>
        <v>45701.28634259259</v>
      </c>
      <c r="F439" s="2">
        <f>Odometer!B439</f>
        <v>428753277</v>
      </c>
      <c r="G439" s="2">
        <f t="shared" si="51"/>
        <v>9</v>
      </c>
      <c r="H439" s="2">
        <f>SUM($G$2:G439)</f>
        <v>3388</v>
      </c>
      <c r="I439" s="10">
        <f t="shared" si="52"/>
        <v>45701.285949074074</v>
      </c>
      <c r="J439" s="10">
        <f t="shared" si="53"/>
        <v>45701.285949074074</v>
      </c>
      <c r="K439" s="3">
        <f t="shared" si="55"/>
        <v>3090</v>
      </c>
      <c r="L439">
        <f t="shared" si="48"/>
        <v>3.5</v>
      </c>
      <c r="M439">
        <f t="shared" si="54"/>
        <v>12.6</v>
      </c>
    </row>
    <row r="440" spans="1:13" x14ac:dyDescent="0.25">
      <c r="A440" s="9">
        <f>Speed!A440</f>
        <v>45701.285949074074</v>
      </c>
      <c r="B440" s="9">
        <f t="shared" si="49"/>
        <v>45701.285949074074</v>
      </c>
      <c r="C440" s="2">
        <f>Speed!B440</f>
        <v>4.5333333329999999</v>
      </c>
      <c r="D440" s="9">
        <f>Odometer!A440</f>
        <v>45701.28634259259</v>
      </c>
      <c r="E440" s="9">
        <f t="shared" si="50"/>
        <v>45701.28634259259</v>
      </c>
      <c r="F440" s="2">
        <f>Odometer!B440</f>
        <v>428753286</v>
      </c>
      <c r="G440" s="2">
        <f t="shared" si="51"/>
        <v>11</v>
      </c>
      <c r="H440" s="2">
        <f>SUM($G$2:G440)</f>
        <v>3399</v>
      </c>
      <c r="I440" s="10">
        <f t="shared" si="52"/>
        <v>45701.285949074074</v>
      </c>
      <c r="J440" s="10">
        <f t="shared" si="53"/>
        <v>45701.285949074074</v>
      </c>
      <c r="K440" s="3">
        <f t="shared" si="55"/>
        <v>3090</v>
      </c>
      <c r="L440">
        <f t="shared" si="48"/>
        <v>3.5</v>
      </c>
      <c r="M440">
        <f t="shared" si="54"/>
        <v>12.6</v>
      </c>
    </row>
    <row r="441" spans="1:13" x14ac:dyDescent="0.25">
      <c r="A441" s="9">
        <f>Speed!A441</f>
        <v>45701.285960648151</v>
      </c>
      <c r="B441" s="9">
        <f t="shared" si="49"/>
        <v>45701.285960648143</v>
      </c>
      <c r="C441" s="2">
        <f>Speed!B441</f>
        <v>4.988888889</v>
      </c>
      <c r="D441" s="9">
        <f>Odometer!A441</f>
        <v>45701.286365740743</v>
      </c>
      <c r="E441" s="9">
        <f t="shared" si="50"/>
        <v>45701.286365740736</v>
      </c>
      <c r="F441" s="2">
        <f>Odometer!B441</f>
        <v>428753297</v>
      </c>
      <c r="G441" s="2">
        <f t="shared" si="51"/>
        <v>12</v>
      </c>
      <c r="H441" s="2">
        <f>SUM($G$2:G441)</f>
        <v>3411</v>
      </c>
      <c r="I441" s="10">
        <f t="shared" si="52"/>
        <v>45701.285960648151</v>
      </c>
      <c r="J441" s="10">
        <f t="shared" si="53"/>
        <v>45701.285960648143</v>
      </c>
      <c r="K441" s="3">
        <f t="shared" si="55"/>
        <v>3093</v>
      </c>
      <c r="L441">
        <f t="shared" si="48"/>
        <v>4.988888889</v>
      </c>
      <c r="M441">
        <f t="shared" si="54"/>
        <v>17.960000000400001</v>
      </c>
    </row>
    <row r="442" spans="1:13" x14ac:dyDescent="0.25">
      <c r="A442" s="9">
        <f>Speed!A442</f>
        <v>45701.28597222222</v>
      </c>
      <c r="B442" s="9">
        <f t="shared" si="49"/>
        <v>45701.28597222222</v>
      </c>
      <c r="C442" s="2">
        <f>Speed!B442</f>
        <v>5.4777777780000001</v>
      </c>
      <c r="D442" s="9">
        <f>Odometer!A442</f>
        <v>45701.286377314813</v>
      </c>
      <c r="E442" s="9">
        <f t="shared" si="50"/>
        <v>45701.286377314813</v>
      </c>
      <c r="F442" s="2">
        <f>Odometer!B442</f>
        <v>428753309</v>
      </c>
      <c r="G442" s="2">
        <f t="shared" si="51"/>
        <v>9</v>
      </c>
      <c r="H442" s="2">
        <f>SUM($G$2:G442)</f>
        <v>3420</v>
      </c>
      <c r="I442" s="10">
        <f t="shared" si="52"/>
        <v>45701.28597222222</v>
      </c>
      <c r="J442" s="10">
        <f t="shared" si="53"/>
        <v>45701.28597222222</v>
      </c>
      <c r="K442" s="3">
        <f t="shared" si="55"/>
        <v>3099</v>
      </c>
      <c r="L442">
        <f t="shared" si="48"/>
        <v>5.4777777780000001</v>
      </c>
      <c r="M442">
        <f t="shared" si="54"/>
        <v>19.720000000800002</v>
      </c>
    </row>
    <row r="443" spans="1:13" x14ac:dyDescent="0.25">
      <c r="A443" s="9">
        <f>Speed!A443</f>
        <v>45701.285983796297</v>
      </c>
      <c r="B443" s="9">
        <f t="shared" si="49"/>
        <v>45701.285983796297</v>
      </c>
      <c r="C443" s="2">
        <f>Speed!B443</f>
        <v>6.3027777780000003</v>
      </c>
      <c r="D443" s="9">
        <f>Odometer!A443</f>
        <v>45701.28638888889</v>
      </c>
      <c r="E443" s="9">
        <f t="shared" si="50"/>
        <v>45701.28638888889</v>
      </c>
      <c r="F443" s="2">
        <f>Odometer!B443</f>
        <v>428753318</v>
      </c>
      <c r="G443" s="2">
        <f t="shared" si="51"/>
        <v>5</v>
      </c>
      <c r="H443" s="2">
        <f>SUM($G$2:G443)</f>
        <v>3425</v>
      </c>
      <c r="I443" s="10">
        <f t="shared" si="52"/>
        <v>45701.285983796297</v>
      </c>
      <c r="J443" s="10">
        <f t="shared" si="53"/>
        <v>45701.285983796297</v>
      </c>
      <c r="K443" s="3">
        <f t="shared" si="55"/>
        <v>3106</v>
      </c>
      <c r="L443">
        <f t="shared" si="48"/>
        <v>6.3027777780000003</v>
      </c>
      <c r="M443">
        <f t="shared" si="54"/>
        <v>22.690000000800001</v>
      </c>
    </row>
    <row r="444" spans="1:13" x14ac:dyDescent="0.25">
      <c r="A444" s="9">
        <f>Speed!A444</f>
        <v>45701.285995370374</v>
      </c>
      <c r="B444" s="9">
        <f t="shared" si="49"/>
        <v>45701.285995370366</v>
      </c>
      <c r="C444" s="2">
        <f>Speed!B444</f>
        <v>7.2777777779999999</v>
      </c>
      <c r="D444" s="9">
        <f>Odometer!A444</f>
        <v>45701.28638888889</v>
      </c>
      <c r="E444" s="9">
        <f t="shared" si="50"/>
        <v>45701.28638888889</v>
      </c>
      <c r="F444" s="2">
        <f>Odometer!B444</f>
        <v>428753323</v>
      </c>
      <c r="G444" s="2">
        <f t="shared" si="51"/>
        <v>14</v>
      </c>
      <c r="H444" s="2">
        <f>SUM($G$2:G444)</f>
        <v>3439</v>
      </c>
      <c r="I444" s="10">
        <f t="shared" si="52"/>
        <v>45701.285995370374</v>
      </c>
      <c r="J444" s="10">
        <f t="shared" si="53"/>
        <v>45701.285995370366</v>
      </c>
      <c r="K444" s="3">
        <f t="shared" si="55"/>
        <v>3113</v>
      </c>
      <c r="L444">
        <f t="shared" si="48"/>
        <v>7.2777777779999999</v>
      </c>
      <c r="M444">
        <f t="shared" si="54"/>
        <v>26.200000000799999</v>
      </c>
    </row>
    <row r="445" spans="1:13" x14ac:dyDescent="0.25">
      <c r="A445" s="9">
        <f>Speed!A445</f>
        <v>45701.286006944443</v>
      </c>
      <c r="B445" s="9">
        <f t="shared" si="49"/>
        <v>45701.286006944443</v>
      </c>
      <c r="C445" s="2">
        <f>Speed!B445</f>
        <v>8.1666666669999994</v>
      </c>
      <c r="D445" s="9">
        <f>Odometer!A445</f>
        <v>45701.286400462966</v>
      </c>
      <c r="E445" s="9">
        <f t="shared" si="50"/>
        <v>45701.286400462959</v>
      </c>
      <c r="F445" s="2">
        <f>Odometer!B445</f>
        <v>428753337</v>
      </c>
      <c r="G445" s="2">
        <f t="shared" si="51"/>
        <v>14</v>
      </c>
      <c r="H445" s="2">
        <f>SUM($G$2:G445)</f>
        <v>3453</v>
      </c>
      <c r="I445" s="10">
        <f t="shared" si="52"/>
        <v>45701.286006944443</v>
      </c>
      <c r="J445" s="10">
        <f t="shared" si="53"/>
        <v>45701.286006944443</v>
      </c>
      <c r="K445" s="3">
        <f t="shared" si="55"/>
        <v>3121</v>
      </c>
      <c r="L445">
        <f t="shared" si="48"/>
        <v>8.1666666669999994</v>
      </c>
      <c r="M445">
        <f t="shared" si="54"/>
        <v>29.400000001199999</v>
      </c>
    </row>
    <row r="446" spans="1:13" x14ac:dyDescent="0.25">
      <c r="A446" s="9">
        <f>Speed!A446</f>
        <v>45701.286006944443</v>
      </c>
      <c r="B446" s="9">
        <f t="shared" si="49"/>
        <v>45701.286006944443</v>
      </c>
      <c r="C446" s="2">
        <f>Speed!B446</f>
        <v>8.9972222219999995</v>
      </c>
      <c r="D446" s="9">
        <f>Odometer!A446</f>
        <v>45701.286412037036</v>
      </c>
      <c r="E446" s="9">
        <f t="shared" si="50"/>
        <v>45701.286412037036</v>
      </c>
      <c r="F446" s="2">
        <f>Odometer!B446</f>
        <v>428753351</v>
      </c>
      <c r="G446" s="2">
        <f t="shared" si="51"/>
        <v>15</v>
      </c>
      <c r="H446" s="2">
        <f>SUM($G$2:G446)</f>
        <v>3468</v>
      </c>
      <c r="I446" s="10">
        <f t="shared" si="52"/>
        <v>45701.286006944443</v>
      </c>
      <c r="J446" s="10">
        <f t="shared" si="53"/>
        <v>45701.286006944443</v>
      </c>
      <c r="K446" s="3">
        <f t="shared" si="55"/>
        <v>3121</v>
      </c>
      <c r="L446">
        <f t="shared" si="48"/>
        <v>8.1666666669999994</v>
      </c>
      <c r="M446">
        <f t="shared" si="54"/>
        <v>29.400000001199999</v>
      </c>
    </row>
    <row r="447" spans="1:13" x14ac:dyDescent="0.25">
      <c r="A447" s="9">
        <f>Speed!A447</f>
        <v>45701.28601851852</v>
      </c>
      <c r="B447" s="9">
        <f t="shared" si="49"/>
        <v>45701.286018518513</v>
      </c>
      <c r="C447" s="2">
        <f>Speed!B447</f>
        <v>9.0861111109999992</v>
      </c>
      <c r="D447" s="9">
        <f>Odometer!A447</f>
        <v>45701.286423611113</v>
      </c>
      <c r="E447" s="9">
        <f t="shared" si="50"/>
        <v>45701.286423611105</v>
      </c>
      <c r="F447" s="2">
        <f>Odometer!B447</f>
        <v>428753366</v>
      </c>
      <c r="G447" s="2">
        <f t="shared" si="51"/>
        <v>14</v>
      </c>
      <c r="H447" s="2">
        <f>SUM($G$2:G447)</f>
        <v>3482</v>
      </c>
      <c r="I447" s="10">
        <f t="shared" si="52"/>
        <v>45701.28601851852</v>
      </c>
      <c r="J447" s="10">
        <f t="shared" si="53"/>
        <v>45701.286018518513</v>
      </c>
      <c r="K447" s="3">
        <f t="shared" si="55"/>
        <v>3132</v>
      </c>
      <c r="L447">
        <f t="shared" si="48"/>
        <v>9.0861111109999992</v>
      </c>
      <c r="M447">
        <f t="shared" si="54"/>
        <v>32.709999999600001</v>
      </c>
    </row>
    <row r="448" spans="1:13" x14ac:dyDescent="0.25">
      <c r="A448" s="9">
        <f>Speed!A448</f>
        <v>45701.286030092589</v>
      </c>
      <c r="B448" s="9">
        <f t="shared" si="49"/>
        <v>45701.286030092589</v>
      </c>
      <c r="C448" s="2">
        <f>Speed!B448</f>
        <v>9.3583333329999991</v>
      </c>
      <c r="D448" s="9">
        <f>Odometer!A448</f>
        <v>45701.286435185182</v>
      </c>
      <c r="E448" s="9">
        <f t="shared" si="50"/>
        <v>45701.286435185182</v>
      </c>
      <c r="F448" s="2">
        <f>Odometer!B448</f>
        <v>428753380</v>
      </c>
      <c r="G448" s="2">
        <f t="shared" si="51"/>
        <v>15</v>
      </c>
      <c r="H448" s="2">
        <f>SUM($G$2:G448)</f>
        <v>3497</v>
      </c>
      <c r="I448" s="10">
        <f t="shared" si="52"/>
        <v>45701.286030092589</v>
      </c>
      <c r="J448" s="10">
        <f t="shared" si="53"/>
        <v>45701.286030092589</v>
      </c>
      <c r="K448" s="3">
        <f t="shared" si="55"/>
        <v>3142</v>
      </c>
      <c r="L448">
        <f t="shared" si="48"/>
        <v>9.3583333329999991</v>
      </c>
      <c r="M448">
        <f t="shared" si="54"/>
        <v>33.689999998799998</v>
      </c>
    </row>
    <row r="449" spans="1:13" x14ac:dyDescent="0.25">
      <c r="A449" s="9">
        <f>Speed!A449</f>
        <v>45701.286041666666</v>
      </c>
      <c r="B449" s="9">
        <f t="shared" si="49"/>
        <v>45701.286041666666</v>
      </c>
      <c r="C449" s="2">
        <f>Speed!B449</f>
        <v>9.2805555559999995</v>
      </c>
      <c r="D449" s="9">
        <f>Odometer!A449</f>
        <v>45701.286446759259</v>
      </c>
      <c r="E449" s="9">
        <f t="shared" si="50"/>
        <v>45701.286446759259</v>
      </c>
      <c r="F449" s="2">
        <f>Odometer!B449</f>
        <v>428753395</v>
      </c>
      <c r="G449" s="2">
        <f t="shared" si="51"/>
        <v>7</v>
      </c>
      <c r="H449" s="2">
        <f>SUM($G$2:G449)</f>
        <v>3504</v>
      </c>
      <c r="I449" s="10">
        <f t="shared" si="52"/>
        <v>45701.286041666666</v>
      </c>
      <c r="J449" s="10">
        <f t="shared" si="53"/>
        <v>45701.286041666666</v>
      </c>
      <c r="K449" s="3">
        <f t="shared" si="55"/>
        <v>3149</v>
      </c>
      <c r="L449">
        <f t="shared" si="48"/>
        <v>9.2805555559999995</v>
      </c>
      <c r="M449">
        <f t="shared" si="54"/>
        <v>33.410000001599997</v>
      </c>
    </row>
    <row r="450" spans="1:13" x14ac:dyDescent="0.25">
      <c r="A450" s="9">
        <f>Speed!A450</f>
        <v>45701.286041666666</v>
      </c>
      <c r="B450" s="9">
        <f t="shared" si="49"/>
        <v>45701.286041666666</v>
      </c>
      <c r="C450" s="2">
        <f>Speed!B450</f>
        <v>9.2555555559999991</v>
      </c>
      <c r="D450" s="9">
        <f>Odometer!A450</f>
        <v>45701.286446759259</v>
      </c>
      <c r="E450" s="9">
        <f t="shared" si="50"/>
        <v>45701.286446759259</v>
      </c>
      <c r="F450" s="2">
        <f>Odometer!B450</f>
        <v>428753402</v>
      </c>
      <c r="G450" s="2">
        <f t="shared" si="51"/>
        <v>8</v>
      </c>
      <c r="H450" s="2">
        <f>SUM($G$2:G450)</f>
        <v>3512</v>
      </c>
      <c r="I450" s="10">
        <f t="shared" si="52"/>
        <v>45701.286041666666</v>
      </c>
      <c r="J450" s="10">
        <f t="shared" si="53"/>
        <v>45701.286041666666</v>
      </c>
      <c r="K450" s="3">
        <f t="shared" si="55"/>
        <v>3149</v>
      </c>
      <c r="L450">
        <f t="shared" ref="L450:L513" si="56">INDEX($C$2:$C$2000, MATCH(I450,$A$2:$A$2000,0))</f>
        <v>9.2805555559999995</v>
      </c>
      <c r="M450">
        <f t="shared" si="54"/>
        <v>33.410000001599997</v>
      </c>
    </row>
    <row r="451" spans="1:13" x14ac:dyDescent="0.25">
      <c r="A451" s="9">
        <f>Speed!A451</f>
        <v>45701.286053240743</v>
      </c>
      <c r="B451" s="9">
        <f t="shared" ref="B451:B514" si="57">MROUND(A451,"00:00:01")</f>
        <v>45701.286053240736</v>
      </c>
      <c r="C451" s="2">
        <f>Speed!B451</f>
        <v>9.261111111</v>
      </c>
      <c r="D451" s="9">
        <f>Odometer!A451</f>
        <v>45701.286458333336</v>
      </c>
      <c r="E451" s="9">
        <f t="shared" ref="E451:E514" si="58">MROUND(D451,"00:00:01")</f>
        <v>45701.286458333328</v>
      </c>
      <c r="F451" s="2">
        <f>Odometer!B451</f>
        <v>428753410</v>
      </c>
      <c r="G451" s="2">
        <f t="shared" ref="G451:G514" si="59">IF(F452-F451&lt;0,0,F452-F451)</f>
        <v>15</v>
      </c>
      <c r="H451" s="2">
        <f>SUM($G$2:G451)</f>
        <v>3527</v>
      </c>
      <c r="I451" s="10">
        <f t="shared" ref="I451:I514" si="60">A451</f>
        <v>45701.286053240743</v>
      </c>
      <c r="J451" s="10">
        <f t="shared" ref="J451:J514" si="61">MROUND(I451,"0:00:01")</f>
        <v>45701.286053240736</v>
      </c>
      <c r="K451" s="3">
        <f t="shared" si="55"/>
        <v>3159</v>
      </c>
      <c r="L451">
        <f t="shared" si="56"/>
        <v>9.261111111</v>
      </c>
      <c r="M451">
        <f t="shared" ref="M451:M514" si="62">L451*3.6</f>
        <v>33.339999999600003</v>
      </c>
    </row>
    <row r="452" spans="1:13" x14ac:dyDescent="0.25">
      <c r="A452" s="9">
        <f>Speed!A452</f>
        <v>45701.286053240743</v>
      </c>
      <c r="B452" s="9">
        <f t="shared" si="57"/>
        <v>45701.286053240736</v>
      </c>
      <c r="C452" s="2">
        <f>Speed!B452</f>
        <v>9.2027777779999997</v>
      </c>
      <c r="D452" s="9">
        <f>Odometer!A452</f>
        <v>45701.286469907405</v>
      </c>
      <c r="E452" s="9">
        <f t="shared" si="58"/>
        <v>45701.286469907405</v>
      </c>
      <c r="F452" s="2">
        <f>Odometer!B452</f>
        <v>428753425</v>
      </c>
      <c r="G452" s="2">
        <f t="shared" si="59"/>
        <v>14</v>
      </c>
      <c r="H452" s="2">
        <f>SUM($G$2:G452)</f>
        <v>3541</v>
      </c>
      <c r="I452" s="10">
        <f t="shared" si="60"/>
        <v>45701.286053240743</v>
      </c>
      <c r="J452" s="10">
        <f t="shared" si="61"/>
        <v>45701.286053240736</v>
      </c>
      <c r="K452" s="3">
        <f t="shared" ref="K452:K515" si="63">IFERROR(INDEX($H$2:$H$2000,MATCH(J452,$E$2:$E$2000,0)),NA())</f>
        <v>3159</v>
      </c>
      <c r="L452">
        <f t="shared" si="56"/>
        <v>9.261111111</v>
      </c>
      <c r="M452">
        <f t="shared" si="62"/>
        <v>33.339999999600003</v>
      </c>
    </row>
    <row r="453" spans="1:13" x14ac:dyDescent="0.25">
      <c r="A453" s="9">
        <f>Speed!A453</f>
        <v>45701.286076388889</v>
      </c>
      <c r="B453" s="9">
        <f t="shared" si="57"/>
        <v>45701.286076388889</v>
      </c>
      <c r="C453" s="2">
        <f>Speed!B453</f>
        <v>9.1416666670000009</v>
      </c>
      <c r="D453" s="9">
        <f>Odometer!A453</f>
        <v>45701.286481481482</v>
      </c>
      <c r="E453" s="9">
        <f t="shared" si="58"/>
        <v>45701.286481481482</v>
      </c>
      <c r="F453" s="2">
        <f>Odometer!B453</f>
        <v>428753439</v>
      </c>
      <c r="G453" s="2">
        <f t="shared" si="59"/>
        <v>4</v>
      </c>
      <c r="H453" s="2">
        <f>SUM($G$2:G453)</f>
        <v>3545</v>
      </c>
      <c r="I453" s="10">
        <f t="shared" si="60"/>
        <v>45701.286076388889</v>
      </c>
      <c r="J453" s="10">
        <f t="shared" si="61"/>
        <v>45701.286076388889</v>
      </c>
      <c r="K453" s="3">
        <f t="shared" si="63"/>
        <v>3169</v>
      </c>
      <c r="L453">
        <f t="shared" si="56"/>
        <v>9.1416666670000009</v>
      </c>
      <c r="M453">
        <f t="shared" si="62"/>
        <v>32.910000001200004</v>
      </c>
    </row>
    <row r="454" spans="1:13" x14ac:dyDescent="0.25">
      <c r="A454" s="9">
        <f>Speed!A454</f>
        <v>45701.286076388889</v>
      </c>
      <c r="B454" s="9">
        <f t="shared" si="57"/>
        <v>45701.286076388889</v>
      </c>
      <c r="C454" s="2">
        <f>Speed!B454</f>
        <v>9.125</v>
      </c>
      <c r="D454" s="9">
        <f>Odometer!A454</f>
        <v>45701.286481481482</v>
      </c>
      <c r="E454" s="9">
        <f t="shared" si="58"/>
        <v>45701.286481481482</v>
      </c>
      <c r="F454" s="2">
        <f>Odometer!B454</f>
        <v>428753443</v>
      </c>
      <c r="G454" s="2">
        <f t="shared" si="59"/>
        <v>6</v>
      </c>
      <c r="H454" s="2">
        <f>SUM($G$2:G454)</f>
        <v>3551</v>
      </c>
      <c r="I454" s="10">
        <f t="shared" si="60"/>
        <v>45701.286076388889</v>
      </c>
      <c r="J454" s="10">
        <f t="shared" si="61"/>
        <v>45701.286076388889</v>
      </c>
      <c r="K454" s="3">
        <f t="shared" si="63"/>
        <v>3169</v>
      </c>
      <c r="L454">
        <f t="shared" si="56"/>
        <v>9.1416666670000009</v>
      </c>
      <c r="M454">
        <f t="shared" si="62"/>
        <v>32.910000001200004</v>
      </c>
    </row>
    <row r="455" spans="1:13" x14ac:dyDescent="0.25">
      <c r="A455" s="9">
        <f>Speed!A455</f>
        <v>45701.286087962966</v>
      </c>
      <c r="B455" s="9">
        <f t="shared" si="57"/>
        <v>45701.286087962959</v>
      </c>
      <c r="C455" s="2">
        <f>Speed!B455</f>
        <v>9.1305555559999991</v>
      </c>
      <c r="D455" s="9">
        <f>Odometer!A455</f>
        <v>45701.286481481482</v>
      </c>
      <c r="E455" s="9">
        <f t="shared" si="58"/>
        <v>45701.286481481482</v>
      </c>
      <c r="F455" s="2">
        <f>Odometer!B455</f>
        <v>428753449</v>
      </c>
      <c r="G455" s="2">
        <f t="shared" si="59"/>
        <v>4</v>
      </c>
      <c r="H455" s="2">
        <f>SUM($G$2:G455)</f>
        <v>3555</v>
      </c>
      <c r="I455" s="10">
        <f t="shared" si="60"/>
        <v>45701.286087962966</v>
      </c>
      <c r="J455" s="10">
        <f t="shared" si="61"/>
        <v>45701.286087962959</v>
      </c>
      <c r="K455" s="3">
        <f t="shared" si="63"/>
        <v>3186</v>
      </c>
      <c r="L455">
        <f t="shared" si="56"/>
        <v>9.1305555559999991</v>
      </c>
      <c r="M455">
        <f t="shared" si="62"/>
        <v>32.870000001599998</v>
      </c>
    </row>
    <row r="456" spans="1:13" x14ac:dyDescent="0.25">
      <c r="A456" s="9">
        <f>Speed!A456</f>
        <v>45701.286099537036</v>
      </c>
      <c r="B456" s="9">
        <f t="shared" si="57"/>
        <v>45701.286099537036</v>
      </c>
      <c r="C456" s="2">
        <f>Speed!B456</f>
        <v>9.1611111110000003</v>
      </c>
      <c r="D456" s="9">
        <f>Odometer!A456</f>
        <v>45701.286493055559</v>
      </c>
      <c r="E456" s="9">
        <f t="shared" si="58"/>
        <v>45701.286493055552</v>
      </c>
      <c r="F456" s="2">
        <f>Odometer!B456</f>
        <v>428753453</v>
      </c>
      <c r="G456" s="2">
        <f t="shared" si="59"/>
        <v>1</v>
      </c>
      <c r="H456" s="2">
        <f>SUM($G$2:G456)</f>
        <v>3556</v>
      </c>
      <c r="I456" s="10">
        <f t="shared" si="60"/>
        <v>45701.286099537036</v>
      </c>
      <c r="J456" s="10">
        <f t="shared" si="61"/>
        <v>45701.286099537036</v>
      </c>
      <c r="K456" s="3">
        <f t="shared" si="63"/>
        <v>3187</v>
      </c>
      <c r="L456">
        <f t="shared" si="56"/>
        <v>9.1611111110000003</v>
      </c>
      <c r="M456">
        <f t="shared" si="62"/>
        <v>32.979999999600004</v>
      </c>
    </row>
    <row r="457" spans="1:13" x14ac:dyDescent="0.25">
      <c r="A457" s="9">
        <f>Speed!A457</f>
        <v>45701.286099537036</v>
      </c>
      <c r="B457" s="9">
        <f t="shared" si="57"/>
        <v>45701.286099537036</v>
      </c>
      <c r="C457" s="2">
        <f>Speed!B457</f>
        <v>9.1583333329999999</v>
      </c>
      <c r="D457" s="9">
        <f>Odometer!A457</f>
        <v>45701.286493055559</v>
      </c>
      <c r="E457" s="9">
        <f t="shared" si="58"/>
        <v>45701.286493055552</v>
      </c>
      <c r="F457" s="2">
        <f>Odometer!B457</f>
        <v>428753454</v>
      </c>
      <c r="G457" s="2">
        <f t="shared" si="59"/>
        <v>14</v>
      </c>
      <c r="H457" s="2">
        <f>SUM($G$2:G457)</f>
        <v>3570</v>
      </c>
      <c r="I457" s="10">
        <f t="shared" si="60"/>
        <v>45701.286099537036</v>
      </c>
      <c r="J457" s="10">
        <f t="shared" si="61"/>
        <v>45701.286099537036</v>
      </c>
      <c r="K457" s="3">
        <f t="shared" si="63"/>
        <v>3187</v>
      </c>
      <c r="L457">
        <f t="shared" si="56"/>
        <v>9.1611111110000003</v>
      </c>
      <c r="M457">
        <f t="shared" si="62"/>
        <v>32.979999999600004</v>
      </c>
    </row>
    <row r="458" spans="1:13" x14ac:dyDescent="0.25">
      <c r="A458" s="9">
        <f>Speed!A458</f>
        <v>45701.286111111112</v>
      </c>
      <c r="B458" s="9">
        <f t="shared" si="57"/>
        <v>45701.286111111112</v>
      </c>
      <c r="C458" s="2">
        <f>Speed!B458</f>
        <v>9.1611111110000003</v>
      </c>
      <c r="D458" s="9">
        <f>Odometer!A458</f>
        <v>45701.286504629628</v>
      </c>
      <c r="E458" s="9">
        <f t="shared" si="58"/>
        <v>45701.286504629628</v>
      </c>
      <c r="F458" s="2">
        <f>Odometer!B458</f>
        <v>428753468</v>
      </c>
      <c r="G458" s="2">
        <f t="shared" si="59"/>
        <v>14</v>
      </c>
      <c r="H458" s="2">
        <f>SUM($G$2:G458)</f>
        <v>3584</v>
      </c>
      <c r="I458" s="10">
        <f t="shared" si="60"/>
        <v>45701.286111111112</v>
      </c>
      <c r="J458" s="10">
        <f t="shared" si="61"/>
        <v>45701.286111111112</v>
      </c>
      <c r="K458" s="3">
        <f t="shared" si="63"/>
        <v>3205</v>
      </c>
      <c r="L458">
        <f t="shared" si="56"/>
        <v>9.1611111110000003</v>
      </c>
      <c r="M458">
        <f t="shared" si="62"/>
        <v>32.979999999600004</v>
      </c>
    </row>
    <row r="459" spans="1:13" x14ac:dyDescent="0.25">
      <c r="A459" s="9">
        <f>Speed!A459</f>
        <v>45701.286111111112</v>
      </c>
      <c r="B459" s="9">
        <f t="shared" si="57"/>
        <v>45701.286111111112</v>
      </c>
      <c r="C459" s="2">
        <f>Speed!B459</f>
        <v>9.4194444439999998</v>
      </c>
      <c r="D459" s="9">
        <f>Odometer!A459</f>
        <v>45701.286516203705</v>
      </c>
      <c r="E459" s="9">
        <f t="shared" si="58"/>
        <v>45701.286516203698</v>
      </c>
      <c r="F459" s="2">
        <f>Odometer!B459</f>
        <v>428753482</v>
      </c>
      <c r="G459" s="2">
        <f t="shared" si="59"/>
        <v>14</v>
      </c>
      <c r="H459" s="2">
        <f>SUM($G$2:G459)</f>
        <v>3598</v>
      </c>
      <c r="I459" s="10">
        <f t="shared" si="60"/>
        <v>45701.286111111112</v>
      </c>
      <c r="J459" s="10">
        <f t="shared" si="61"/>
        <v>45701.286111111112</v>
      </c>
      <c r="K459" s="3">
        <f t="shared" si="63"/>
        <v>3205</v>
      </c>
      <c r="L459">
        <f t="shared" si="56"/>
        <v>9.1611111110000003</v>
      </c>
      <c r="M459">
        <f t="shared" si="62"/>
        <v>32.979999999600004</v>
      </c>
    </row>
    <row r="460" spans="1:13" x14ac:dyDescent="0.25">
      <c r="A460" s="9">
        <f>Speed!A460</f>
        <v>45701.286134259259</v>
      </c>
      <c r="B460" s="9">
        <f t="shared" si="57"/>
        <v>45701.286134259259</v>
      </c>
      <c r="C460" s="2">
        <f>Speed!B460</f>
        <v>9.4777777780000001</v>
      </c>
      <c r="D460" s="9">
        <f>Odometer!A460</f>
        <v>45701.286527777775</v>
      </c>
      <c r="E460" s="9">
        <f t="shared" si="58"/>
        <v>45701.286527777775</v>
      </c>
      <c r="F460" s="2">
        <f>Odometer!B460</f>
        <v>428753496</v>
      </c>
      <c r="G460" s="2">
        <f t="shared" si="59"/>
        <v>12</v>
      </c>
      <c r="H460" s="2">
        <f>SUM($G$2:G460)</f>
        <v>3610</v>
      </c>
      <c r="I460" s="10">
        <f t="shared" si="60"/>
        <v>45701.286134259259</v>
      </c>
      <c r="J460" s="10">
        <f t="shared" si="61"/>
        <v>45701.286134259259</v>
      </c>
      <c r="K460" s="3">
        <f t="shared" si="63"/>
        <v>3224</v>
      </c>
      <c r="L460">
        <f t="shared" si="56"/>
        <v>9.4777777780000001</v>
      </c>
      <c r="M460">
        <f t="shared" si="62"/>
        <v>34.120000000800005</v>
      </c>
    </row>
    <row r="461" spans="1:13" x14ac:dyDescent="0.25">
      <c r="A461" s="9">
        <f>Speed!A461</f>
        <v>45701.286134259259</v>
      </c>
      <c r="B461" s="9">
        <f t="shared" si="57"/>
        <v>45701.286134259259</v>
      </c>
      <c r="C461" s="2">
        <f>Speed!B461</f>
        <v>9.4833333329999991</v>
      </c>
      <c r="D461" s="9">
        <f>Odometer!A461</f>
        <v>45701.286527777775</v>
      </c>
      <c r="E461" s="9">
        <f t="shared" si="58"/>
        <v>45701.286527777775</v>
      </c>
      <c r="F461" s="2">
        <f>Odometer!B461</f>
        <v>428753508</v>
      </c>
      <c r="G461" s="2">
        <f t="shared" si="59"/>
        <v>12</v>
      </c>
      <c r="H461" s="2">
        <f>SUM($G$2:G461)</f>
        <v>3622</v>
      </c>
      <c r="I461" s="10">
        <f t="shared" si="60"/>
        <v>45701.286134259259</v>
      </c>
      <c r="J461" s="10">
        <f t="shared" si="61"/>
        <v>45701.286134259259</v>
      </c>
      <c r="K461" s="3">
        <f t="shared" si="63"/>
        <v>3224</v>
      </c>
      <c r="L461">
        <f t="shared" si="56"/>
        <v>9.4777777780000001</v>
      </c>
      <c r="M461">
        <f t="shared" si="62"/>
        <v>34.120000000800005</v>
      </c>
    </row>
    <row r="462" spans="1:13" x14ac:dyDescent="0.25">
      <c r="A462" s="9">
        <f>Speed!A462</f>
        <v>45701.286157407405</v>
      </c>
      <c r="B462" s="9">
        <f t="shared" si="57"/>
        <v>45701.286157407405</v>
      </c>
      <c r="C462" s="2">
        <f>Speed!B462</f>
        <v>9.4194444439999998</v>
      </c>
      <c r="D462" s="9">
        <f>Odometer!A462</f>
        <v>45701.286550925928</v>
      </c>
      <c r="E462" s="9">
        <f t="shared" si="58"/>
        <v>45701.286550925921</v>
      </c>
      <c r="F462" s="2">
        <f>Odometer!B462</f>
        <v>428753520</v>
      </c>
      <c r="G462" s="2">
        <f t="shared" si="59"/>
        <v>13</v>
      </c>
      <c r="H462" s="2">
        <f>SUM($G$2:G462)</f>
        <v>3635</v>
      </c>
      <c r="I462" s="10">
        <f t="shared" si="60"/>
        <v>45701.286157407405</v>
      </c>
      <c r="J462" s="10">
        <f t="shared" si="61"/>
        <v>45701.286157407405</v>
      </c>
      <c r="K462" s="3">
        <f t="shared" si="63"/>
        <v>3242</v>
      </c>
      <c r="L462">
        <f t="shared" si="56"/>
        <v>9.4194444439999998</v>
      </c>
      <c r="M462">
        <f t="shared" si="62"/>
        <v>33.909999998400004</v>
      </c>
    </row>
    <row r="463" spans="1:13" x14ac:dyDescent="0.25">
      <c r="A463" s="9">
        <f>Speed!A463</f>
        <v>45701.286168981482</v>
      </c>
      <c r="B463" s="9">
        <f t="shared" si="57"/>
        <v>45701.286168981482</v>
      </c>
      <c r="C463" s="2">
        <f>Speed!B463</f>
        <v>9.4277777779999994</v>
      </c>
      <c r="D463" s="9">
        <f>Odometer!A463</f>
        <v>45701.286562499998</v>
      </c>
      <c r="E463" s="9">
        <f t="shared" si="58"/>
        <v>45701.286562499998</v>
      </c>
      <c r="F463" s="2">
        <f>Odometer!B463</f>
        <v>428753533</v>
      </c>
      <c r="G463" s="2">
        <f t="shared" si="59"/>
        <v>11</v>
      </c>
      <c r="H463" s="2">
        <f>SUM($G$2:G463)</f>
        <v>3646</v>
      </c>
      <c r="I463" s="10">
        <f t="shared" si="60"/>
        <v>45701.286168981482</v>
      </c>
      <c r="J463" s="10">
        <f t="shared" si="61"/>
        <v>45701.286168981482</v>
      </c>
      <c r="K463" s="3">
        <f t="shared" si="63"/>
        <v>3252</v>
      </c>
      <c r="L463">
        <f t="shared" si="56"/>
        <v>9.4277777779999994</v>
      </c>
      <c r="M463">
        <f t="shared" si="62"/>
        <v>33.940000000799998</v>
      </c>
    </row>
    <row r="464" spans="1:13" x14ac:dyDescent="0.25">
      <c r="A464" s="9">
        <f>Speed!A464</f>
        <v>45701.286180555559</v>
      </c>
      <c r="B464" s="9">
        <f t="shared" si="57"/>
        <v>45701.286180555551</v>
      </c>
      <c r="C464" s="2">
        <f>Speed!B464</f>
        <v>9.2527777780000005</v>
      </c>
      <c r="D464" s="9">
        <f>Odometer!A464</f>
        <v>45701.286562499998</v>
      </c>
      <c r="E464" s="9">
        <f t="shared" si="58"/>
        <v>45701.286562499998</v>
      </c>
      <c r="F464" s="2">
        <f>Odometer!B464</f>
        <v>428753544</v>
      </c>
      <c r="G464" s="2">
        <f t="shared" si="59"/>
        <v>11</v>
      </c>
      <c r="H464" s="2">
        <f>SUM($G$2:G464)</f>
        <v>3657</v>
      </c>
      <c r="I464" s="10">
        <f t="shared" si="60"/>
        <v>45701.286180555559</v>
      </c>
      <c r="J464" s="10">
        <f t="shared" si="61"/>
        <v>45701.286180555551</v>
      </c>
      <c r="K464" s="3">
        <f t="shared" si="63"/>
        <v>3261</v>
      </c>
      <c r="L464">
        <f t="shared" si="56"/>
        <v>9.2527777780000005</v>
      </c>
      <c r="M464">
        <f t="shared" si="62"/>
        <v>33.310000000800002</v>
      </c>
    </row>
    <row r="465" spans="1:13" x14ac:dyDescent="0.25">
      <c r="A465" s="9">
        <f>Speed!A465</f>
        <v>45701.286192129628</v>
      </c>
      <c r="B465" s="9">
        <f t="shared" si="57"/>
        <v>45701.286192129628</v>
      </c>
      <c r="C465" s="2">
        <f>Speed!B465</f>
        <v>9.1444444439999995</v>
      </c>
      <c r="D465" s="9">
        <f>Odometer!A465</f>
        <v>45701.286585648151</v>
      </c>
      <c r="E465" s="9">
        <f t="shared" si="58"/>
        <v>45701.286585648144</v>
      </c>
      <c r="F465" s="2">
        <f>Odometer!B465</f>
        <v>428753555</v>
      </c>
      <c r="G465" s="2">
        <f t="shared" si="59"/>
        <v>8</v>
      </c>
      <c r="H465" s="2">
        <f>SUM($G$2:G465)</f>
        <v>3665</v>
      </c>
      <c r="I465" s="10">
        <f t="shared" si="60"/>
        <v>45701.286192129628</v>
      </c>
      <c r="J465" s="10">
        <f t="shared" si="61"/>
        <v>45701.286192129628</v>
      </c>
      <c r="K465" s="3">
        <f t="shared" si="63"/>
        <v>3271</v>
      </c>
      <c r="L465">
        <f t="shared" si="56"/>
        <v>9.1444444439999995</v>
      </c>
      <c r="M465">
        <f t="shared" si="62"/>
        <v>32.919999998400002</v>
      </c>
    </row>
    <row r="466" spans="1:13" x14ac:dyDescent="0.25">
      <c r="A466" s="9">
        <f>Speed!A466</f>
        <v>45701.286203703705</v>
      </c>
      <c r="B466" s="9">
        <f t="shared" si="57"/>
        <v>45701.286203703705</v>
      </c>
      <c r="C466" s="2">
        <f>Speed!B466</f>
        <v>9.0472222220000003</v>
      </c>
      <c r="D466" s="9">
        <f>Odometer!A466</f>
        <v>45701.286585648151</v>
      </c>
      <c r="E466" s="9">
        <f t="shared" si="58"/>
        <v>45701.286585648144</v>
      </c>
      <c r="F466" s="2">
        <f>Odometer!B466</f>
        <v>428753563</v>
      </c>
      <c r="G466" s="2">
        <f t="shared" si="59"/>
        <v>10</v>
      </c>
      <c r="H466" s="2">
        <f>SUM($G$2:G466)</f>
        <v>3675</v>
      </c>
      <c r="I466" s="10">
        <f t="shared" si="60"/>
        <v>45701.286203703705</v>
      </c>
      <c r="J466" s="10">
        <f t="shared" si="61"/>
        <v>45701.286203703705</v>
      </c>
      <c r="K466" s="3">
        <f t="shared" si="63"/>
        <v>3279</v>
      </c>
      <c r="L466">
        <f t="shared" si="56"/>
        <v>9.0472222220000003</v>
      </c>
      <c r="M466">
        <f t="shared" si="62"/>
        <v>32.5699999992</v>
      </c>
    </row>
    <row r="467" spans="1:13" x14ac:dyDescent="0.25">
      <c r="A467" s="9">
        <f>Speed!A467</f>
        <v>45701.286215277774</v>
      </c>
      <c r="B467" s="9">
        <f t="shared" si="57"/>
        <v>45701.286215277774</v>
      </c>
      <c r="C467" s="2">
        <f>Speed!B467</f>
        <v>8.9527777779999997</v>
      </c>
      <c r="D467" s="9">
        <f>Odometer!A467</f>
        <v>45701.286608796298</v>
      </c>
      <c r="E467" s="9">
        <f t="shared" si="58"/>
        <v>45701.286608796298</v>
      </c>
      <c r="F467" s="2">
        <f>Odometer!B467</f>
        <v>428753573</v>
      </c>
      <c r="G467" s="2">
        <f t="shared" si="59"/>
        <v>7</v>
      </c>
      <c r="H467" s="2">
        <f>SUM($G$2:G467)</f>
        <v>3682</v>
      </c>
      <c r="I467" s="10">
        <f t="shared" si="60"/>
        <v>45701.286215277774</v>
      </c>
      <c r="J467" s="10">
        <f t="shared" si="61"/>
        <v>45701.286215277774</v>
      </c>
      <c r="K467" s="3">
        <f t="shared" si="63"/>
        <v>3288</v>
      </c>
      <c r="L467">
        <f t="shared" si="56"/>
        <v>8.9527777779999997</v>
      </c>
      <c r="M467">
        <f t="shared" si="62"/>
        <v>32.230000000799997</v>
      </c>
    </row>
    <row r="468" spans="1:13" x14ac:dyDescent="0.25">
      <c r="A468" s="9">
        <f>Speed!A468</f>
        <v>45701.286226851851</v>
      </c>
      <c r="B468" s="9">
        <f t="shared" si="57"/>
        <v>45701.286226851851</v>
      </c>
      <c r="C468" s="2">
        <f>Speed!B468</f>
        <v>8.9694444440000005</v>
      </c>
      <c r="D468" s="9">
        <f>Odometer!A468</f>
        <v>45701.286620370367</v>
      </c>
      <c r="E468" s="9">
        <f t="shared" si="58"/>
        <v>45701.286620370367</v>
      </c>
      <c r="F468" s="2">
        <f>Odometer!B468</f>
        <v>428753580</v>
      </c>
      <c r="G468" s="2">
        <f t="shared" si="59"/>
        <v>7</v>
      </c>
      <c r="H468" s="2">
        <f>SUM($G$2:G468)</f>
        <v>3689</v>
      </c>
      <c r="I468" s="10">
        <f t="shared" si="60"/>
        <v>45701.286226851851</v>
      </c>
      <c r="J468" s="10">
        <f t="shared" si="61"/>
        <v>45701.286226851851</v>
      </c>
      <c r="K468" s="3">
        <f t="shared" si="63"/>
        <v>3297</v>
      </c>
      <c r="L468">
        <f t="shared" si="56"/>
        <v>8.9694444440000005</v>
      </c>
      <c r="M468">
        <f t="shared" si="62"/>
        <v>32.289999998400006</v>
      </c>
    </row>
    <row r="469" spans="1:13" x14ac:dyDescent="0.25">
      <c r="A469" s="9">
        <f>Speed!A469</f>
        <v>45701.286238425928</v>
      </c>
      <c r="B469" s="9">
        <f t="shared" si="57"/>
        <v>45701.286238425921</v>
      </c>
      <c r="C469" s="2">
        <f>Speed!B469</f>
        <v>8.9666666670000001</v>
      </c>
      <c r="D469" s="9">
        <f>Odometer!A469</f>
        <v>45701.286631944444</v>
      </c>
      <c r="E469" s="9">
        <f t="shared" si="58"/>
        <v>45701.286631944444</v>
      </c>
      <c r="F469" s="2">
        <f>Odometer!B469</f>
        <v>428753587</v>
      </c>
      <c r="G469" s="2">
        <f t="shared" si="59"/>
        <v>7</v>
      </c>
      <c r="H469" s="2">
        <f>SUM($G$2:G469)</f>
        <v>3696</v>
      </c>
      <c r="I469" s="10">
        <f t="shared" si="60"/>
        <v>45701.286238425928</v>
      </c>
      <c r="J469" s="10">
        <f t="shared" si="61"/>
        <v>45701.286238425921</v>
      </c>
      <c r="K469" s="3">
        <f t="shared" si="63"/>
        <v>3306</v>
      </c>
      <c r="L469">
        <f t="shared" si="56"/>
        <v>8.9666666670000001</v>
      </c>
      <c r="M469">
        <f t="shared" si="62"/>
        <v>32.280000001200001</v>
      </c>
    </row>
    <row r="470" spans="1:13" x14ac:dyDescent="0.25">
      <c r="A470" s="9">
        <f>Speed!A470</f>
        <v>45701.286249999997</v>
      </c>
      <c r="B470" s="9">
        <f t="shared" si="57"/>
        <v>45701.286249999997</v>
      </c>
      <c r="C470" s="2">
        <f>Speed!B470</f>
        <v>8.9194444439999998</v>
      </c>
      <c r="D470" s="9">
        <f>Odometer!A470</f>
        <v>45701.286643518521</v>
      </c>
      <c r="E470" s="9">
        <f t="shared" si="58"/>
        <v>45701.286643518513</v>
      </c>
      <c r="F470" s="2">
        <f>Odometer!B470</f>
        <v>428753594</v>
      </c>
      <c r="G470" s="2">
        <f t="shared" si="59"/>
        <v>6</v>
      </c>
      <c r="H470" s="2">
        <f>SUM($G$2:G470)</f>
        <v>3702</v>
      </c>
      <c r="I470" s="10">
        <f t="shared" si="60"/>
        <v>45701.286249999997</v>
      </c>
      <c r="J470" s="10">
        <f t="shared" si="61"/>
        <v>45701.286249999997</v>
      </c>
      <c r="K470" s="3">
        <f t="shared" si="63"/>
        <v>3315</v>
      </c>
      <c r="L470">
        <f t="shared" si="56"/>
        <v>8.9194444439999998</v>
      </c>
      <c r="M470">
        <f t="shared" si="62"/>
        <v>32.109999998399999</v>
      </c>
    </row>
    <row r="471" spans="1:13" x14ac:dyDescent="0.25">
      <c r="A471" s="9">
        <f>Speed!A471</f>
        <v>45701.286261574074</v>
      </c>
      <c r="B471" s="9">
        <f t="shared" si="57"/>
        <v>45701.286261574074</v>
      </c>
      <c r="C471" s="2">
        <f>Speed!B471</f>
        <v>8.9138888890000008</v>
      </c>
      <c r="D471" s="9">
        <f>Odometer!A471</f>
        <v>45701.28665509259</v>
      </c>
      <c r="E471" s="9">
        <f t="shared" si="58"/>
        <v>45701.28665509259</v>
      </c>
      <c r="F471" s="2">
        <f>Odometer!B471</f>
        <v>428753600</v>
      </c>
      <c r="G471" s="2">
        <f t="shared" si="59"/>
        <v>6</v>
      </c>
      <c r="H471" s="2">
        <f>SUM($G$2:G471)</f>
        <v>3708</v>
      </c>
      <c r="I471" s="10">
        <f t="shared" si="60"/>
        <v>45701.286261574074</v>
      </c>
      <c r="J471" s="10">
        <f t="shared" si="61"/>
        <v>45701.286261574074</v>
      </c>
      <c r="K471" s="3">
        <f t="shared" si="63"/>
        <v>3324</v>
      </c>
      <c r="L471">
        <f t="shared" si="56"/>
        <v>8.9138888890000008</v>
      </c>
      <c r="M471">
        <f t="shared" si="62"/>
        <v>32.090000000400003</v>
      </c>
    </row>
    <row r="472" spans="1:13" x14ac:dyDescent="0.25">
      <c r="A472" s="9">
        <f>Speed!A472</f>
        <v>45701.286273148151</v>
      </c>
      <c r="B472" s="9">
        <f t="shared" si="57"/>
        <v>45701.286273148144</v>
      </c>
      <c r="C472" s="2">
        <f>Speed!B472</f>
        <v>8.9444444440000002</v>
      </c>
      <c r="D472" s="9">
        <f>Odometer!A472</f>
        <v>45701.286666666667</v>
      </c>
      <c r="E472" s="9">
        <f t="shared" si="58"/>
        <v>45701.286666666667</v>
      </c>
      <c r="F472" s="2">
        <f>Odometer!B472</f>
        <v>428753606</v>
      </c>
      <c r="G472" s="2">
        <f t="shared" si="59"/>
        <v>5</v>
      </c>
      <c r="H472" s="2">
        <f>SUM($G$2:G472)</f>
        <v>3713</v>
      </c>
      <c r="I472" s="10">
        <f t="shared" si="60"/>
        <v>45701.286273148151</v>
      </c>
      <c r="J472" s="10">
        <f t="shared" si="61"/>
        <v>45701.286273148144</v>
      </c>
      <c r="K472" s="3">
        <f t="shared" si="63"/>
        <v>3333</v>
      </c>
      <c r="L472">
        <f t="shared" si="56"/>
        <v>8.9444444440000002</v>
      </c>
      <c r="M472">
        <f t="shared" si="62"/>
        <v>32.199999998400003</v>
      </c>
    </row>
    <row r="473" spans="1:13" x14ac:dyDescent="0.25">
      <c r="A473" s="9">
        <f>Speed!A473</f>
        <v>45701.28628472222</v>
      </c>
      <c r="B473" s="9">
        <f t="shared" si="57"/>
        <v>45701.28628472222</v>
      </c>
      <c r="C473" s="2">
        <f>Speed!B473</f>
        <v>8.9833333329999991</v>
      </c>
      <c r="D473" s="9">
        <f>Odometer!A473</f>
        <v>45701.286666666667</v>
      </c>
      <c r="E473" s="9">
        <f t="shared" si="58"/>
        <v>45701.286666666667</v>
      </c>
      <c r="F473" s="2">
        <f>Odometer!B473</f>
        <v>428753611</v>
      </c>
      <c r="G473" s="2">
        <f t="shared" si="59"/>
        <v>5</v>
      </c>
      <c r="H473" s="2">
        <f>SUM($G$2:G473)</f>
        <v>3718</v>
      </c>
      <c r="I473" s="10">
        <f t="shared" si="60"/>
        <v>45701.28628472222</v>
      </c>
      <c r="J473" s="10">
        <f t="shared" si="61"/>
        <v>45701.28628472222</v>
      </c>
      <c r="K473" s="3">
        <f t="shared" si="63"/>
        <v>3342</v>
      </c>
      <c r="L473">
        <f t="shared" si="56"/>
        <v>8.9833333329999991</v>
      </c>
      <c r="M473">
        <f t="shared" si="62"/>
        <v>32.339999998799996</v>
      </c>
    </row>
    <row r="474" spans="1:13" x14ac:dyDescent="0.25">
      <c r="A474" s="9">
        <f>Speed!A474</f>
        <v>45701.286296296297</v>
      </c>
      <c r="B474" s="9">
        <f t="shared" si="57"/>
        <v>45701.286296296297</v>
      </c>
      <c r="C474" s="2">
        <f>Speed!B474</f>
        <v>9.0250000000000004</v>
      </c>
      <c r="D474" s="9">
        <f>Odometer!A474</f>
        <v>45701.286689814813</v>
      </c>
      <c r="E474" s="9">
        <f t="shared" si="58"/>
        <v>45701.286689814813</v>
      </c>
      <c r="F474" s="2">
        <f>Odometer!B474</f>
        <v>428753616</v>
      </c>
      <c r="G474" s="2">
        <f t="shared" si="59"/>
        <v>4</v>
      </c>
      <c r="H474" s="2">
        <f>SUM($G$2:G474)</f>
        <v>3722</v>
      </c>
      <c r="I474" s="10">
        <f t="shared" si="60"/>
        <v>45701.286296296297</v>
      </c>
      <c r="J474" s="10">
        <f t="shared" si="61"/>
        <v>45701.286296296297</v>
      </c>
      <c r="K474" s="3">
        <f t="shared" si="63"/>
        <v>3351</v>
      </c>
      <c r="L474">
        <f t="shared" si="56"/>
        <v>9.0250000000000004</v>
      </c>
      <c r="M474">
        <f t="shared" si="62"/>
        <v>32.49</v>
      </c>
    </row>
    <row r="475" spans="1:13" x14ac:dyDescent="0.25">
      <c r="A475" s="9">
        <f>Speed!A475</f>
        <v>45701.286307870374</v>
      </c>
      <c r="B475" s="9">
        <f t="shared" si="57"/>
        <v>45701.286307870367</v>
      </c>
      <c r="C475" s="2">
        <f>Speed!B475</f>
        <v>9.1027777780000001</v>
      </c>
      <c r="D475" s="9">
        <f>Odometer!A475</f>
        <v>45701.28670138889</v>
      </c>
      <c r="E475" s="9">
        <f t="shared" si="58"/>
        <v>45701.28670138889</v>
      </c>
      <c r="F475" s="2">
        <f>Odometer!B475</f>
        <v>428753620</v>
      </c>
      <c r="G475" s="2">
        <f t="shared" si="59"/>
        <v>3</v>
      </c>
      <c r="H475" s="2">
        <f>SUM($G$2:G475)</f>
        <v>3725</v>
      </c>
      <c r="I475" s="10">
        <f t="shared" si="60"/>
        <v>45701.286307870374</v>
      </c>
      <c r="J475" s="10">
        <f t="shared" si="61"/>
        <v>45701.286307870367</v>
      </c>
      <c r="K475" s="3">
        <f t="shared" si="63"/>
        <v>3360</v>
      </c>
      <c r="L475">
        <f t="shared" si="56"/>
        <v>9.1027777780000001</v>
      </c>
      <c r="M475">
        <f t="shared" si="62"/>
        <v>32.770000000800003</v>
      </c>
    </row>
    <row r="476" spans="1:13" x14ac:dyDescent="0.25">
      <c r="A476" s="9">
        <f>Speed!A476</f>
        <v>45701.286319444444</v>
      </c>
      <c r="B476" s="9">
        <f t="shared" si="57"/>
        <v>45701.286319444444</v>
      </c>
      <c r="C476" s="2">
        <f>Speed!B476</f>
        <v>9.2138888889999997</v>
      </c>
      <c r="D476" s="9">
        <f>Odometer!A476</f>
        <v>45701.286712962959</v>
      </c>
      <c r="E476" s="9">
        <f t="shared" si="58"/>
        <v>45701.286712962959</v>
      </c>
      <c r="F476" s="2">
        <f>Odometer!B476</f>
        <v>428753623</v>
      </c>
      <c r="G476" s="2">
        <f t="shared" si="59"/>
        <v>2</v>
      </c>
      <c r="H476" s="2">
        <f>SUM($G$2:G476)</f>
        <v>3727</v>
      </c>
      <c r="I476" s="10">
        <f t="shared" si="60"/>
        <v>45701.286319444444</v>
      </c>
      <c r="J476" s="10">
        <f t="shared" si="61"/>
        <v>45701.286319444444</v>
      </c>
      <c r="K476" s="3">
        <f t="shared" si="63"/>
        <v>3370</v>
      </c>
      <c r="L476">
        <f t="shared" si="56"/>
        <v>9.2138888889999997</v>
      </c>
      <c r="M476">
        <f t="shared" si="62"/>
        <v>33.170000000400002</v>
      </c>
    </row>
    <row r="477" spans="1:13" x14ac:dyDescent="0.25">
      <c r="A477" s="9">
        <f>Speed!A477</f>
        <v>45701.28633101852</v>
      </c>
      <c r="B477" s="9">
        <f t="shared" si="57"/>
        <v>45701.286331018513</v>
      </c>
      <c r="C477" s="2">
        <f>Speed!B477</f>
        <v>9.2833333329999999</v>
      </c>
      <c r="D477" s="9">
        <f>Odometer!A477</f>
        <v>45701.286724537036</v>
      </c>
      <c r="E477" s="9">
        <f t="shared" si="58"/>
        <v>45701.286724537036</v>
      </c>
      <c r="F477" s="2">
        <f>Odometer!B477</f>
        <v>428753625</v>
      </c>
      <c r="G477" s="2">
        <f t="shared" si="59"/>
        <v>2</v>
      </c>
      <c r="H477" s="2">
        <f>SUM($G$2:G477)</f>
        <v>3729</v>
      </c>
      <c r="I477" s="10">
        <f t="shared" si="60"/>
        <v>45701.28633101852</v>
      </c>
      <c r="J477" s="10">
        <f t="shared" si="61"/>
        <v>45701.286331018513</v>
      </c>
      <c r="K477" s="3">
        <f t="shared" si="63"/>
        <v>3379</v>
      </c>
      <c r="L477">
        <f t="shared" si="56"/>
        <v>9.2833333329999999</v>
      </c>
      <c r="M477">
        <f t="shared" si="62"/>
        <v>33.419999998800002</v>
      </c>
    </row>
    <row r="478" spans="1:13" x14ac:dyDescent="0.25">
      <c r="A478" s="9">
        <f>Speed!A478</f>
        <v>45701.28634259259</v>
      </c>
      <c r="B478" s="9">
        <f t="shared" si="57"/>
        <v>45701.28634259259</v>
      </c>
      <c r="C478" s="2">
        <f>Speed!B478</f>
        <v>9.4222222220000003</v>
      </c>
      <c r="D478" s="9">
        <f>Odometer!A478</f>
        <v>45701.286736111113</v>
      </c>
      <c r="E478" s="9">
        <f t="shared" si="58"/>
        <v>45701.286736111106</v>
      </c>
      <c r="F478" s="2">
        <f>Odometer!B478</f>
        <v>428753627</v>
      </c>
      <c r="G478" s="2">
        <f t="shared" si="59"/>
        <v>1</v>
      </c>
      <c r="H478" s="2">
        <f>SUM($G$2:G478)</f>
        <v>3730</v>
      </c>
      <c r="I478" s="10">
        <f t="shared" si="60"/>
        <v>45701.28634259259</v>
      </c>
      <c r="J478" s="10">
        <f t="shared" si="61"/>
        <v>45701.28634259259</v>
      </c>
      <c r="K478" s="3">
        <f t="shared" si="63"/>
        <v>3388</v>
      </c>
      <c r="L478">
        <f t="shared" si="56"/>
        <v>9.4222222220000003</v>
      </c>
      <c r="M478">
        <f t="shared" si="62"/>
        <v>33.919999999200002</v>
      </c>
    </row>
    <row r="479" spans="1:13" x14ac:dyDescent="0.25">
      <c r="A479" s="9">
        <f>Speed!A479</f>
        <v>45701.28634259259</v>
      </c>
      <c r="B479" s="9">
        <f t="shared" si="57"/>
        <v>45701.28634259259</v>
      </c>
      <c r="C479" s="2">
        <f>Speed!B479</f>
        <v>10.07222222</v>
      </c>
      <c r="D479" s="9">
        <f>Odometer!A479</f>
        <v>45701.286759259259</v>
      </c>
      <c r="E479" s="9">
        <f t="shared" si="58"/>
        <v>45701.286759259259</v>
      </c>
      <c r="F479" s="2">
        <f>Odometer!B479</f>
        <v>428753628</v>
      </c>
      <c r="G479" s="2">
        <f t="shared" si="59"/>
        <v>1</v>
      </c>
      <c r="H479" s="2">
        <f>SUM($G$2:G479)</f>
        <v>3731</v>
      </c>
      <c r="I479" s="10">
        <f t="shared" si="60"/>
        <v>45701.28634259259</v>
      </c>
      <c r="J479" s="10">
        <f t="shared" si="61"/>
        <v>45701.28634259259</v>
      </c>
      <c r="K479" s="3">
        <f t="shared" si="63"/>
        <v>3388</v>
      </c>
      <c r="L479">
        <f t="shared" si="56"/>
        <v>9.4222222220000003</v>
      </c>
      <c r="M479">
        <f t="shared" si="62"/>
        <v>33.919999999200002</v>
      </c>
    </row>
    <row r="480" spans="1:13" x14ac:dyDescent="0.25">
      <c r="A480" s="9">
        <f>Speed!A480</f>
        <v>45701.286365740743</v>
      </c>
      <c r="B480" s="9">
        <f t="shared" si="57"/>
        <v>45701.286365740736</v>
      </c>
      <c r="C480" s="2">
        <f>Speed!B480</f>
        <v>11.380555559999999</v>
      </c>
      <c r="D480" s="9">
        <f>Odometer!A480</f>
        <v>45701.28701388889</v>
      </c>
      <c r="E480" s="9">
        <f t="shared" si="58"/>
        <v>45701.28701388889</v>
      </c>
      <c r="F480" s="2">
        <f>Odometer!B480</f>
        <v>428753629</v>
      </c>
      <c r="G480" s="2">
        <f t="shared" si="59"/>
        <v>2</v>
      </c>
      <c r="H480" s="2">
        <f>SUM($G$2:G480)</f>
        <v>3733</v>
      </c>
      <c r="I480" s="10">
        <f t="shared" si="60"/>
        <v>45701.286365740743</v>
      </c>
      <c r="J480" s="10">
        <f t="shared" si="61"/>
        <v>45701.286365740736</v>
      </c>
      <c r="K480" s="3">
        <f t="shared" si="63"/>
        <v>3411</v>
      </c>
      <c r="L480">
        <f t="shared" si="56"/>
        <v>11.380555559999999</v>
      </c>
      <c r="M480">
        <f t="shared" si="62"/>
        <v>40.970000016</v>
      </c>
    </row>
    <row r="481" spans="1:13" x14ac:dyDescent="0.25">
      <c r="A481" s="9">
        <f>Speed!A481</f>
        <v>45701.286377314813</v>
      </c>
      <c r="B481" s="9">
        <f t="shared" si="57"/>
        <v>45701.286377314813</v>
      </c>
      <c r="C481" s="2">
        <f>Speed!B481</f>
        <v>12.61111111</v>
      </c>
      <c r="D481" s="9">
        <f>Odometer!A481</f>
        <v>45701.28701388889</v>
      </c>
      <c r="E481" s="9">
        <f t="shared" si="58"/>
        <v>45701.28701388889</v>
      </c>
      <c r="F481" s="2">
        <f>Odometer!B481</f>
        <v>428753631</v>
      </c>
      <c r="G481" s="2">
        <f t="shared" si="59"/>
        <v>3</v>
      </c>
      <c r="H481" s="2">
        <f>SUM($G$2:G481)</f>
        <v>3736</v>
      </c>
      <c r="I481" s="10">
        <f t="shared" si="60"/>
        <v>45701.286377314813</v>
      </c>
      <c r="J481" s="10">
        <f t="shared" si="61"/>
        <v>45701.286377314813</v>
      </c>
      <c r="K481" s="3">
        <f t="shared" si="63"/>
        <v>3420</v>
      </c>
      <c r="L481">
        <f t="shared" si="56"/>
        <v>12.61111111</v>
      </c>
      <c r="M481">
        <f t="shared" si="62"/>
        <v>45.399999995999998</v>
      </c>
    </row>
    <row r="482" spans="1:13" x14ac:dyDescent="0.25">
      <c r="A482" s="9">
        <f>Speed!A482</f>
        <v>45701.28638888889</v>
      </c>
      <c r="B482" s="9">
        <f t="shared" si="57"/>
        <v>45701.28638888889</v>
      </c>
      <c r="C482" s="2">
        <f>Speed!B482</f>
        <v>13.25</v>
      </c>
      <c r="D482" s="9">
        <f>Odometer!A482</f>
        <v>45701.287037037036</v>
      </c>
      <c r="E482" s="9">
        <f t="shared" si="58"/>
        <v>45701.287037037036</v>
      </c>
      <c r="F482" s="2">
        <f>Odometer!B482</f>
        <v>428753634</v>
      </c>
      <c r="G482" s="2">
        <f t="shared" si="59"/>
        <v>5</v>
      </c>
      <c r="H482" s="2">
        <f>SUM($G$2:G482)</f>
        <v>3741</v>
      </c>
      <c r="I482" s="10">
        <f t="shared" si="60"/>
        <v>45701.28638888889</v>
      </c>
      <c r="J482" s="10">
        <f t="shared" si="61"/>
        <v>45701.28638888889</v>
      </c>
      <c r="K482" s="3">
        <f t="shared" si="63"/>
        <v>3425</v>
      </c>
      <c r="L482">
        <f t="shared" si="56"/>
        <v>13.25</v>
      </c>
      <c r="M482">
        <f t="shared" si="62"/>
        <v>47.7</v>
      </c>
    </row>
    <row r="483" spans="1:13" x14ac:dyDescent="0.25">
      <c r="A483" s="9">
        <f>Speed!A483</f>
        <v>45701.28638888889</v>
      </c>
      <c r="B483" s="9">
        <f t="shared" si="57"/>
        <v>45701.28638888889</v>
      </c>
      <c r="C483" s="2">
        <f>Speed!B483</f>
        <v>13.625</v>
      </c>
      <c r="D483" s="9">
        <f>Odometer!A483</f>
        <v>45701.287048611113</v>
      </c>
      <c r="E483" s="9">
        <f t="shared" si="58"/>
        <v>45701.287048611106</v>
      </c>
      <c r="F483" s="2">
        <f>Odometer!B483</f>
        <v>428753639</v>
      </c>
      <c r="G483" s="2">
        <f t="shared" si="59"/>
        <v>5</v>
      </c>
      <c r="H483" s="2">
        <f>SUM($G$2:G483)</f>
        <v>3746</v>
      </c>
      <c r="I483" s="10">
        <f t="shared" si="60"/>
        <v>45701.28638888889</v>
      </c>
      <c r="J483" s="10">
        <f t="shared" si="61"/>
        <v>45701.28638888889</v>
      </c>
      <c r="K483" s="3">
        <f t="shared" si="63"/>
        <v>3425</v>
      </c>
      <c r="L483">
        <f t="shared" si="56"/>
        <v>13.25</v>
      </c>
      <c r="M483">
        <f t="shared" si="62"/>
        <v>47.7</v>
      </c>
    </row>
    <row r="484" spans="1:13" x14ac:dyDescent="0.25">
      <c r="A484" s="9">
        <f>Speed!A484</f>
        <v>45701.286400462966</v>
      </c>
      <c r="B484" s="9">
        <f t="shared" si="57"/>
        <v>45701.286400462959</v>
      </c>
      <c r="C484" s="2">
        <f>Speed!B484</f>
        <v>14.31666667</v>
      </c>
      <c r="D484" s="9">
        <f>Odometer!A484</f>
        <v>45701.287060185183</v>
      </c>
      <c r="E484" s="9">
        <f t="shared" si="58"/>
        <v>45701.287060185183</v>
      </c>
      <c r="F484" s="2">
        <f>Odometer!B484</f>
        <v>428753644</v>
      </c>
      <c r="G484" s="2">
        <f t="shared" si="59"/>
        <v>1</v>
      </c>
      <c r="H484" s="2">
        <f>SUM($G$2:G484)</f>
        <v>3747</v>
      </c>
      <c r="I484" s="10">
        <f t="shared" si="60"/>
        <v>45701.286400462966</v>
      </c>
      <c r="J484" s="10">
        <f t="shared" si="61"/>
        <v>45701.286400462959</v>
      </c>
      <c r="K484" s="3">
        <f t="shared" si="63"/>
        <v>3453</v>
      </c>
      <c r="L484">
        <f t="shared" si="56"/>
        <v>14.31666667</v>
      </c>
      <c r="M484">
        <f t="shared" si="62"/>
        <v>51.540000012</v>
      </c>
    </row>
    <row r="485" spans="1:13" x14ac:dyDescent="0.25">
      <c r="A485" s="9">
        <f>Speed!A485</f>
        <v>45701.286400462966</v>
      </c>
      <c r="B485" s="9">
        <f t="shared" si="57"/>
        <v>45701.286400462959</v>
      </c>
      <c r="C485" s="2">
        <f>Speed!B485</f>
        <v>14.29722222</v>
      </c>
      <c r="D485" s="9">
        <f>Odometer!A485</f>
        <v>45701.287060185183</v>
      </c>
      <c r="E485" s="9">
        <f t="shared" si="58"/>
        <v>45701.287060185183</v>
      </c>
      <c r="F485" s="2">
        <f>Odometer!B485</f>
        <v>428753645</v>
      </c>
      <c r="G485" s="2">
        <f t="shared" si="59"/>
        <v>6</v>
      </c>
      <c r="H485" s="2">
        <f>SUM($G$2:G485)</f>
        <v>3753</v>
      </c>
      <c r="I485" s="10">
        <f t="shared" si="60"/>
        <v>45701.286400462966</v>
      </c>
      <c r="J485" s="10">
        <f t="shared" si="61"/>
        <v>45701.286400462959</v>
      </c>
      <c r="K485" s="3">
        <f t="shared" si="63"/>
        <v>3453</v>
      </c>
      <c r="L485">
        <f t="shared" si="56"/>
        <v>14.31666667</v>
      </c>
      <c r="M485">
        <f t="shared" si="62"/>
        <v>51.540000012</v>
      </c>
    </row>
    <row r="486" spans="1:13" x14ac:dyDescent="0.25">
      <c r="A486" s="9">
        <f>Speed!A486</f>
        <v>45701.286412037036</v>
      </c>
      <c r="B486" s="9">
        <f t="shared" si="57"/>
        <v>45701.286412037036</v>
      </c>
      <c r="C486" s="2">
        <f>Speed!B486</f>
        <v>14.46666667</v>
      </c>
      <c r="D486" s="9">
        <f>Odometer!A486</f>
        <v>45701.287060185183</v>
      </c>
      <c r="E486" s="9">
        <f t="shared" si="58"/>
        <v>45701.287060185183</v>
      </c>
      <c r="F486" s="2">
        <f>Odometer!B486</f>
        <v>428753651</v>
      </c>
      <c r="G486" s="2">
        <f t="shared" si="59"/>
        <v>9</v>
      </c>
      <c r="H486" s="2">
        <f>SUM($G$2:G486)</f>
        <v>3762</v>
      </c>
      <c r="I486" s="10">
        <f t="shared" si="60"/>
        <v>45701.286412037036</v>
      </c>
      <c r="J486" s="10">
        <f t="shared" si="61"/>
        <v>45701.286412037036</v>
      </c>
      <c r="K486" s="3">
        <f t="shared" si="63"/>
        <v>3468</v>
      </c>
      <c r="L486">
        <f t="shared" si="56"/>
        <v>14.46666667</v>
      </c>
      <c r="M486">
        <f t="shared" si="62"/>
        <v>52.080000011999999</v>
      </c>
    </row>
    <row r="487" spans="1:13" x14ac:dyDescent="0.25">
      <c r="A487" s="9">
        <f>Speed!A487</f>
        <v>45701.286423611113</v>
      </c>
      <c r="B487" s="9">
        <f t="shared" si="57"/>
        <v>45701.286423611105</v>
      </c>
      <c r="C487" s="2">
        <f>Speed!B487</f>
        <v>14.55833333</v>
      </c>
      <c r="D487" s="9">
        <f>Odometer!A487</f>
        <v>45701.287083333336</v>
      </c>
      <c r="E487" s="9">
        <f t="shared" si="58"/>
        <v>45701.287083333329</v>
      </c>
      <c r="F487" s="2">
        <f>Odometer!B487</f>
        <v>428753660</v>
      </c>
      <c r="G487" s="2">
        <f t="shared" si="59"/>
        <v>9</v>
      </c>
      <c r="H487" s="2">
        <f>SUM($G$2:G487)</f>
        <v>3771</v>
      </c>
      <c r="I487" s="10">
        <f t="shared" si="60"/>
        <v>45701.286423611113</v>
      </c>
      <c r="J487" s="10">
        <f t="shared" si="61"/>
        <v>45701.286423611105</v>
      </c>
      <c r="K487" s="3">
        <f t="shared" si="63"/>
        <v>3482</v>
      </c>
      <c r="L487">
        <f t="shared" si="56"/>
        <v>14.55833333</v>
      </c>
      <c r="M487">
        <f t="shared" si="62"/>
        <v>52.409999988000003</v>
      </c>
    </row>
    <row r="488" spans="1:13" x14ac:dyDescent="0.25">
      <c r="A488" s="9">
        <f>Speed!A488</f>
        <v>45701.286435185182</v>
      </c>
      <c r="B488" s="9">
        <f t="shared" si="57"/>
        <v>45701.286435185182</v>
      </c>
      <c r="C488" s="2">
        <f>Speed!B488</f>
        <v>14.67222222</v>
      </c>
      <c r="D488" s="9">
        <f>Odometer!A488</f>
        <v>45701.287094907406</v>
      </c>
      <c r="E488" s="9">
        <f t="shared" si="58"/>
        <v>45701.287094907406</v>
      </c>
      <c r="F488" s="2">
        <f>Odometer!B488</f>
        <v>428753669</v>
      </c>
      <c r="G488" s="2">
        <f t="shared" si="59"/>
        <v>10</v>
      </c>
      <c r="H488" s="2">
        <f>SUM($G$2:G488)</f>
        <v>3781</v>
      </c>
      <c r="I488" s="10">
        <f t="shared" si="60"/>
        <v>45701.286435185182</v>
      </c>
      <c r="J488" s="10">
        <f t="shared" si="61"/>
        <v>45701.286435185182</v>
      </c>
      <c r="K488" s="3">
        <f t="shared" si="63"/>
        <v>3497</v>
      </c>
      <c r="L488">
        <f t="shared" si="56"/>
        <v>14.67222222</v>
      </c>
      <c r="M488">
        <f t="shared" si="62"/>
        <v>52.819999992</v>
      </c>
    </row>
    <row r="489" spans="1:13" x14ac:dyDescent="0.25">
      <c r="A489" s="9">
        <f>Speed!A489</f>
        <v>45701.286446759259</v>
      </c>
      <c r="B489" s="9">
        <f t="shared" si="57"/>
        <v>45701.286446759259</v>
      </c>
      <c r="C489" s="2">
        <f>Speed!B489</f>
        <v>14.705555560000001</v>
      </c>
      <c r="D489" s="9">
        <f>Odometer!A489</f>
        <v>45701.287106481483</v>
      </c>
      <c r="E489" s="9">
        <f t="shared" si="58"/>
        <v>45701.287106481483</v>
      </c>
      <c r="F489" s="2">
        <f>Odometer!B489</f>
        <v>428753679</v>
      </c>
      <c r="G489" s="2">
        <f t="shared" si="59"/>
        <v>2</v>
      </c>
      <c r="H489" s="2">
        <f>SUM($G$2:G489)</f>
        <v>3783</v>
      </c>
      <c r="I489" s="10">
        <f t="shared" si="60"/>
        <v>45701.286446759259</v>
      </c>
      <c r="J489" s="10">
        <f t="shared" si="61"/>
        <v>45701.286446759259</v>
      </c>
      <c r="K489" s="3">
        <f t="shared" si="63"/>
        <v>3504</v>
      </c>
      <c r="L489">
        <f t="shared" si="56"/>
        <v>14.705555560000001</v>
      </c>
      <c r="M489">
        <f t="shared" si="62"/>
        <v>52.940000016000006</v>
      </c>
    </row>
    <row r="490" spans="1:13" x14ac:dyDescent="0.25">
      <c r="A490" s="9">
        <f>Speed!A490</f>
        <v>45701.286446759259</v>
      </c>
      <c r="B490" s="9">
        <f t="shared" si="57"/>
        <v>45701.286446759259</v>
      </c>
      <c r="C490" s="2">
        <f>Speed!B490</f>
        <v>14.69722222</v>
      </c>
      <c r="D490" s="9">
        <f>Odometer!A490</f>
        <v>45701.287106481483</v>
      </c>
      <c r="E490" s="9">
        <f t="shared" si="58"/>
        <v>45701.287106481483</v>
      </c>
      <c r="F490" s="2">
        <f>Odometer!B490</f>
        <v>428753681</v>
      </c>
      <c r="G490" s="2">
        <f t="shared" si="59"/>
        <v>10</v>
      </c>
      <c r="H490" s="2">
        <f>SUM($G$2:G490)</f>
        <v>3793</v>
      </c>
      <c r="I490" s="10">
        <f t="shared" si="60"/>
        <v>45701.286446759259</v>
      </c>
      <c r="J490" s="10">
        <f t="shared" si="61"/>
        <v>45701.286446759259</v>
      </c>
      <c r="K490" s="3">
        <f t="shared" si="63"/>
        <v>3504</v>
      </c>
      <c r="L490">
        <f t="shared" si="56"/>
        <v>14.705555560000001</v>
      </c>
      <c r="M490">
        <f t="shared" si="62"/>
        <v>52.940000016000006</v>
      </c>
    </row>
    <row r="491" spans="1:13" x14ac:dyDescent="0.25">
      <c r="A491" s="9">
        <f>Speed!A491</f>
        <v>45701.286458333336</v>
      </c>
      <c r="B491" s="9">
        <f t="shared" si="57"/>
        <v>45701.286458333328</v>
      </c>
      <c r="C491" s="2">
        <f>Speed!B491</f>
        <v>14.711111109999999</v>
      </c>
      <c r="D491" s="9">
        <f>Odometer!A491</f>
        <v>45701.287106481483</v>
      </c>
      <c r="E491" s="9">
        <f t="shared" si="58"/>
        <v>45701.287106481483</v>
      </c>
      <c r="F491" s="2">
        <f>Odometer!B491</f>
        <v>428753691</v>
      </c>
      <c r="G491" s="2">
        <f t="shared" si="59"/>
        <v>1</v>
      </c>
      <c r="H491" s="2">
        <f>SUM($G$2:G491)</f>
        <v>3794</v>
      </c>
      <c r="I491" s="10">
        <f t="shared" si="60"/>
        <v>45701.286458333336</v>
      </c>
      <c r="J491" s="10">
        <f t="shared" si="61"/>
        <v>45701.286458333328</v>
      </c>
      <c r="K491" s="3">
        <f t="shared" si="63"/>
        <v>3527</v>
      </c>
      <c r="L491">
        <f t="shared" si="56"/>
        <v>14.711111109999999</v>
      </c>
      <c r="M491">
        <f t="shared" si="62"/>
        <v>52.959999996000001</v>
      </c>
    </row>
    <row r="492" spans="1:13" x14ac:dyDescent="0.25">
      <c r="A492" s="9">
        <f>Speed!A492</f>
        <v>45701.286469907405</v>
      </c>
      <c r="B492" s="9">
        <f t="shared" si="57"/>
        <v>45701.286469907405</v>
      </c>
      <c r="C492" s="2">
        <f>Speed!B492</f>
        <v>14.67777778</v>
      </c>
      <c r="D492" s="9">
        <f>Odometer!A492</f>
        <v>45701.287118055552</v>
      </c>
      <c r="E492" s="9">
        <f t="shared" si="58"/>
        <v>45701.287118055552</v>
      </c>
      <c r="F492" s="2">
        <f>Odometer!B492</f>
        <v>428753692</v>
      </c>
      <c r="G492" s="2">
        <f t="shared" si="59"/>
        <v>12</v>
      </c>
      <c r="H492" s="2">
        <f>SUM($G$2:G492)</f>
        <v>3806</v>
      </c>
      <c r="I492" s="10">
        <f t="shared" si="60"/>
        <v>45701.286469907405</v>
      </c>
      <c r="J492" s="10">
        <f t="shared" si="61"/>
        <v>45701.286469907405</v>
      </c>
      <c r="K492" s="3">
        <f t="shared" si="63"/>
        <v>3541</v>
      </c>
      <c r="L492">
        <f t="shared" si="56"/>
        <v>14.67777778</v>
      </c>
      <c r="M492">
        <f t="shared" si="62"/>
        <v>52.840000007999997</v>
      </c>
    </row>
    <row r="493" spans="1:13" x14ac:dyDescent="0.25">
      <c r="A493" s="9">
        <f>Speed!A493</f>
        <v>45701.286481481482</v>
      </c>
      <c r="B493" s="9">
        <f t="shared" si="57"/>
        <v>45701.286481481482</v>
      </c>
      <c r="C493" s="2">
        <f>Speed!B493</f>
        <v>14.64722222</v>
      </c>
      <c r="D493" s="9">
        <f>Odometer!A493</f>
        <v>45701.287129629629</v>
      </c>
      <c r="E493" s="9">
        <f t="shared" si="58"/>
        <v>45701.287129629629</v>
      </c>
      <c r="F493" s="2">
        <f>Odometer!B493</f>
        <v>428753704</v>
      </c>
      <c r="G493" s="2">
        <f t="shared" si="59"/>
        <v>12</v>
      </c>
      <c r="H493" s="2">
        <f>SUM($G$2:G493)</f>
        <v>3818</v>
      </c>
      <c r="I493" s="10">
        <f t="shared" si="60"/>
        <v>45701.286481481482</v>
      </c>
      <c r="J493" s="10">
        <f t="shared" si="61"/>
        <v>45701.286481481482</v>
      </c>
      <c r="K493" s="3">
        <f t="shared" si="63"/>
        <v>3545</v>
      </c>
      <c r="L493">
        <f t="shared" si="56"/>
        <v>14.64722222</v>
      </c>
      <c r="M493">
        <f t="shared" si="62"/>
        <v>52.729999992000003</v>
      </c>
    </row>
    <row r="494" spans="1:13" x14ac:dyDescent="0.25">
      <c r="A494" s="9">
        <f>Speed!A494</f>
        <v>45701.286481481482</v>
      </c>
      <c r="B494" s="9">
        <f t="shared" si="57"/>
        <v>45701.286481481482</v>
      </c>
      <c r="C494" s="2">
        <f>Speed!B494</f>
        <v>14.641666669999999</v>
      </c>
      <c r="D494" s="9">
        <f>Odometer!A494</f>
        <v>45701.287141203706</v>
      </c>
      <c r="E494" s="9">
        <f t="shared" si="58"/>
        <v>45701.287141203698</v>
      </c>
      <c r="F494" s="2">
        <f>Odometer!B494</f>
        <v>428753716</v>
      </c>
      <c r="G494" s="2">
        <f t="shared" si="59"/>
        <v>14</v>
      </c>
      <c r="H494" s="2">
        <f>SUM($G$2:G494)</f>
        <v>3832</v>
      </c>
      <c r="I494" s="10">
        <f t="shared" si="60"/>
        <v>45701.286481481482</v>
      </c>
      <c r="J494" s="10">
        <f t="shared" si="61"/>
        <v>45701.286481481482</v>
      </c>
      <c r="K494" s="3">
        <f t="shared" si="63"/>
        <v>3545</v>
      </c>
      <c r="L494">
        <f t="shared" si="56"/>
        <v>14.64722222</v>
      </c>
      <c r="M494">
        <f t="shared" si="62"/>
        <v>52.729999992000003</v>
      </c>
    </row>
    <row r="495" spans="1:13" x14ac:dyDescent="0.25">
      <c r="A495" s="9">
        <f>Speed!A495</f>
        <v>45701.286481481482</v>
      </c>
      <c r="B495" s="9">
        <f t="shared" si="57"/>
        <v>45701.286481481482</v>
      </c>
      <c r="C495" s="2">
        <f>Speed!B495</f>
        <v>14.65833333</v>
      </c>
      <c r="D495" s="9">
        <f>Odometer!A495</f>
        <v>45701.287152777775</v>
      </c>
      <c r="E495" s="9">
        <f t="shared" si="58"/>
        <v>45701.287152777775</v>
      </c>
      <c r="F495" s="2">
        <f>Odometer!B495</f>
        <v>428753730</v>
      </c>
      <c r="G495" s="2">
        <f t="shared" si="59"/>
        <v>14</v>
      </c>
      <c r="H495" s="2">
        <f>SUM($G$2:G495)</f>
        <v>3846</v>
      </c>
      <c r="I495" s="10">
        <f t="shared" si="60"/>
        <v>45701.286481481482</v>
      </c>
      <c r="J495" s="10">
        <f t="shared" si="61"/>
        <v>45701.286481481482</v>
      </c>
      <c r="K495" s="3">
        <f t="shared" si="63"/>
        <v>3545</v>
      </c>
      <c r="L495">
        <f t="shared" si="56"/>
        <v>14.64722222</v>
      </c>
      <c r="M495">
        <f t="shared" si="62"/>
        <v>52.729999992000003</v>
      </c>
    </row>
    <row r="496" spans="1:13" x14ac:dyDescent="0.25">
      <c r="A496" s="9">
        <f>Speed!A496</f>
        <v>45701.286493055559</v>
      </c>
      <c r="B496" s="9">
        <f t="shared" si="57"/>
        <v>45701.286493055552</v>
      </c>
      <c r="C496" s="2">
        <f>Speed!B496</f>
        <v>14.597222220000001</v>
      </c>
      <c r="D496" s="9">
        <f>Odometer!A496</f>
        <v>45701.287152777775</v>
      </c>
      <c r="E496" s="9">
        <f t="shared" si="58"/>
        <v>45701.287152777775</v>
      </c>
      <c r="F496" s="2">
        <f>Odometer!B496</f>
        <v>428753744</v>
      </c>
      <c r="G496" s="2">
        <f t="shared" si="59"/>
        <v>1</v>
      </c>
      <c r="H496" s="2">
        <f>SUM($G$2:G496)</f>
        <v>3847</v>
      </c>
      <c r="I496" s="10">
        <f t="shared" si="60"/>
        <v>45701.286493055559</v>
      </c>
      <c r="J496" s="10">
        <f t="shared" si="61"/>
        <v>45701.286493055552</v>
      </c>
      <c r="K496" s="3">
        <f t="shared" si="63"/>
        <v>3556</v>
      </c>
      <c r="L496">
        <f t="shared" si="56"/>
        <v>14.597222220000001</v>
      </c>
      <c r="M496">
        <f t="shared" si="62"/>
        <v>52.549999992000004</v>
      </c>
    </row>
    <row r="497" spans="1:13" x14ac:dyDescent="0.25">
      <c r="A497" s="9">
        <f>Speed!A497</f>
        <v>45701.286493055559</v>
      </c>
      <c r="B497" s="9">
        <f t="shared" si="57"/>
        <v>45701.286493055552</v>
      </c>
      <c r="C497" s="2">
        <f>Speed!B497</f>
        <v>14.57222222</v>
      </c>
      <c r="D497" s="9">
        <f>Odometer!A497</f>
        <v>45701.287164351852</v>
      </c>
      <c r="E497" s="9">
        <f t="shared" si="58"/>
        <v>45701.287164351852</v>
      </c>
      <c r="F497" s="2">
        <f>Odometer!B497</f>
        <v>428753745</v>
      </c>
      <c r="G497" s="2">
        <f t="shared" si="59"/>
        <v>16</v>
      </c>
      <c r="H497" s="2">
        <f>SUM($G$2:G497)</f>
        <v>3863</v>
      </c>
      <c r="I497" s="10">
        <f t="shared" si="60"/>
        <v>45701.286493055559</v>
      </c>
      <c r="J497" s="10">
        <f t="shared" si="61"/>
        <v>45701.286493055552</v>
      </c>
      <c r="K497" s="3">
        <f t="shared" si="63"/>
        <v>3556</v>
      </c>
      <c r="L497">
        <f t="shared" si="56"/>
        <v>14.597222220000001</v>
      </c>
      <c r="M497">
        <f t="shared" si="62"/>
        <v>52.549999992000004</v>
      </c>
    </row>
    <row r="498" spans="1:13" x14ac:dyDescent="0.25">
      <c r="A498" s="9">
        <f>Speed!A498</f>
        <v>45701.286504629628</v>
      </c>
      <c r="B498" s="9">
        <f t="shared" si="57"/>
        <v>45701.286504629628</v>
      </c>
      <c r="C498" s="2">
        <f>Speed!B498</f>
        <v>14.16666667</v>
      </c>
      <c r="D498" s="9">
        <f>Odometer!A498</f>
        <v>45701.287175925929</v>
      </c>
      <c r="E498" s="9">
        <f t="shared" si="58"/>
        <v>45701.287175925921</v>
      </c>
      <c r="F498" s="2">
        <f>Odometer!B498</f>
        <v>428753761</v>
      </c>
      <c r="G498" s="2">
        <f t="shared" si="59"/>
        <v>15</v>
      </c>
      <c r="H498" s="2">
        <f>SUM($G$2:G498)</f>
        <v>3878</v>
      </c>
      <c r="I498" s="10">
        <f t="shared" si="60"/>
        <v>45701.286504629628</v>
      </c>
      <c r="J498" s="10">
        <f t="shared" si="61"/>
        <v>45701.286504629628</v>
      </c>
      <c r="K498" s="3">
        <f t="shared" si="63"/>
        <v>3584</v>
      </c>
      <c r="L498">
        <f t="shared" si="56"/>
        <v>14.16666667</v>
      </c>
      <c r="M498">
        <f t="shared" si="62"/>
        <v>51.000000012000001</v>
      </c>
    </row>
    <row r="499" spans="1:13" x14ac:dyDescent="0.25">
      <c r="A499" s="9">
        <f>Speed!A499</f>
        <v>45701.286516203705</v>
      </c>
      <c r="B499" s="9">
        <f t="shared" si="57"/>
        <v>45701.286516203698</v>
      </c>
      <c r="C499" s="2">
        <f>Speed!B499</f>
        <v>13.663888890000001</v>
      </c>
      <c r="D499" s="9">
        <f>Odometer!A499</f>
        <v>45701.287187499998</v>
      </c>
      <c r="E499" s="9">
        <f t="shared" si="58"/>
        <v>45701.287187499998</v>
      </c>
      <c r="F499" s="2">
        <f>Odometer!B499</f>
        <v>428753776</v>
      </c>
      <c r="G499" s="2">
        <f t="shared" si="59"/>
        <v>16</v>
      </c>
      <c r="H499" s="2">
        <f>SUM($G$2:G499)</f>
        <v>3894</v>
      </c>
      <c r="I499" s="10">
        <f t="shared" si="60"/>
        <v>45701.286516203705</v>
      </c>
      <c r="J499" s="10">
        <f t="shared" si="61"/>
        <v>45701.286516203698</v>
      </c>
      <c r="K499" s="3">
        <f t="shared" si="63"/>
        <v>3598</v>
      </c>
      <c r="L499">
        <f t="shared" si="56"/>
        <v>13.663888890000001</v>
      </c>
      <c r="M499">
        <f t="shared" si="62"/>
        <v>49.190000004000005</v>
      </c>
    </row>
    <row r="500" spans="1:13" x14ac:dyDescent="0.25">
      <c r="A500" s="9">
        <f>Speed!A500</f>
        <v>45701.286527777775</v>
      </c>
      <c r="B500" s="9">
        <f t="shared" si="57"/>
        <v>45701.286527777775</v>
      </c>
      <c r="C500" s="2">
        <f>Speed!B500</f>
        <v>13.255555559999999</v>
      </c>
      <c r="D500" s="9">
        <f>Odometer!A500</f>
        <v>45701.287199074075</v>
      </c>
      <c r="E500" s="9">
        <f t="shared" si="58"/>
        <v>45701.287199074075</v>
      </c>
      <c r="F500" s="2">
        <f>Odometer!B500</f>
        <v>428753792</v>
      </c>
      <c r="G500" s="2">
        <f t="shared" si="59"/>
        <v>15</v>
      </c>
      <c r="H500" s="2">
        <f>SUM($G$2:G500)</f>
        <v>3909</v>
      </c>
      <c r="I500" s="10">
        <f t="shared" si="60"/>
        <v>45701.286527777775</v>
      </c>
      <c r="J500" s="10">
        <f t="shared" si="61"/>
        <v>45701.286527777775</v>
      </c>
      <c r="K500" s="3">
        <f t="shared" si="63"/>
        <v>3610</v>
      </c>
      <c r="L500">
        <f t="shared" si="56"/>
        <v>13.255555559999999</v>
      </c>
      <c r="M500">
        <f t="shared" si="62"/>
        <v>47.720000016</v>
      </c>
    </row>
    <row r="501" spans="1:13" x14ac:dyDescent="0.25">
      <c r="A501" s="9">
        <f>Speed!A501</f>
        <v>45701.286527777775</v>
      </c>
      <c r="B501" s="9">
        <f t="shared" si="57"/>
        <v>45701.286527777775</v>
      </c>
      <c r="C501" s="2">
        <f>Speed!B501</f>
        <v>12.95277778</v>
      </c>
      <c r="D501" s="9">
        <f>Odometer!A501</f>
        <v>45701.287210648145</v>
      </c>
      <c r="E501" s="9">
        <f t="shared" si="58"/>
        <v>45701.287210648145</v>
      </c>
      <c r="F501" s="2">
        <f>Odometer!B501</f>
        <v>428753807</v>
      </c>
      <c r="G501" s="2">
        <f t="shared" si="59"/>
        <v>16</v>
      </c>
      <c r="H501" s="2">
        <f>SUM($G$2:G501)</f>
        <v>3925</v>
      </c>
      <c r="I501" s="10">
        <f t="shared" si="60"/>
        <v>45701.286527777775</v>
      </c>
      <c r="J501" s="10">
        <f t="shared" si="61"/>
        <v>45701.286527777775</v>
      </c>
      <c r="K501" s="3">
        <f t="shared" si="63"/>
        <v>3610</v>
      </c>
      <c r="L501">
        <f t="shared" si="56"/>
        <v>13.255555559999999</v>
      </c>
      <c r="M501">
        <f t="shared" si="62"/>
        <v>47.720000016</v>
      </c>
    </row>
    <row r="502" spans="1:13" x14ac:dyDescent="0.25">
      <c r="A502" s="9">
        <f>Speed!A502</f>
        <v>45701.286539351851</v>
      </c>
      <c r="B502" s="9">
        <f t="shared" si="57"/>
        <v>45701.286539351851</v>
      </c>
      <c r="C502" s="2">
        <f>Speed!B502</f>
        <v>12.92777778</v>
      </c>
      <c r="D502" s="9">
        <f>Odometer!A502</f>
        <v>45701.287210648145</v>
      </c>
      <c r="E502" s="9">
        <f t="shared" si="58"/>
        <v>45701.287210648145</v>
      </c>
      <c r="F502" s="2">
        <f>Odometer!B502</f>
        <v>428753823</v>
      </c>
      <c r="G502" s="2">
        <f t="shared" si="59"/>
        <v>17</v>
      </c>
      <c r="H502" s="2">
        <f>SUM($G$2:G502)</f>
        <v>3942</v>
      </c>
      <c r="I502" s="10">
        <f t="shared" si="60"/>
        <v>45701.286539351851</v>
      </c>
      <c r="J502" s="10">
        <f t="shared" si="61"/>
        <v>45701.286539351851</v>
      </c>
      <c r="K502" s="3" t="e">
        <f t="shared" si="63"/>
        <v>#N/A</v>
      </c>
      <c r="L502">
        <f t="shared" si="56"/>
        <v>12.92777778</v>
      </c>
      <c r="M502">
        <f t="shared" si="62"/>
        <v>46.540000008</v>
      </c>
    </row>
    <row r="503" spans="1:13" x14ac:dyDescent="0.25">
      <c r="A503" s="9">
        <f>Speed!A503</f>
        <v>45701.286550925928</v>
      </c>
      <c r="B503" s="9">
        <f t="shared" si="57"/>
        <v>45701.286550925921</v>
      </c>
      <c r="C503" s="2">
        <f>Speed!B503</f>
        <v>12.277777779999999</v>
      </c>
      <c r="D503" s="9">
        <f>Odometer!A503</f>
        <v>45701.287233796298</v>
      </c>
      <c r="E503" s="9">
        <f t="shared" si="58"/>
        <v>45701.287233796291</v>
      </c>
      <c r="F503" s="2">
        <f>Odometer!B503</f>
        <v>428753840</v>
      </c>
      <c r="G503" s="2">
        <f t="shared" si="59"/>
        <v>17</v>
      </c>
      <c r="H503" s="2">
        <f>SUM($G$2:G503)</f>
        <v>3959</v>
      </c>
      <c r="I503" s="10">
        <f t="shared" si="60"/>
        <v>45701.286550925928</v>
      </c>
      <c r="J503" s="10">
        <f t="shared" si="61"/>
        <v>45701.286550925921</v>
      </c>
      <c r="K503" s="3">
        <f t="shared" si="63"/>
        <v>3635</v>
      </c>
      <c r="L503">
        <f t="shared" si="56"/>
        <v>12.277777779999999</v>
      </c>
      <c r="M503">
        <f t="shared" si="62"/>
        <v>44.200000007999996</v>
      </c>
    </row>
    <row r="504" spans="1:13" x14ac:dyDescent="0.25">
      <c r="A504" s="9">
        <f>Speed!A504</f>
        <v>45701.286562499998</v>
      </c>
      <c r="B504" s="9">
        <f t="shared" si="57"/>
        <v>45701.286562499998</v>
      </c>
      <c r="C504" s="2">
        <f>Speed!B504</f>
        <v>11.46666667</v>
      </c>
      <c r="D504" s="9">
        <f>Odometer!A504</f>
        <v>45701.287245370368</v>
      </c>
      <c r="E504" s="9">
        <f t="shared" si="58"/>
        <v>45701.287245370368</v>
      </c>
      <c r="F504" s="2">
        <f>Odometer!B504</f>
        <v>428753857</v>
      </c>
      <c r="G504" s="2">
        <f t="shared" si="59"/>
        <v>16</v>
      </c>
      <c r="H504" s="2">
        <f>SUM($G$2:G504)</f>
        <v>3975</v>
      </c>
      <c r="I504" s="10">
        <f t="shared" si="60"/>
        <v>45701.286562499998</v>
      </c>
      <c r="J504" s="10">
        <f t="shared" si="61"/>
        <v>45701.286562499998</v>
      </c>
      <c r="K504" s="3">
        <f t="shared" si="63"/>
        <v>3646</v>
      </c>
      <c r="L504">
        <f t="shared" si="56"/>
        <v>11.46666667</v>
      </c>
      <c r="M504">
        <f t="shared" si="62"/>
        <v>41.280000012000002</v>
      </c>
    </row>
    <row r="505" spans="1:13" x14ac:dyDescent="0.25">
      <c r="A505" s="9">
        <f>Speed!A505</f>
        <v>45701.286562499998</v>
      </c>
      <c r="B505" s="9">
        <f t="shared" si="57"/>
        <v>45701.286562499998</v>
      </c>
      <c r="C505" s="2">
        <f>Speed!B505</f>
        <v>10.71388889</v>
      </c>
      <c r="D505" s="9">
        <f>Odometer!A505</f>
        <v>45701.287256944444</v>
      </c>
      <c r="E505" s="9">
        <f t="shared" si="58"/>
        <v>45701.287256944444</v>
      </c>
      <c r="F505" s="2">
        <f>Odometer!B505</f>
        <v>428753873</v>
      </c>
      <c r="G505" s="2">
        <f t="shared" si="59"/>
        <v>16</v>
      </c>
      <c r="H505" s="2">
        <f>SUM($G$2:G505)</f>
        <v>3991</v>
      </c>
      <c r="I505" s="10">
        <f t="shared" si="60"/>
        <v>45701.286562499998</v>
      </c>
      <c r="J505" s="10">
        <f t="shared" si="61"/>
        <v>45701.286562499998</v>
      </c>
      <c r="K505" s="3">
        <f t="shared" si="63"/>
        <v>3646</v>
      </c>
      <c r="L505">
        <f t="shared" si="56"/>
        <v>11.46666667</v>
      </c>
      <c r="M505">
        <f t="shared" si="62"/>
        <v>41.280000012000002</v>
      </c>
    </row>
    <row r="506" spans="1:13" x14ac:dyDescent="0.25">
      <c r="A506" s="9">
        <f>Speed!A506</f>
        <v>45701.286585648151</v>
      </c>
      <c r="B506" s="9">
        <f t="shared" si="57"/>
        <v>45701.286585648144</v>
      </c>
      <c r="C506" s="2">
        <f>Speed!B506</f>
        <v>9.738888889</v>
      </c>
      <c r="D506" s="9">
        <f>Odometer!A506</f>
        <v>45701.287268518521</v>
      </c>
      <c r="E506" s="9">
        <f t="shared" si="58"/>
        <v>45701.287268518514</v>
      </c>
      <c r="F506" s="2">
        <f>Odometer!B506</f>
        <v>428753889</v>
      </c>
      <c r="G506" s="2">
        <f t="shared" si="59"/>
        <v>5</v>
      </c>
      <c r="H506" s="2">
        <f>SUM($G$2:G506)</f>
        <v>3996</v>
      </c>
      <c r="I506" s="10">
        <f t="shared" si="60"/>
        <v>45701.286585648151</v>
      </c>
      <c r="J506" s="10">
        <f t="shared" si="61"/>
        <v>45701.286585648144</v>
      </c>
      <c r="K506" s="3">
        <f t="shared" si="63"/>
        <v>3665</v>
      </c>
      <c r="L506">
        <f t="shared" si="56"/>
        <v>9.738888889</v>
      </c>
      <c r="M506">
        <f t="shared" si="62"/>
        <v>35.060000000400002</v>
      </c>
    </row>
    <row r="507" spans="1:13" x14ac:dyDescent="0.25">
      <c r="A507" s="9">
        <f>Speed!A507</f>
        <v>45701.286585648151</v>
      </c>
      <c r="B507" s="9">
        <f t="shared" si="57"/>
        <v>45701.286585648144</v>
      </c>
      <c r="C507" s="2">
        <f>Speed!B507</f>
        <v>9</v>
      </c>
      <c r="D507" s="9">
        <f>Odometer!A507</f>
        <v>45701.287268518521</v>
      </c>
      <c r="E507" s="9">
        <f t="shared" si="58"/>
        <v>45701.287268518514</v>
      </c>
      <c r="F507" s="2">
        <f>Odometer!B507</f>
        <v>428753894</v>
      </c>
      <c r="G507" s="2">
        <f t="shared" si="59"/>
        <v>13</v>
      </c>
      <c r="H507" s="2">
        <f>SUM($G$2:G507)</f>
        <v>4009</v>
      </c>
      <c r="I507" s="10">
        <f t="shared" si="60"/>
        <v>45701.286585648151</v>
      </c>
      <c r="J507" s="10">
        <f t="shared" si="61"/>
        <v>45701.286585648144</v>
      </c>
      <c r="K507" s="3">
        <f t="shared" si="63"/>
        <v>3665</v>
      </c>
      <c r="L507">
        <f t="shared" si="56"/>
        <v>9.738888889</v>
      </c>
      <c r="M507">
        <f t="shared" si="62"/>
        <v>35.060000000400002</v>
      </c>
    </row>
    <row r="508" spans="1:13" x14ac:dyDescent="0.25">
      <c r="A508" s="9">
        <f>Speed!A508</f>
        <v>45701.286608796298</v>
      </c>
      <c r="B508" s="9">
        <f t="shared" si="57"/>
        <v>45701.286608796298</v>
      </c>
      <c r="C508" s="2">
        <f>Speed!B508</f>
        <v>8.1972222220000006</v>
      </c>
      <c r="D508" s="9">
        <f>Odometer!A508</f>
        <v>45701.287268518521</v>
      </c>
      <c r="E508" s="9">
        <f t="shared" si="58"/>
        <v>45701.287268518514</v>
      </c>
      <c r="F508" s="2">
        <f>Odometer!B508</f>
        <v>428753907</v>
      </c>
      <c r="G508" s="2">
        <f t="shared" si="59"/>
        <v>16</v>
      </c>
      <c r="H508" s="2">
        <f>SUM($G$2:G508)</f>
        <v>4025</v>
      </c>
      <c r="I508" s="10">
        <f t="shared" si="60"/>
        <v>45701.286608796298</v>
      </c>
      <c r="J508" s="10">
        <f t="shared" si="61"/>
        <v>45701.286608796298</v>
      </c>
      <c r="K508" s="3">
        <f t="shared" si="63"/>
        <v>3682</v>
      </c>
      <c r="L508">
        <f t="shared" si="56"/>
        <v>8.1972222220000006</v>
      </c>
      <c r="M508">
        <f t="shared" si="62"/>
        <v>29.509999999200001</v>
      </c>
    </row>
    <row r="509" spans="1:13" x14ac:dyDescent="0.25">
      <c r="A509" s="9">
        <f>Speed!A509</f>
        <v>45701.286620370367</v>
      </c>
      <c r="B509" s="9">
        <f t="shared" si="57"/>
        <v>45701.286620370367</v>
      </c>
      <c r="C509" s="2">
        <f>Speed!B509</f>
        <v>7.6222222220000004</v>
      </c>
      <c r="D509" s="9">
        <f>Odometer!A509</f>
        <v>45701.287291666667</v>
      </c>
      <c r="E509" s="9">
        <f t="shared" si="58"/>
        <v>45701.287291666667</v>
      </c>
      <c r="F509" s="2">
        <f>Odometer!B509</f>
        <v>428753923</v>
      </c>
      <c r="G509" s="2">
        <f t="shared" si="59"/>
        <v>18</v>
      </c>
      <c r="H509" s="2">
        <f>SUM($G$2:G509)</f>
        <v>4043</v>
      </c>
      <c r="I509" s="10">
        <f t="shared" si="60"/>
        <v>45701.286620370367</v>
      </c>
      <c r="J509" s="10">
        <f t="shared" si="61"/>
        <v>45701.286620370367</v>
      </c>
      <c r="K509" s="3">
        <f t="shared" si="63"/>
        <v>3689</v>
      </c>
      <c r="L509">
        <f t="shared" si="56"/>
        <v>7.6222222220000004</v>
      </c>
      <c r="M509">
        <f t="shared" si="62"/>
        <v>27.439999999200001</v>
      </c>
    </row>
    <row r="510" spans="1:13" x14ac:dyDescent="0.25">
      <c r="A510" s="9">
        <f>Speed!A510</f>
        <v>45701.286620370367</v>
      </c>
      <c r="B510" s="9">
        <f t="shared" si="57"/>
        <v>45701.286620370367</v>
      </c>
      <c r="C510" s="2">
        <f>Speed!B510</f>
        <v>7.5861111110000001</v>
      </c>
      <c r="D510" s="9">
        <f>Odometer!A510</f>
        <v>45701.287303240744</v>
      </c>
      <c r="E510" s="9">
        <f t="shared" si="58"/>
        <v>45701.287303240737</v>
      </c>
      <c r="F510" s="2">
        <f>Odometer!B510</f>
        <v>428753941</v>
      </c>
      <c r="G510" s="2">
        <f t="shared" si="59"/>
        <v>4</v>
      </c>
      <c r="H510" s="2">
        <f>SUM($G$2:G510)</f>
        <v>4047</v>
      </c>
      <c r="I510" s="10">
        <f t="shared" si="60"/>
        <v>45701.286620370367</v>
      </c>
      <c r="J510" s="10">
        <f t="shared" si="61"/>
        <v>45701.286620370367</v>
      </c>
      <c r="K510" s="3">
        <f t="shared" si="63"/>
        <v>3689</v>
      </c>
      <c r="L510">
        <f t="shared" si="56"/>
        <v>7.6222222220000004</v>
      </c>
      <c r="M510">
        <f t="shared" si="62"/>
        <v>27.439999999200001</v>
      </c>
    </row>
    <row r="511" spans="1:13" x14ac:dyDescent="0.25">
      <c r="A511" s="9">
        <f>Speed!A511</f>
        <v>45701.286631944444</v>
      </c>
      <c r="B511" s="9">
        <f t="shared" si="57"/>
        <v>45701.286631944444</v>
      </c>
      <c r="C511" s="2">
        <f>Speed!B511</f>
        <v>6.9749999999999996</v>
      </c>
      <c r="D511" s="9">
        <f>Odometer!A511</f>
        <v>45701.287303240744</v>
      </c>
      <c r="E511" s="9">
        <f t="shared" si="58"/>
        <v>45701.287303240737</v>
      </c>
      <c r="F511" s="2">
        <f>Odometer!B511</f>
        <v>428753945</v>
      </c>
      <c r="G511" s="2">
        <f t="shared" si="59"/>
        <v>5</v>
      </c>
      <c r="H511" s="2">
        <f>SUM($G$2:G511)</f>
        <v>4052</v>
      </c>
      <c r="I511" s="10">
        <f t="shared" si="60"/>
        <v>45701.286631944444</v>
      </c>
      <c r="J511" s="10">
        <f t="shared" si="61"/>
        <v>45701.286631944444</v>
      </c>
      <c r="K511" s="3">
        <f t="shared" si="63"/>
        <v>3696</v>
      </c>
      <c r="L511">
        <f t="shared" si="56"/>
        <v>6.9749999999999996</v>
      </c>
      <c r="M511">
        <f t="shared" si="62"/>
        <v>25.11</v>
      </c>
    </row>
    <row r="512" spans="1:13" x14ac:dyDescent="0.25">
      <c r="A512" s="9">
        <f>Speed!A512</f>
        <v>45701.286643518521</v>
      </c>
      <c r="B512" s="9">
        <f t="shared" si="57"/>
        <v>45701.286643518513</v>
      </c>
      <c r="C512" s="2">
        <f>Speed!B512</f>
        <v>6.4111111110000003</v>
      </c>
      <c r="D512" s="9">
        <f>Odometer!A512</f>
        <v>45701.287303240744</v>
      </c>
      <c r="E512" s="9">
        <f t="shared" si="58"/>
        <v>45701.287303240737</v>
      </c>
      <c r="F512" s="2">
        <f>Odometer!B512</f>
        <v>428753950</v>
      </c>
      <c r="G512" s="2">
        <f t="shared" si="59"/>
        <v>6</v>
      </c>
      <c r="H512" s="2">
        <f>SUM($G$2:G512)</f>
        <v>4058</v>
      </c>
      <c r="I512" s="10">
        <f t="shared" si="60"/>
        <v>45701.286643518521</v>
      </c>
      <c r="J512" s="10">
        <f t="shared" si="61"/>
        <v>45701.286643518513</v>
      </c>
      <c r="K512" s="3">
        <f t="shared" si="63"/>
        <v>3702</v>
      </c>
      <c r="L512">
        <f t="shared" si="56"/>
        <v>6.4111111110000003</v>
      </c>
      <c r="M512">
        <f t="shared" si="62"/>
        <v>23.079999999600002</v>
      </c>
    </row>
    <row r="513" spans="1:13" x14ac:dyDescent="0.25">
      <c r="A513" s="9">
        <f>Speed!A513</f>
        <v>45701.28665509259</v>
      </c>
      <c r="B513" s="9">
        <f t="shared" si="57"/>
        <v>45701.28665509259</v>
      </c>
      <c r="C513" s="2">
        <f>Speed!B513</f>
        <v>5.8833333330000004</v>
      </c>
      <c r="D513" s="9">
        <f>Odometer!A513</f>
        <v>45701.287314814814</v>
      </c>
      <c r="E513" s="9">
        <f t="shared" si="58"/>
        <v>45701.287314814814</v>
      </c>
      <c r="F513" s="2">
        <f>Odometer!B513</f>
        <v>428753956</v>
      </c>
      <c r="G513" s="2">
        <f t="shared" si="59"/>
        <v>15</v>
      </c>
      <c r="H513" s="2">
        <f>SUM($G$2:G513)</f>
        <v>4073</v>
      </c>
      <c r="I513" s="10">
        <f t="shared" si="60"/>
        <v>45701.28665509259</v>
      </c>
      <c r="J513" s="10">
        <f t="shared" si="61"/>
        <v>45701.28665509259</v>
      </c>
      <c r="K513" s="3">
        <f t="shared" si="63"/>
        <v>3708</v>
      </c>
      <c r="L513">
        <f t="shared" si="56"/>
        <v>5.8833333330000004</v>
      </c>
      <c r="M513">
        <f t="shared" si="62"/>
        <v>21.179999998800003</v>
      </c>
    </row>
    <row r="514" spans="1:13" x14ac:dyDescent="0.25">
      <c r="A514" s="9">
        <f>Speed!A514</f>
        <v>45701.286666666667</v>
      </c>
      <c r="B514" s="9">
        <f t="shared" si="57"/>
        <v>45701.286666666667</v>
      </c>
      <c r="C514" s="2">
        <f>Speed!B514</f>
        <v>5.55</v>
      </c>
      <c r="D514" s="9">
        <f>Odometer!A514</f>
        <v>45701.287326388891</v>
      </c>
      <c r="E514" s="9">
        <f t="shared" si="58"/>
        <v>45701.287326388883</v>
      </c>
      <c r="F514" s="2">
        <f>Odometer!B514</f>
        <v>428753971</v>
      </c>
      <c r="G514" s="2">
        <f t="shared" si="59"/>
        <v>17</v>
      </c>
      <c r="H514" s="2">
        <f>SUM($G$2:G514)</f>
        <v>4090</v>
      </c>
      <c r="I514" s="10">
        <f t="shared" si="60"/>
        <v>45701.286666666667</v>
      </c>
      <c r="J514" s="10">
        <f t="shared" si="61"/>
        <v>45701.286666666667</v>
      </c>
      <c r="K514" s="3">
        <f t="shared" si="63"/>
        <v>3713</v>
      </c>
      <c r="L514">
        <f t="shared" ref="L514:L577" si="64">INDEX($C$2:$C$2000, MATCH(I514,$A$2:$A$2000,0))</f>
        <v>5.55</v>
      </c>
      <c r="M514">
        <f t="shared" si="62"/>
        <v>19.98</v>
      </c>
    </row>
    <row r="515" spans="1:13" x14ac:dyDescent="0.25">
      <c r="A515" s="9">
        <f>Speed!A515</f>
        <v>45701.286666666667</v>
      </c>
      <c r="B515" s="9">
        <f t="shared" ref="B515:B578" si="65">MROUND(A515,"00:00:01")</f>
        <v>45701.286666666667</v>
      </c>
      <c r="C515" s="2">
        <f>Speed!B515</f>
        <v>5.4777777780000001</v>
      </c>
      <c r="D515" s="9">
        <f>Odometer!A515</f>
        <v>45701.287326388891</v>
      </c>
      <c r="E515" s="9">
        <f t="shared" ref="E515:E578" si="66">MROUND(D515,"00:00:01")</f>
        <v>45701.287326388883</v>
      </c>
      <c r="F515" s="2">
        <f>Odometer!B515</f>
        <v>428753988</v>
      </c>
      <c r="G515" s="2">
        <f t="shared" ref="G515:G578" si="67">IF(F516-F515&lt;0,0,F516-F515)</f>
        <v>14</v>
      </c>
      <c r="H515" s="2">
        <f>SUM($G$2:G515)</f>
        <v>4104</v>
      </c>
      <c r="I515" s="10">
        <f t="shared" ref="I515:I578" si="68">A515</f>
        <v>45701.286666666667</v>
      </c>
      <c r="J515" s="10">
        <f t="shared" ref="J515:J578" si="69">MROUND(I515,"0:00:01")</f>
        <v>45701.286666666667</v>
      </c>
      <c r="K515" s="3">
        <f t="shared" si="63"/>
        <v>3713</v>
      </c>
      <c r="L515">
        <f t="shared" si="64"/>
        <v>5.55</v>
      </c>
      <c r="M515">
        <f t="shared" ref="M515:M578" si="70">L515*3.6</f>
        <v>19.98</v>
      </c>
    </row>
    <row r="516" spans="1:13" x14ac:dyDescent="0.25">
      <c r="A516" s="9">
        <f>Speed!A516</f>
        <v>45701.286666666667</v>
      </c>
      <c r="B516" s="9">
        <f t="shared" si="65"/>
        <v>45701.286666666667</v>
      </c>
      <c r="C516" s="2">
        <f>Speed!B516</f>
        <v>5.0638888890000002</v>
      </c>
      <c r="D516" s="9">
        <f>Odometer!A516</f>
        <v>45701.287349537037</v>
      </c>
      <c r="E516" s="9">
        <f t="shared" si="66"/>
        <v>45701.287349537037</v>
      </c>
      <c r="F516" s="2">
        <f>Odometer!B516</f>
        <v>428754002</v>
      </c>
      <c r="G516" s="2">
        <f t="shared" si="67"/>
        <v>15</v>
      </c>
      <c r="H516" s="2">
        <f>SUM($G$2:G516)</f>
        <v>4119</v>
      </c>
      <c r="I516" s="10">
        <f t="shared" si="68"/>
        <v>45701.286666666667</v>
      </c>
      <c r="J516" s="10">
        <f t="shared" si="69"/>
        <v>45701.286666666667</v>
      </c>
      <c r="K516" s="3">
        <f t="shared" ref="K516:K579" si="71">IFERROR(INDEX($H$2:$H$2000,MATCH(J516,$E$2:$E$2000,0)),NA())</f>
        <v>3713</v>
      </c>
      <c r="L516">
        <f t="shared" si="64"/>
        <v>5.55</v>
      </c>
      <c r="M516">
        <f t="shared" si="70"/>
        <v>19.98</v>
      </c>
    </row>
    <row r="517" spans="1:13" x14ac:dyDescent="0.25">
      <c r="A517" s="9">
        <f>Speed!A517</f>
        <v>45701.286678240744</v>
      </c>
      <c r="B517" s="9">
        <f t="shared" si="65"/>
        <v>45701.286678240736</v>
      </c>
      <c r="C517" s="2">
        <f>Speed!B517</f>
        <v>5.0333333329999999</v>
      </c>
      <c r="D517" s="9">
        <f>Odometer!A517</f>
        <v>45701.287361111114</v>
      </c>
      <c r="E517" s="9">
        <f t="shared" si="66"/>
        <v>45701.287361111106</v>
      </c>
      <c r="F517" s="2">
        <f>Odometer!B517</f>
        <v>428754017</v>
      </c>
      <c r="G517" s="2">
        <f t="shared" si="67"/>
        <v>15</v>
      </c>
      <c r="H517" s="2">
        <f>SUM($G$2:G517)</f>
        <v>4134</v>
      </c>
      <c r="I517" s="10">
        <f t="shared" si="68"/>
        <v>45701.286678240744</v>
      </c>
      <c r="J517" s="10">
        <f t="shared" si="69"/>
        <v>45701.286678240736</v>
      </c>
      <c r="K517" s="3" t="e">
        <f t="shared" si="71"/>
        <v>#N/A</v>
      </c>
      <c r="L517">
        <f t="shared" si="64"/>
        <v>5.0333333329999999</v>
      </c>
      <c r="M517">
        <f t="shared" si="70"/>
        <v>18.119999998800001</v>
      </c>
    </row>
    <row r="518" spans="1:13" x14ac:dyDescent="0.25">
      <c r="A518" s="9">
        <f>Speed!A518</f>
        <v>45701.286689814813</v>
      </c>
      <c r="B518" s="9">
        <f t="shared" si="65"/>
        <v>45701.286689814813</v>
      </c>
      <c r="C518" s="2">
        <f>Speed!B518</f>
        <v>4.3416666670000001</v>
      </c>
      <c r="D518" s="9">
        <f>Odometer!A518</f>
        <v>45701.287372685183</v>
      </c>
      <c r="E518" s="9">
        <f t="shared" si="66"/>
        <v>45701.287372685183</v>
      </c>
      <c r="F518" s="2">
        <f>Odometer!B518</f>
        <v>428754032</v>
      </c>
      <c r="G518" s="2">
        <f t="shared" si="67"/>
        <v>13</v>
      </c>
      <c r="H518" s="2">
        <f>SUM($G$2:G518)</f>
        <v>4147</v>
      </c>
      <c r="I518" s="10">
        <f t="shared" si="68"/>
        <v>45701.286689814813</v>
      </c>
      <c r="J518" s="10">
        <f t="shared" si="69"/>
        <v>45701.286689814813</v>
      </c>
      <c r="K518" s="3">
        <f t="shared" si="71"/>
        <v>3722</v>
      </c>
      <c r="L518">
        <f t="shared" si="64"/>
        <v>4.3416666670000001</v>
      </c>
      <c r="M518">
        <f t="shared" si="70"/>
        <v>15.630000001200001</v>
      </c>
    </row>
    <row r="519" spans="1:13" x14ac:dyDescent="0.25">
      <c r="A519" s="9">
        <f>Speed!A519</f>
        <v>45701.28670138889</v>
      </c>
      <c r="B519" s="9">
        <f t="shared" si="65"/>
        <v>45701.28670138889</v>
      </c>
      <c r="C519" s="2">
        <f>Speed!B519</f>
        <v>3.5</v>
      </c>
      <c r="D519" s="9">
        <f>Odometer!A519</f>
        <v>45701.28738425926</v>
      </c>
      <c r="E519" s="9">
        <f t="shared" si="66"/>
        <v>45701.28738425926</v>
      </c>
      <c r="F519" s="2">
        <f>Odometer!B519</f>
        <v>428754045</v>
      </c>
      <c r="G519" s="2">
        <f t="shared" si="67"/>
        <v>15</v>
      </c>
      <c r="H519" s="2">
        <f>SUM($G$2:G519)</f>
        <v>4162</v>
      </c>
      <c r="I519" s="10">
        <f t="shared" si="68"/>
        <v>45701.28670138889</v>
      </c>
      <c r="J519" s="10">
        <f t="shared" si="69"/>
        <v>45701.28670138889</v>
      </c>
      <c r="K519" s="3">
        <f t="shared" si="71"/>
        <v>3725</v>
      </c>
      <c r="L519">
        <f t="shared" si="64"/>
        <v>3.5</v>
      </c>
      <c r="M519">
        <f t="shared" si="70"/>
        <v>12.6</v>
      </c>
    </row>
    <row r="520" spans="1:13" x14ac:dyDescent="0.25">
      <c r="A520" s="9">
        <f>Speed!A520</f>
        <v>45701.286712962959</v>
      </c>
      <c r="B520" s="9">
        <f t="shared" si="65"/>
        <v>45701.286712962959</v>
      </c>
      <c r="C520" s="2">
        <f>Speed!B520</f>
        <v>2.7222222220000001</v>
      </c>
      <c r="D520" s="9">
        <f>Odometer!A520</f>
        <v>45701.287395833337</v>
      </c>
      <c r="E520" s="9">
        <f t="shared" si="66"/>
        <v>45701.287395833329</v>
      </c>
      <c r="F520" s="2">
        <f>Odometer!B520</f>
        <v>428754060</v>
      </c>
      <c r="G520" s="2">
        <f t="shared" si="67"/>
        <v>3</v>
      </c>
      <c r="H520" s="2">
        <f>SUM($G$2:G520)</f>
        <v>4165</v>
      </c>
      <c r="I520" s="10">
        <f t="shared" si="68"/>
        <v>45701.286712962959</v>
      </c>
      <c r="J520" s="10">
        <f t="shared" si="69"/>
        <v>45701.286712962959</v>
      </c>
      <c r="K520" s="3">
        <f t="shared" si="71"/>
        <v>3727</v>
      </c>
      <c r="L520">
        <f t="shared" si="64"/>
        <v>2.7222222220000001</v>
      </c>
      <c r="M520">
        <f t="shared" si="70"/>
        <v>9.7999999992000006</v>
      </c>
    </row>
    <row r="521" spans="1:13" x14ac:dyDescent="0.25">
      <c r="A521" s="9">
        <f>Speed!A521</f>
        <v>45701.286724537036</v>
      </c>
      <c r="B521" s="9">
        <f t="shared" si="65"/>
        <v>45701.286724537036</v>
      </c>
      <c r="C521" s="2">
        <f>Speed!B521</f>
        <v>1.936111111</v>
      </c>
      <c r="D521" s="9">
        <f>Odometer!A521</f>
        <v>45701.287395833337</v>
      </c>
      <c r="E521" s="9">
        <f t="shared" si="66"/>
        <v>45701.287395833329</v>
      </c>
      <c r="F521" s="2">
        <f>Odometer!B521</f>
        <v>428754063</v>
      </c>
      <c r="G521" s="2">
        <f t="shared" si="67"/>
        <v>5</v>
      </c>
      <c r="H521" s="2">
        <f>SUM($G$2:G521)</f>
        <v>4170</v>
      </c>
      <c r="I521" s="10">
        <f t="shared" si="68"/>
        <v>45701.286724537036</v>
      </c>
      <c r="J521" s="10">
        <f t="shared" si="69"/>
        <v>45701.286724537036</v>
      </c>
      <c r="K521" s="3">
        <f t="shared" si="71"/>
        <v>3729</v>
      </c>
      <c r="L521">
        <f t="shared" si="64"/>
        <v>1.936111111</v>
      </c>
      <c r="M521">
        <f t="shared" si="70"/>
        <v>6.9699999995999997</v>
      </c>
    </row>
    <row r="522" spans="1:13" x14ac:dyDescent="0.25">
      <c r="A522" s="9">
        <f>Speed!A522</f>
        <v>45701.286736111113</v>
      </c>
      <c r="B522" s="9">
        <f t="shared" si="65"/>
        <v>45701.286736111106</v>
      </c>
      <c r="C522" s="2">
        <f>Speed!B522</f>
        <v>1.063888889</v>
      </c>
      <c r="D522" s="9">
        <f>Odometer!A522</f>
        <v>45701.287395833337</v>
      </c>
      <c r="E522" s="9">
        <f t="shared" si="66"/>
        <v>45701.287395833329</v>
      </c>
      <c r="F522" s="2">
        <f>Odometer!B522</f>
        <v>428754068</v>
      </c>
      <c r="G522" s="2">
        <f t="shared" si="67"/>
        <v>4</v>
      </c>
      <c r="H522" s="2">
        <f>SUM($G$2:G522)</f>
        <v>4174</v>
      </c>
      <c r="I522" s="10">
        <f t="shared" si="68"/>
        <v>45701.286736111113</v>
      </c>
      <c r="J522" s="10">
        <f t="shared" si="69"/>
        <v>45701.286736111106</v>
      </c>
      <c r="K522" s="3">
        <f t="shared" si="71"/>
        <v>3730</v>
      </c>
      <c r="L522">
        <f t="shared" si="64"/>
        <v>1.063888889</v>
      </c>
      <c r="M522">
        <f t="shared" si="70"/>
        <v>3.8300000004000001</v>
      </c>
    </row>
    <row r="523" spans="1:13" x14ac:dyDescent="0.25">
      <c r="A523" s="9">
        <f>Speed!A523</f>
        <v>45701.286736111113</v>
      </c>
      <c r="B523" s="9">
        <f t="shared" si="65"/>
        <v>45701.286736111106</v>
      </c>
      <c r="C523" s="2">
        <f>Speed!B523</f>
        <v>1.0305555559999999</v>
      </c>
      <c r="D523" s="9">
        <f>Odometer!A523</f>
        <v>45701.287407407406</v>
      </c>
      <c r="E523" s="9">
        <f t="shared" si="66"/>
        <v>45701.287407407406</v>
      </c>
      <c r="F523" s="2">
        <f>Odometer!B523</f>
        <v>428754072</v>
      </c>
      <c r="G523" s="2">
        <f t="shared" si="67"/>
        <v>13</v>
      </c>
      <c r="H523" s="2">
        <f>SUM($G$2:G523)</f>
        <v>4187</v>
      </c>
      <c r="I523" s="10">
        <f t="shared" si="68"/>
        <v>45701.286736111113</v>
      </c>
      <c r="J523" s="10">
        <f t="shared" si="69"/>
        <v>45701.286736111106</v>
      </c>
      <c r="K523" s="3">
        <f t="shared" si="71"/>
        <v>3730</v>
      </c>
      <c r="L523">
        <f t="shared" si="64"/>
        <v>1.063888889</v>
      </c>
      <c r="M523">
        <f t="shared" si="70"/>
        <v>3.8300000004000001</v>
      </c>
    </row>
    <row r="524" spans="1:13" x14ac:dyDescent="0.25">
      <c r="A524" s="9">
        <f>Speed!A524</f>
        <v>45701.286736111113</v>
      </c>
      <c r="B524" s="9">
        <f t="shared" si="65"/>
        <v>45701.286736111106</v>
      </c>
      <c r="C524" s="2">
        <f>Speed!B524</f>
        <v>0.436111111</v>
      </c>
      <c r="D524" s="9">
        <f>Odometer!A524</f>
        <v>45701.287418981483</v>
      </c>
      <c r="E524" s="9">
        <f t="shared" si="66"/>
        <v>45701.287418981476</v>
      </c>
      <c r="F524" s="2">
        <f>Odometer!B524</f>
        <v>428754085</v>
      </c>
      <c r="G524" s="2">
        <f t="shared" si="67"/>
        <v>7</v>
      </c>
      <c r="H524" s="2">
        <f>SUM($G$2:G524)</f>
        <v>4194</v>
      </c>
      <c r="I524" s="10">
        <f t="shared" si="68"/>
        <v>45701.286736111113</v>
      </c>
      <c r="J524" s="10">
        <f t="shared" si="69"/>
        <v>45701.286736111106</v>
      </c>
      <c r="K524" s="3">
        <f t="shared" si="71"/>
        <v>3730</v>
      </c>
      <c r="L524">
        <f t="shared" si="64"/>
        <v>1.063888889</v>
      </c>
      <c r="M524">
        <f t="shared" si="70"/>
        <v>3.8300000004000001</v>
      </c>
    </row>
    <row r="525" spans="1:13" x14ac:dyDescent="0.25">
      <c r="A525" s="9">
        <f>Speed!A525</f>
        <v>45701.286747685182</v>
      </c>
      <c r="B525" s="9">
        <f t="shared" si="65"/>
        <v>45701.286747685182</v>
      </c>
      <c r="C525" s="2">
        <f>Speed!B525</f>
        <v>0.40277777799999998</v>
      </c>
      <c r="D525" s="9">
        <f>Odometer!A525</f>
        <v>45701.287418981483</v>
      </c>
      <c r="E525" s="9">
        <f t="shared" si="66"/>
        <v>45701.287418981476</v>
      </c>
      <c r="F525" s="2">
        <f>Odometer!B525</f>
        <v>428754092</v>
      </c>
      <c r="G525" s="2">
        <f t="shared" si="67"/>
        <v>6</v>
      </c>
      <c r="H525" s="2">
        <f>SUM($G$2:G525)</f>
        <v>4200</v>
      </c>
      <c r="I525" s="10">
        <f t="shared" si="68"/>
        <v>45701.286747685182</v>
      </c>
      <c r="J525" s="10">
        <f t="shared" si="69"/>
        <v>45701.286747685182</v>
      </c>
      <c r="K525" s="3" t="e">
        <f t="shared" si="71"/>
        <v>#N/A</v>
      </c>
      <c r="L525">
        <f t="shared" si="64"/>
        <v>0.40277777799999998</v>
      </c>
      <c r="M525">
        <f t="shared" si="70"/>
        <v>1.4500000008</v>
      </c>
    </row>
    <row r="526" spans="1:13" x14ac:dyDescent="0.25">
      <c r="A526" s="9">
        <f>Speed!A526</f>
        <v>45701.286759259259</v>
      </c>
      <c r="B526" s="9">
        <f t="shared" si="65"/>
        <v>45701.286759259259</v>
      </c>
      <c r="C526" s="2">
        <f>Speed!B526</f>
        <v>0.12777777800000001</v>
      </c>
      <c r="D526" s="9">
        <f>Odometer!A526</f>
        <v>45701.287430555552</v>
      </c>
      <c r="E526" s="9">
        <f t="shared" si="66"/>
        <v>45701.287430555552</v>
      </c>
      <c r="F526" s="2">
        <f>Odometer!B526</f>
        <v>428754098</v>
      </c>
      <c r="G526" s="2">
        <f t="shared" si="67"/>
        <v>14</v>
      </c>
      <c r="H526" s="2">
        <f>SUM($G$2:G526)</f>
        <v>4214</v>
      </c>
      <c r="I526" s="10">
        <f t="shared" si="68"/>
        <v>45701.286759259259</v>
      </c>
      <c r="J526" s="10">
        <f t="shared" si="69"/>
        <v>45701.286759259259</v>
      </c>
      <c r="K526" s="3">
        <f t="shared" si="71"/>
        <v>3731</v>
      </c>
      <c r="L526">
        <f t="shared" si="64"/>
        <v>0.12777777800000001</v>
      </c>
      <c r="M526">
        <f t="shared" si="70"/>
        <v>0.46000000080000003</v>
      </c>
    </row>
    <row r="527" spans="1:13" x14ac:dyDescent="0.25">
      <c r="A527" s="9">
        <f>Speed!A527</f>
        <v>45701.286759259259</v>
      </c>
      <c r="B527" s="9">
        <f t="shared" si="65"/>
        <v>45701.286759259259</v>
      </c>
      <c r="C527" s="2">
        <f>Speed!B527</f>
        <v>0</v>
      </c>
      <c r="D527" s="9">
        <f>Odometer!A527</f>
        <v>45701.287442129629</v>
      </c>
      <c r="E527" s="9">
        <f t="shared" si="66"/>
        <v>45701.287442129629</v>
      </c>
      <c r="F527" s="2">
        <f>Odometer!B527</f>
        <v>428754112</v>
      </c>
      <c r="G527" s="2">
        <f t="shared" si="67"/>
        <v>13</v>
      </c>
      <c r="H527" s="2">
        <f>SUM($G$2:G527)</f>
        <v>4227</v>
      </c>
      <c r="I527" s="10">
        <f t="shared" si="68"/>
        <v>45701.286759259259</v>
      </c>
      <c r="J527" s="10">
        <f t="shared" si="69"/>
        <v>45701.286759259259</v>
      </c>
      <c r="K527" s="3">
        <f t="shared" si="71"/>
        <v>3731</v>
      </c>
      <c r="L527">
        <f t="shared" si="64"/>
        <v>0.12777777800000001</v>
      </c>
      <c r="M527">
        <f t="shared" si="70"/>
        <v>0.46000000080000003</v>
      </c>
    </row>
    <row r="528" spans="1:13" x14ac:dyDescent="0.25">
      <c r="A528" s="9">
        <f>Speed!A528</f>
        <v>45701.287002314813</v>
      </c>
      <c r="B528" s="9">
        <f t="shared" si="65"/>
        <v>45701.287002314813</v>
      </c>
      <c r="C528" s="2">
        <f>Speed!B528</f>
        <v>0.59444444399999996</v>
      </c>
      <c r="D528" s="9">
        <f>Odometer!A528</f>
        <v>45701.287453703706</v>
      </c>
      <c r="E528" s="9">
        <f t="shared" si="66"/>
        <v>45701.287453703699</v>
      </c>
      <c r="F528" s="2">
        <f>Odometer!B528</f>
        <v>428754125</v>
      </c>
      <c r="G528" s="2">
        <f t="shared" si="67"/>
        <v>15</v>
      </c>
      <c r="H528" s="2">
        <f>SUM($G$2:G528)</f>
        <v>4242</v>
      </c>
      <c r="I528" s="10">
        <f t="shared" si="68"/>
        <v>45701.287002314813</v>
      </c>
      <c r="J528" s="10">
        <f t="shared" si="69"/>
        <v>45701.287002314813</v>
      </c>
      <c r="K528" s="3" t="e">
        <f t="shared" si="71"/>
        <v>#N/A</v>
      </c>
      <c r="L528">
        <f t="shared" si="64"/>
        <v>0.59444444399999996</v>
      </c>
      <c r="M528">
        <f t="shared" si="70"/>
        <v>2.1399999984</v>
      </c>
    </row>
    <row r="529" spans="1:13" x14ac:dyDescent="0.25">
      <c r="A529" s="9">
        <f>Speed!A529</f>
        <v>45701.287002314813</v>
      </c>
      <c r="B529" s="9">
        <f t="shared" si="65"/>
        <v>45701.287002314813</v>
      </c>
      <c r="C529" s="2">
        <f>Speed!B529</f>
        <v>0.84444444399999996</v>
      </c>
      <c r="D529" s="9">
        <f>Odometer!A529</f>
        <v>45701.287465277775</v>
      </c>
      <c r="E529" s="9">
        <f t="shared" si="66"/>
        <v>45701.287465277775</v>
      </c>
      <c r="F529" s="2">
        <f>Odometer!B529</f>
        <v>428754140</v>
      </c>
      <c r="G529" s="2">
        <f t="shared" si="67"/>
        <v>15</v>
      </c>
      <c r="H529" s="2">
        <f>SUM($G$2:G529)</f>
        <v>4257</v>
      </c>
      <c r="I529" s="10">
        <f t="shared" si="68"/>
        <v>45701.287002314813</v>
      </c>
      <c r="J529" s="10">
        <f t="shared" si="69"/>
        <v>45701.287002314813</v>
      </c>
      <c r="K529" s="3" t="e">
        <f t="shared" si="71"/>
        <v>#N/A</v>
      </c>
      <c r="L529">
        <f t="shared" si="64"/>
        <v>0.59444444399999996</v>
      </c>
      <c r="M529">
        <f t="shared" si="70"/>
        <v>2.1399999984</v>
      </c>
    </row>
    <row r="530" spans="1:13" x14ac:dyDescent="0.25">
      <c r="A530" s="9">
        <f>Speed!A530</f>
        <v>45701.28701388889</v>
      </c>
      <c r="B530" s="9">
        <f t="shared" si="65"/>
        <v>45701.28701388889</v>
      </c>
      <c r="C530" s="2">
        <f>Speed!B530</f>
        <v>1.6</v>
      </c>
      <c r="D530" s="9">
        <f>Odometer!A530</f>
        <v>45701.287476851852</v>
      </c>
      <c r="E530" s="9">
        <f t="shared" si="66"/>
        <v>45701.287476851852</v>
      </c>
      <c r="F530" s="2">
        <f>Odometer!B530</f>
        <v>428754155</v>
      </c>
      <c r="G530" s="2">
        <f t="shared" si="67"/>
        <v>15</v>
      </c>
      <c r="H530" s="2">
        <f>SUM($G$2:G530)</f>
        <v>4272</v>
      </c>
      <c r="I530" s="10">
        <f t="shared" si="68"/>
        <v>45701.28701388889</v>
      </c>
      <c r="J530" s="10">
        <f t="shared" si="69"/>
        <v>45701.28701388889</v>
      </c>
      <c r="K530" s="3">
        <f t="shared" si="71"/>
        <v>3733</v>
      </c>
      <c r="L530">
        <f t="shared" si="64"/>
        <v>1.6</v>
      </c>
      <c r="M530">
        <f t="shared" si="70"/>
        <v>5.7600000000000007</v>
      </c>
    </row>
    <row r="531" spans="1:13" x14ac:dyDescent="0.25">
      <c r="A531" s="9">
        <f>Speed!A531</f>
        <v>45701.28701388889</v>
      </c>
      <c r="B531" s="9">
        <f t="shared" si="65"/>
        <v>45701.28701388889</v>
      </c>
      <c r="C531" s="2">
        <f>Speed!B531</f>
        <v>2.763888889</v>
      </c>
      <c r="D531" s="9">
        <f>Odometer!A531</f>
        <v>45701.287488425929</v>
      </c>
      <c r="E531" s="9">
        <f t="shared" si="66"/>
        <v>45701.287488425922</v>
      </c>
      <c r="F531" s="2">
        <f>Odometer!B531</f>
        <v>428754170</v>
      </c>
      <c r="G531" s="2">
        <f t="shared" si="67"/>
        <v>15</v>
      </c>
      <c r="H531" s="2">
        <f>SUM($G$2:G531)</f>
        <v>4287</v>
      </c>
      <c r="I531" s="10">
        <f t="shared" si="68"/>
        <v>45701.28701388889</v>
      </c>
      <c r="J531" s="10">
        <f t="shared" si="69"/>
        <v>45701.28701388889</v>
      </c>
      <c r="K531" s="3">
        <f t="shared" si="71"/>
        <v>3733</v>
      </c>
      <c r="L531">
        <f t="shared" si="64"/>
        <v>1.6</v>
      </c>
      <c r="M531">
        <f t="shared" si="70"/>
        <v>5.7600000000000007</v>
      </c>
    </row>
    <row r="532" spans="1:13" x14ac:dyDescent="0.25">
      <c r="A532" s="9">
        <f>Speed!A532</f>
        <v>45701.28702546296</v>
      </c>
      <c r="B532" s="9">
        <f t="shared" si="65"/>
        <v>45701.28702546296</v>
      </c>
      <c r="C532" s="2">
        <f>Speed!B532</f>
        <v>2.8333333330000001</v>
      </c>
      <c r="D532" s="9">
        <f>Odometer!A532</f>
        <v>45701.287499999999</v>
      </c>
      <c r="E532" s="9">
        <f t="shared" si="66"/>
        <v>45701.287499999999</v>
      </c>
      <c r="F532" s="2">
        <f>Odometer!B532</f>
        <v>428754185</v>
      </c>
      <c r="G532" s="2">
        <f t="shared" si="67"/>
        <v>16</v>
      </c>
      <c r="H532" s="2">
        <f>SUM($G$2:G532)</f>
        <v>4303</v>
      </c>
      <c r="I532" s="10">
        <f t="shared" si="68"/>
        <v>45701.28702546296</v>
      </c>
      <c r="J532" s="10">
        <f t="shared" si="69"/>
        <v>45701.28702546296</v>
      </c>
      <c r="K532" s="3" t="e">
        <f t="shared" si="71"/>
        <v>#N/A</v>
      </c>
      <c r="L532">
        <f t="shared" si="64"/>
        <v>2.8333333330000001</v>
      </c>
      <c r="M532">
        <f t="shared" si="70"/>
        <v>10.199999998800001</v>
      </c>
    </row>
    <row r="533" spans="1:13" x14ac:dyDescent="0.25">
      <c r="A533" s="9">
        <f>Speed!A533</f>
        <v>45701.287037037036</v>
      </c>
      <c r="B533" s="9">
        <f t="shared" si="65"/>
        <v>45701.287037037036</v>
      </c>
      <c r="C533" s="2">
        <f>Speed!B533</f>
        <v>3.888888889</v>
      </c>
      <c r="D533" s="9">
        <f>Odometer!A533</f>
        <v>45701.287499999999</v>
      </c>
      <c r="E533" s="9">
        <f t="shared" si="66"/>
        <v>45701.287499999999</v>
      </c>
      <c r="F533" s="2">
        <f>Odometer!B533</f>
        <v>428754201</v>
      </c>
      <c r="G533" s="2">
        <f t="shared" si="67"/>
        <v>1</v>
      </c>
      <c r="H533" s="2">
        <f>SUM($G$2:G533)</f>
        <v>4304</v>
      </c>
      <c r="I533" s="10">
        <f t="shared" si="68"/>
        <v>45701.287037037036</v>
      </c>
      <c r="J533" s="10">
        <f t="shared" si="69"/>
        <v>45701.287037037036</v>
      </c>
      <c r="K533" s="3">
        <f t="shared" si="71"/>
        <v>3741</v>
      </c>
      <c r="L533">
        <f t="shared" si="64"/>
        <v>3.888888889</v>
      </c>
      <c r="M533">
        <f t="shared" si="70"/>
        <v>14.0000000004</v>
      </c>
    </row>
    <row r="534" spans="1:13" x14ac:dyDescent="0.25">
      <c r="A534" s="9">
        <f>Speed!A534</f>
        <v>45701.287048611113</v>
      </c>
      <c r="B534" s="9">
        <f t="shared" si="65"/>
        <v>45701.287048611106</v>
      </c>
      <c r="C534" s="2">
        <f>Speed!B534</f>
        <v>5.1055555559999997</v>
      </c>
      <c r="D534" s="9">
        <f>Odometer!A534</f>
        <v>45701.287511574075</v>
      </c>
      <c r="E534" s="9">
        <f t="shared" si="66"/>
        <v>45701.287511574075</v>
      </c>
      <c r="F534" s="2">
        <f>Odometer!B534</f>
        <v>428754202</v>
      </c>
      <c r="G534" s="2">
        <f t="shared" si="67"/>
        <v>17</v>
      </c>
      <c r="H534" s="2">
        <f>SUM($G$2:G534)</f>
        <v>4321</v>
      </c>
      <c r="I534" s="10">
        <f t="shared" si="68"/>
        <v>45701.287048611113</v>
      </c>
      <c r="J534" s="10">
        <f t="shared" si="69"/>
        <v>45701.287048611106</v>
      </c>
      <c r="K534" s="3">
        <f t="shared" si="71"/>
        <v>3746</v>
      </c>
      <c r="L534">
        <f t="shared" si="64"/>
        <v>5.1055555559999997</v>
      </c>
      <c r="M534">
        <f t="shared" si="70"/>
        <v>18.380000001599999</v>
      </c>
    </row>
    <row r="535" spans="1:13" x14ac:dyDescent="0.25">
      <c r="A535" s="9">
        <f>Speed!A535</f>
        <v>45701.287060185183</v>
      </c>
      <c r="B535" s="9">
        <f t="shared" si="65"/>
        <v>45701.287060185183</v>
      </c>
      <c r="C535" s="2">
        <f>Speed!B535</f>
        <v>6.2249999999999996</v>
      </c>
      <c r="D535" s="9">
        <f>Odometer!A535</f>
        <v>45701.287523148145</v>
      </c>
      <c r="E535" s="9">
        <f t="shared" si="66"/>
        <v>45701.287523148145</v>
      </c>
      <c r="F535" s="2">
        <f>Odometer!B535</f>
        <v>428754219</v>
      </c>
      <c r="G535" s="2">
        <f t="shared" si="67"/>
        <v>1</v>
      </c>
      <c r="H535" s="2">
        <f>SUM($G$2:G535)</f>
        <v>4322</v>
      </c>
      <c r="I535" s="10">
        <f t="shared" si="68"/>
        <v>45701.287060185183</v>
      </c>
      <c r="J535" s="10">
        <f t="shared" si="69"/>
        <v>45701.287060185183</v>
      </c>
      <c r="K535" s="3">
        <f t="shared" si="71"/>
        <v>3747</v>
      </c>
      <c r="L535">
        <f t="shared" si="64"/>
        <v>6.2249999999999996</v>
      </c>
      <c r="M535">
        <f t="shared" si="70"/>
        <v>22.41</v>
      </c>
    </row>
    <row r="536" spans="1:13" x14ac:dyDescent="0.25">
      <c r="A536" s="9">
        <f>Speed!A536</f>
        <v>45701.287060185183</v>
      </c>
      <c r="B536" s="9">
        <f t="shared" si="65"/>
        <v>45701.287060185183</v>
      </c>
      <c r="C536" s="2">
        <f>Speed!B536</f>
        <v>6.3888888890000004</v>
      </c>
      <c r="D536" s="9">
        <f>Odometer!A536</f>
        <v>45701.287523148145</v>
      </c>
      <c r="E536" s="9">
        <f t="shared" si="66"/>
        <v>45701.287523148145</v>
      </c>
      <c r="F536" s="2">
        <f>Odometer!B536</f>
        <v>428754220</v>
      </c>
      <c r="G536" s="2">
        <f t="shared" si="67"/>
        <v>16</v>
      </c>
      <c r="H536" s="2">
        <f>SUM($G$2:G536)</f>
        <v>4338</v>
      </c>
      <c r="I536" s="10">
        <f t="shared" si="68"/>
        <v>45701.287060185183</v>
      </c>
      <c r="J536" s="10">
        <f t="shared" si="69"/>
        <v>45701.287060185183</v>
      </c>
      <c r="K536" s="3">
        <f t="shared" si="71"/>
        <v>3747</v>
      </c>
      <c r="L536">
        <f t="shared" si="64"/>
        <v>6.2249999999999996</v>
      </c>
      <c r="M536">
        <f t="shared" si="70"/>
        <v>22.41</v>
      </c>
    </row>
    <row r="537" spans="1:13" x14ac:dyDescent="0.25">
      <c r="A537" s="9">
        <f>Speed!A537</f>
        <v>45701.287060185183</v>
      </c>
      <c r="B537" s="9">
        <f t="shared" si="65"/>
        <v>45701.287060185183</v>
      </c>
      <c r="C537" s="2">
        <f>Speed!B537</f>
        <v>7.4222222220000003</v>
      </c>
      <c r="D537" s="9">
        <f>Odometer!A537</f>
        <v>45701.287523148145</v>
      </c>
      <c r="E537" s="9">
        <f t="shared" si="66"/>
        <v>45701.287523148145</v>
      </c>
      <c r="F537" s="2">
        <f>Odometer!B537</f>
        <v>428754236</v>
      </c>
      <c r="G537" s="2">
        <f t="shared" si="67"/>
        <v>18</v>
      </c>
      <c r="H537" s="2">
        <f>SUM($G$2:G537)</f>
        <v>4356</v>
      </c>
      <c r="I537" s="10">
        <f t="shared" si="68"/>
        <v>45701.287060185183</v>
      </c>
      <c r="J537" s="10">
        <f t="shared" si="69"/>
        <v>45701.287060185183</v>
      </c>
      <c r="K537" s="3">
        <f t="shared" si="71"/>
        <v>3747</v>
      </c>
      <c r="L537">
        <f t="shared" si="64"/>
        <v>6.2249999999999996</v>
      </c>
      <c r="M537">
        <f t="shared" si="70"/>
        <v>22.41</v>
      </c>
    </row>
    <row r="538" spans="1:13" x14ac:dyDescent="0.25">
      <c r="A538" s="9">
        <f>Speed!A538</f>
        <v>45701.287083333336</v>
      </c>
      <c r="B538" s="9">
        <f t="shared" si="65"/>
        <v>45701.287083333329</v>
      </c>
      <c r="C538" s="2">
        <f>Speed!B538</f>
        <v>8.636111111</v>
      </c>
      <c r="D538" s="9">
        <f>Odometer!A538</f>
        <v>45701.287546296298</v>
      </c>
      <c r="E538" s="9">
        <f t="shared" si="66"/>
        <v>45701.287546296291</v>
      </c>
      <c r="F538" s="2">
        <f>Odometer!B538</f>
        <v>428754254</v>
      </c>
      <c r="G538" s="2">
        <f t="shared" si="67"/>
        <v>1</v>
      </c>
      <c r="H538" s="2">
        <f>SUM($G$2:G538)</f>
        <v>4357</v>
      </c>
      <c r="I538" s="10">
        <f t="shared" si="68"/>
        <v>45701.287083333336</v>
      </c>
      <c r="J538" s="10">
        <f t="shared" si="69"/>
        <v>45701.287083333329</v>
      </c>
      <c r="K538" s="3">
        <f t="shared" si="71"/>
        <v>3771</v>
      </c>
      <c r="L538">
        <f t="shared" si="64"/>
        <v>8.636111111</v>
      </c>
      <c r="M538">
        <f t="shared" si="70"/>
        <v>31.0899999996</v>
      </c>
    </row>
    <row r="539" spans="1:13" x14ac:dyDescent="0.25">
      <c r="A539" s="9">
        <f>Speed!A539</f>
        <v>45701.287094907406</v>
      </c>
      <c r="B539" s="9">
        <f t="shared" si="65"/>
        <v>45701.287094907406</v>
      </c>
      <c r="C539" s="2">
        <f>Speed!B539</f>
        <v>9.875</v>
      </c>
      <c r="D539" s="9">
        <f>Odometer!A539</f>
        <v>45701.287546296298</v>
      </c>
      <c r="E539" s="9">
        <f t="shared" si="66"/>
        <v>45701.287546296291</v>
      </c>
      <c r="F539" s="2">
        <f>Odometer!B539</f>
        <v>428754255</v>
      </c>
      <c r="G539" s="2">
        <f t="shared" si="67"/>
        <v>16</v>
      </c>
      <c r="H539" s="2">
        <f>SUM($G$2:G539)</f>
        <v>4373</v>
      </c>
      <c r="I539" s="10">
        <f t="shared" si="68"/>
        <v>45701.287094907406</v>
      </c>
      <c r="J539" s="10">
        <f t="shared" si="69"/>
        <v>45701.287094907406</v>
      </c>
      <c r="K539" s="3">
        <f t="shared" si="71"/>
        <v>3781</v>
      </c>
      <c r="L539">
        <f t="shared" si="64"/>
        <v>9.875</v>
      </c>
      <c r="M539">
        <f t="shared" si="70"/>
        <v>35.550000000000004</v>
      </c>
    </row>
    <row r="540" spans="1:13" x14ac:dyDescent="0.25">
      <c r="A540" s="9">
        <f>Speed!A540</f>
        <v>45701.287106481483</v>
      </c>
      <c r="B540" s="9">
        <f t="shared" si="65"/>
        <v>45701.287106481483</v>
      </c>
      <c r="C540" s="2">
        <f>Speed!B540</f>
        <v>11.03333333</v>
      </c>
      <c r="D540" s="9">
        <f>Odometer!A540</f>
        <v>45701.287557870368</v>
      </c>
      <c r="E540" s="9">
        <f t="shared" si="66"/>
        <v>45701.287557870368</v>
      </c>
      <c r="F540" s="2">
        <f>Odometer!B540</f>
        <v>428754271</v>
      </c>
      <c r="G540" s="2">
        <f t="shared" si="67"/>
        <v>1</v>
      </c>
      <c r="H540" s="2">
        <f>SUM($G$2:G540)</f>
        <v>4374</v>
      </c>
      <c r="I540" s="10">
        <f t="shared" si="68"/>
        <v>45701.287106481483</v>
      </c>
      <c r="J540" s="10">
        <f t="shared" si="69"/>
        <v>45701.287106481483</v>
      </c>
      <c r="K540" s="3">
        <f t="shared" si="71"/>
        <v>3783</v>
      </c>
      <c r="L540">
        <f t="shared" si="64"/>
        <v>11.03333333</v>
      </c>
      <c r="M540">
        <f t="shared" si="70"/>
        <v>39.719999987999998</v>
      </c>
    </row>
    <row r="541" spans="1:13" x14ac:dyDescent="0.25">
      <c r="A541" s="9">
        <f>Speed!A541</f>
        <v>45701.287106481483</v>
      </c>
      <c r="B541" s="9">
        <f t="shared" si="65"/>
        <v>45701.287106481483</v>
      </c>
      <c r="C541" s="2">
        <f>Speed!B541</f>
        <v>11.17222222</v>
      </c>
      <c r="D541" s="9">
        <f>Odometer!A541</f>
        <v>45701.287557870368</v>
      </c>
      <c r="E541" s="9">
        <f t="shared" si="66"/>
        <v>45701.287557870368</v>
      </c>
      <c r="F541" s="2">
        <f>Odometer!B541</f>
        <v>428754272</v>
      </c>
      <c r="G541" s="2">
        <f t="shared" si="67"/>
        <v>17</v>
      </c>
      <c r="H541" s="2">
        <f>SUM($G$2:G541)</f>
        <v>4391</v>
      </c>
      <c r="I541" s="10">
        <f t="shared" si="68"/>
        <v>45701.287106481483</v>
      </c>
      <c r="J541" s="10">
        <f t="shared" si="69"/>
        <v>45701.287106481483</v>
      </c>
      <c r="K541" s="3">
        <f t="shared" si="71"/>
        <v>3783</v>
      </c>
      <c r="L541">
        <f t="shared" si="64"/>
        <v>11.03333333</v>
      </c>
      <c r="M541">
        <f t="shared" si="70"/>
        <v>39.719999987999998</v>
      </c>
    </row>
    <row r="542" spans="1:13" x14ac:dyDescent="0.25">
      <c r="A542" s="9">
        <f>Speed!A542</f>
        <v>45701.287106481483</v>
      </c>
      <c r="B542" s="9">
        <f t="shared" si="65"/>
        <v>45701.287106481483</v>
      </c>
      <c r="C542" s="2">
        <f>Speed!B542</f>
        <v>11.95277778</v>
      </c>
      <c r="D542" s="9">
        <f>Odometer!A542</f>
        <v>45701.287569444445</v>
      </c>
      <c r="E542" s="9">
        <f t="shared" si="66"/>
        <v>45701.287569444445</v>
      </c>
      <c r="F542" s="2">
        <f>Odometer!B542</f>
        <v>428754289</v>
      </c>
      <c r="G542" s="2">
        <f t="shared" si="67"/>
        <v>20</v>
      </c>
      <c r="H542" s="2">
        <f>SUM($G$2:G542)</f>
        <v>4411</v>
      </c>
      <c r="I542" s="10">
        <f t="shared" si="68"/>
        <v>45701.287106481483</v>
      </c>
      <c r="J542" s="10">
        <f t="shared" si="69"/>
        <v>45701.287106481483</v>
      </c>
      <c r="K542" s="3">
        <f t="shared" si="71"/>
        <v>3783</v>
      </c>
      <c r="L542">
        <f t="shared" si="64"/>
        <v>11.03333333</v>
      </c>
      <c r="M542">
        <f t="shared" si="70"/>
        <v>39.719999987999998</v>
      </c>
    </row>
    <row r="543" spans="1:13" x14ac:dyDescent="0.25">
      <c r="A543" s="9">
        <f>Speed!A543</f>
        <v>45701.287118055552</v>
      </c>
      <c r="B543" s="9">
        <f t="shared" si="65"/>
        <v>45701.287118055552</v>
      </c>
      <c r="C543" s="2">
        <f>Speed!B543</f>
        <v>12.005555559999999</v>
      </c>
      <c r="D543" s="9">
        <f>Odometer!A543</f>
        <v>45701.287581018521</v>
      </c>
      <c r="E543" s="9">
        <f t="shared" si="66"/>
        <v>45701.287581018514</v>
      </c>
      <c r="F543" s="2">
        <f>Odometer!B543</f>
        <v>428754309</v>
      </c>
      <c r="G543" s="2">
        <f t="shared" si="67"/>
        <v>17</v>
      </c>
      <c r="H543" s="2">
        <f>SUM($G$2:G543)</f>
        <v>4428</v>
      </c>
      <c r="I543" s="10">
        <f t="shared" si="68"/>
        <v>45701.287118055552</v>
      </c>
      <c r="J543" s="10">
        <f t="shared" si="69"/>
        <v>45701.287118055552</v>
      </c>
      <c r="K543" s="3">
        <f t="shared" si="71"/>
        <v>3806</v>
      </c>
      <c r="L543">
        <f t="shared" si="64"/>
        <v>12.005555559999999</v>
      </c>
      <c r="M543">
        <f t="shared" si="70"/>
        <v>43.220000016</v>
      </c>
    </row>
    <row r="544" spans="1:13" x14ac:dyDescent="0.25">
      <c r="A544" s="9">
        <f>Speed!A544</f>
        <v>45701.287129629629</v>
      </c>
      <c r="B544" s="9">
        <f t="shared" si="65"/>
        <v>45701.287129629629</v>
      </c>
      <c r="C544" s="2">
        <f>Speed!B544</f>
        <v>12.747222219999999</v>
      </c>
      <c r="D544" s="9">
        <f>Odometer!A544</f>
        <v>45701.287592592591</v>
      </c>
      <c r="E544" s="9">
        <f t="shared" si="66"/>
        <v>45701.287592592591</v>
      </c>
      <c r="F544" s="2">
        <f>Odometer!B544</f>
        <v>428754326</v>
      </c>
      <c r="G544" s="2">
        <f t="shared" si="67"/>
        <v>18</v>
      </c>
      <c r="H544" s="2">
        <f>SUM($G$2:G544)</f>
        <v>4446</v>
      </c>
      <c r="I544" s="10">
        <f t="shared" si="68"/>
        <v>45701.287129629629</v>
      </c>
      <c r="J544" s="10">
        <f t="shared" si="69"/>
        <v>45701.287129629629</v>
      </c>
      <c r="K544" s="3">
        <f t="shared" si="71"/>
        <v>3818</v>
      </c>
      <c r="L544">
        <f t="shared" si="64"/>
        <v>12.747222219999999</v>
      </c>
      <c r="M544">
        <f t="shared" si="70"/>
        <v>45.889999992</v>
      </c>
    </row>
    <row r="545" spans="1:13" x14ac:dyDescent="0.25">
      <c r="A545" s="9">
        <f>Speed!A545</f>
        <v>45701.287141203706</v>
      </c>
      <c r="B545" s="9">
        <f t="shared" si="65"/>
        <v>45701.287141203698</v>
      </c>
      <c r="C545" s="2">
        <f>Speed!B545</f>
        <v>13.475</v>
      </c>
      <c r="D545" s="9">
        <f>Odometer!A545</f>
        <v>45701.287604166668</v>
      </c>
      <c r="E545" s="9">
        <f t="shared" si="66"/>
        <v>45701.287604166668</v>
      </c>
      <c r="F545" s="2">
        <f>Odometer!B545</f>
        <v>428754344</v>
      </c>
      <c r="G545" s="2">
        <f t="shared" si="67"/>
        <v>18</v>
      </c>
      <c r="H545" s="2">
        <f>SUM($G$2:G545)</f>
        <v>4464</v>
      </c>
      <c r="I545" s="10">
        <f t="shared" si="68"/>
        <v>45701.287141203706</v>
      </c>
      <c r="J545" s="10">
        <f t="shared" si="69"/>
        <v>45701.287141203698</v>
      </c>
      <c r="K545" s="3">
        <f t="shared" si="71"/>
        <v>3832</v>
      </c>
      <c r="L545">
        <f t="shared" si="64"/>
        <v>13.475</v>
      </c>
      <c r="M545">
        <f t="shared" si="70"/>
        <v>48.51</v>
      </c>
    </row>
    <row r="546" spans="1:13" x14ac:dyDescent="0.25">
      <c r="A546" s="9">
        <f>Speed!A546</f>
        <v>45701.287152777775</v>
      </c>
      <c r="B546" s="9">
        <f t="shared" si="65"/>
        <v>45701.287152777775</v>
      </c>
      <c r="C546" s="2">
        <f>Speed!B546</f>
        <v>14.07222222</v>
      </c>
      <c r="D546" s="9">
        <f>Odometer!A546</f>
        <v>45701.287615740737</v>
      </c>
      <c r="E546" s="9">
        <f t="shared" si="66"/>
        <v>45701.287615740737</v>
      </c>
      <c r="F546" s="2">
        <f>Odometer!B546</f>
        <v>428754362</v>
      </c>
      <c r="G546" s="2">
        <f t="shared" si="67"/>
        <v>18</v>
      </c>
      <c r="H546" s="2">
        <f>SUM($G$2:G546)</f>
        <v>4482</v>
      </c>
      <c r="I546" s="10">
        <f t="shared" si="68"/>
        <v>45701.287152777775</v>
      </c>
      <c r="J546" s="10">
        <f t="shared" si="69"/>
        <v>45701.287152777775</v>
      </c>
      <c r="K546" s="3">
        <f t="shared" si="71"/>
        <v>3846</v>
      </c>
      <c r="L546">
        <f t="shared" si="64"/>
        <v>14.07222222</v>
      </c>
      <c r="M546">
        <f t="shared" si="70"/>
        <v>50.659999992000003</v>
      </c>
    </row>
    <row r="547" spans="1:13" x14ac:dyDescent="0.25">
      <c r="A547" s="9">
        <f>Speed!A547</f>
        <v>45701.287152777775</v>
      </c>
      <c r="B547" s="9">
        <f t="shared" si="65"/>
        <v>45701.287152777775</v>
      </c>
      <c r="C547" s="2">
        <f>Speed!B547</f>
        <v>14.644444439999999</v>
      </c>
      <c r="D547" s="9">
        <f>Odometer!A547</f>
        <v>45701.287627314814</v>
      </c>
      <c r="E547" s="9">
        <f t="shared" si="66"/>
        <v>45701.287627314814</v>
      </c>
      <c r="F547" s="2">
        <f>Odometer!B547</f>
        <v>428754380</v>
      </c>
      <c r="G547" s="2">
        <f t="shared" si="67"/>
        <v>19</v>
      </c>
      <c r="H547" s="2">
        <f>SUM($G$2:G547)</f>
        <v>4501</v>
      </c>
      <c r="I547" s="10">
        <f t="shared" si="68"/>
        <v>45701.287152777775</v>
      </c>
      <c r="J547" s="10">
        <f t="shared" si="69"/>
        <v>45701.287152777775</v>
      </c>
      <c r="K547" s="3">
        <f t="shared" si="71"/>
        <v>3846</v>
      </c>
      <c r="L547">
        <f t="shared" si="64"/>
        <v>14.07222222</v>
      </c>
      <c r="M547">
        <f t="shared" si="70"/>
        <v>50.659999992000003</v>
      </c>
    </row>
    <row r="548" spans="1:13" x14ac:dyDescent="0.25">
      <c r="A548" s="9">
        <f>Speed!A548</f>
        <v>45701.287164351852</v>
      </c>
      <c r="B548" s="9">
        <f t="shared" si="65"/>
        <v>45701.287164351852</v>
      </c>
      <c r="C548" s="2">
        <f>Speed!B548</f>
        <v>14.688888889999999</v>
      </c>
      <c r="D548" s="9">
        <f>Odometer!A548</f>
        <v>45701.287638888891</v>
      </c>
      <c r="E548" s="9">
        <f t="shared" si="66"/>
        <v>45701.287638888884</v>
      </c>
      <c r="F548" s="2">
        <f>Odometer!B548</f>
        <v>428754399</v>
      </c>
      <c r="G548" s="2">
        <f t="shared" si="67"/>
        <v>17</v>
      </c>
      <c r="H548" s="2">
        <f>SUM($G$2:G548)</f>
        <v>4518</v>
      </c>
      <c r="I548" s="10">
        <f t="shared" si="68"/>
        <v>45701.287164351852</v>
      </c>
      <c r="J548" s="10">
        <f t="shared" si="69"/>
        <v>45701.287164351852</v>
      </c>
      <c r="K548" s="3">
        <f t="shared" si="71"/>
        <v>3863</v>
      </c>
      <c r="L548">
        <f t="shared" si="64"/>
        <v>14.688888889999999</v>
      </c>
      <c r="M548">
        <f t="shared" si="70"/>
        <v>52.880000003999996</v>
      </c>
    </row>
    <row r="549" spans="1:13" x14ac:dyDescent="0.25">
      <c r="A549" s="9">
        <f>Speed!A549</f>
        <v>45701.287175925929</v>
      </c>
      <c r="B549" s="9">
        <f t="shared" si="65"/>
        <v>45701.287175925921</v>
      </c>
      <c r="C549" s="2">
        <f>Speed!B549</f>
        <v>15.33333333</v>
      </c>
      <c r="D549" s="9">
        <f>Odometer!A549</f>
        <v>45701.28765046296</v>
      </c>
      <c r="E549" s="9">
        <f t="shared" si="66"/>
        <v>45701.28765046296</v>
      </c>
      <c r="F549" s="2">
        <f>Odometer!B549</f>
        <v>428754416</v>
      </c>
      <c r="G549" s="2">
        <f t="shared" si="67"/>
        <v>17</v>
      </c>
      <c r="H549" s="2">
        <f>SUM($G$2:G549)</f>
        <v>4535</v>
      </c>
      <c r="I549" s="10">
        <f t="shared" si="68"/>
        <v>45701.287175925929</v>
      </c>
      <c r="J549" s="10">
        <f t="shared" si="69"/>
        <v>45701.287175925921</v>
      </c>
      <c r="K549" s="3">
        <f t="shared" si="71"/>
        <v>3878</v>
      </c>
      <c r="L549">
        <f t="shared" si="64"/>
        <v>15.33333333</v>
      </c>
      <c r="M549">
        <f t="shared" si="70"/>
        <v>55.199999988000002</v>
      </c>
    </row>
    <row r="550" spans="1:13" x14ac:dyDescent="0.25">
      <c r="A550" s="9">
        <f>Speed!A550</f>
        <v>45701.287187499998</v>
      </c>
      <c r="B550" s="9">
        <f t="shared" si="65"/>
        <v>45701.287187499998</v>
      </c>
      <c r="C550" s="2">
        <f>Speed!B550</f>
        <v>15.81944444</v>
      </c>
      <c r="D550" s="9">
        <f>Odometer!A550</f>
        <v>45701.287662037037</v>
      </c>
      <c r="E550" s="9">
        <f t="shared" si="66"/>
        <v>45701.287662037037</v>
      </c>
      <c r="F550" s="2">
        <f>Odometer!B550</f>
        <v>428754433</v>
      </c>
      <c r="G550" s="2">
        <f t="shared" si="67"/>
        <v>19</v>
      </c>
      <c r="H550" s="2">
        <f>SUM($G$2:G550)</f>
        <v>4554</v>
      </c>
      <c r="I550" s="10">
        <f t="shared" si="68"/>
        <v>45701.287187499998</v>
      </c>
      <c r="J550" s="10">
        <f t="shared" si="69"/>
        <v>45701.287187499998</v>
      </c>
      <c r="K550" s="3">
        <f t="shared" si="71"/>
        <v>3894</v>
      </c>
      <c r="L550">
        <f t="shared" si="64"/>
        <v>15.81944444</v>
      </c>
      <c r="M550">
        <f t="shared" si="70"/>
        <v>56.949999984000002</v>
      </c>
    </row>
    <row r="551" spans="1:13" x14ac:dyDescent="0.25">
      <c r="A551" s="9">
        <f>Speed!A551</f>
        <v>45701.287199074075</v>
      </c>
      <c r="B551" s="9">
        <f t="shared" si="65"/>
        <v>45701.287199074075</v>
      </c>
      <c r="C551" s="2">
        <f>Speed!B551</f>
        <v>16.03055556</v>
      </c>
      <c r="D551" s="9">
        <f>Odometer!A551</f>
        <v>45701.287673611114</v>
      </c>
      <c r="E551" s="9">
        <f t="shared" si="66"/>
        <v>45701.287673611107</v>
      </c>
      <c r="F551" s="2">
        <f>Odometer!B551</f>
        <v>428754452</v>
      </c>
      <c r="G551" s="2">
        <f t="shared" si="67"/>
        <v>17</v>
      </c>
      <c r="H551" s="2">
        <f>SUM($G$2:G551)</f>
        <v>4571</v>
      </c>
      <c r="I551" s="10">
        <f t="shared" si="68"/>
        <v>45701.287199074075</v>
      </c>
      <c r="J551" s="10">
        <f t="shared" si="69"/>
        <v>45701.287199074075</v>
      </c>
      <c r="K551" s="3">
        <f t="shared" si="71"/>
        <v>3909</v>
      </c>
      <c r="L551">
        <f t="shared" si="64"/>
        <v>16.03055556</v>
      </c>
      <c r="M551">
        <f t="shared" si="70"/>
        <v>57.710000016000002</v>
      </c>
    </row>
    <row r="552" spans="1:13" x14ac:dyDescent="0.25">
      <c r="A552" s="9">
        <f>Speed!A552</f>
        <v>45701.287210648145</v>
      </c>
      <c r="B552" s="9">
        <f t="shared" si="65"/>
        <v>45701.287210648145</v>
      </c>
      <c r="C552" s="2">
        <f>Speed!B552</f>
        <v>16.194444440000002</v>
      </c>
      <c r="D552" s="9">
        <f>Odometer!A552</f>
        <v>45701.287685185183</v>
      </c>
      <c r="E552" s="9">
        <f t="shared" si="66"/>
        <v>45701.287685185183</v>
      </c>
      <c r="F552" s="2">
        <f>Odometer!B552</f>
        <v>428754469</v>
      </c>
      <c r="G552" s="2">
        <f t="shared" si="67"/>
        <v>20</v>
      </c>
      <c r="H552" s="2">
        <f>SUM($G$2:G552)</f>
        <v>4591</v>
      </c>
      <c r="I552" s="10">
        <f t="shared" si="68"/>
        <v>45701.287210648145</v>
      </c>
      <c r="J552" s="10">
        <f t="shared" si="69"/>
        <v>45701.287210648145</v>
      </c>
      <c r="K552" s="3">
        <f t="shared" si="71"/>
        <v>3925</v>
      </c>
      <c r="L552">
        <f t="shared" si="64"/>
        <v>16.194444440000002</v>
      </c>
      <c r="M552">
        <f t="shared" si="70"/>
        <v>58.29999998400001</v>
      </c>
    </row>
    <row r="553" spans="1:13" x14ac:dyDescent="0.25">
      <c r="A553" s="9">
        <f>Speed!A553</f>
        <v>45701.287210648145</v>
      </c>
      <c r="B553" s="9">
        <f t="shared" si="65"/>
        <v>45701.287210648145</v>
      </c>
      <c r="C553" s="2">
        <f>Speed!B553</f>
        <v>16.413888889999999</v>
      </c>
      <c r="D553" s="9">
        <f>Odometer!A553</f>
        <v>45701.28769675926</v>
      </c>
      <c r="E553" s="9">
        <f t="shared" si="66"/>
        <v>45701.28769675926</v>
      </c>
      <c r="F553" s="2">
        <f>Odometer!B553</f>
        <v>428754489</v>
      </c>
      <c r="G553" s="2">
        <f t="shared" si="67"/>
        <v>17</v>
      </c>
      <c r="H553" s="2">
        <f>SUM($G$2:G553)</f>
        <v>4608</v>
      </c>
      <c r="I553" s="10">
        <f t="shared" si="68"/>
        <v>45701.287210648145</v>
      </c>
      <c r="J553" s="10">
        <f t="shared" si="69"/>
        <v>45701.287210648145</v>
      </c>
      <c r="K553" s="3">
        <f t="shared" si="71"/>
        <v>3925</v>
      </c>
      <c r="L553">
        <f t="shared" si="64"/>
        <v>16.194444440000002</v>
      </c>
      <c r="M553">
        <f t="shared" si="70"/>
        <v>58.29999998400001</v>
      </c>
    </row>
    <row r="554" spans="1:13" x14ac:dyDescent="0.25">
      <c r="A554" s="9">
        <f>Speed!A554</f>
        <v>45701.287233796298</v>
      </c>
      <c r="B554" s="9">
        <f t="shared" si="65"/>
        <v>45701.287233796291</v>
      </c>
      <c r="C554" s="2">
        <f>Speed!B554</f>
        <v>16.461111110000001</v>
      </c>
      <c r="D554" s="9">
        <f>Odometer!A554</f>
        <v>45701.287708333337</v>
      </c>
      <c r="E554" s="9">
        <f t="shared" si="66"/>
        <v>45701.28770833333</v>
      </c>
      <c r="F554" s="2">
        <f>Odometer!B554</f>
        <v>428754506</v>
      </c>
      <c r="G554" s="2">
        <f t="shared" si="67"/>
        <v>18</v>
      </c>
      <c r="H554" s="2">
        <f>SUM($G$2:G554)</f>
        <v>4626</v>
      </c>
      <c r="I554" s="10">
        <f t="shared" si="68"/>
        <v>45701.287233796298</v>
      </c>
      <c r="J554" s="10">
        <f t="shared" si="69"/>
        <v>45701.287233796291</v>
      </c>
      <c r="K554" s="3">
        <f t="shared" si="71"/>
        <v>3959</v>
      </c>
      <c r="L554">
        <f t="shared" si="64"/>
        <v>16.461111110000001</v>
      </c>
      <c r="M554">
        <f t="shared" si="70"/>
        <v>59.259999996000005</v>
      </c>
    </row>
    <row r="555" spans="1:13" x14ac:dyDescent="0.25">
      <c r="A555" s="9">
        <f>Speed!A555</f>
        <v>45701.287245370368</v>
      </c>
      <c r="B555" s="9">
        <f t="shared" si="65"/>
        <v>45701.287245370368</v>
      </c>
      <c r="C555" s="2">
        <f>Speed!B555</f>
        <v>16.51388889</v>
      </c>
      <c r="D555" s="9">
        <f>Odometer!A555</f>
        <v>45701.287708333337</v>
      </c>
      <c r="E555" s="9">
        <f t="shared" si="66"/>
        <v>45701.28770833333</v>
      </c>
      <c r="F555" s="2">
        <f>Odometer!B555</f>
        <v>428754524</v>
      </c>
      <c r="G555" s="2">
        <f t="shared" si="67"/>
        <v>19</v>
      </c>
      <c r="H555" s="2">
        <f>SUM($G$2:G555)</f>
        <v>4645</v>
      </c>
      <c r="I555" s="10">
        <f t="shared" si="68"/>
        <v>45701.287245370368</v>
      </c>
      <c r="J555" s="10">
        <f t="shared" si="69"/>
        <v>45701.287245370368</v>
      </c>
      <c r="K555" s="3">
        <f t="shared" si="71"/>
        <v>3975</v>
      </c>
      <c r="L555">
        <f t="shared" si="64"/>
        <v>16.51388889</v>
      </c>
      <c r="M555">
        <f t="shared" si="70"/>
        <v>59.450000004000003</v>
      </c>
    </row>
    <row r="556" spans="1:13" x14ac:dyDescent="0.25">
      <c r="A556" s="9">
        <f>Speed!A556</f>
        <v>45701.287256944444</v>
      </c>
      <c r="B556" s="9">
        <f t="shared" si="65"/>
        <v>45701.287256944444</v>
      </c>
      <c r="C556" s="2">
        <f>Speed!B556</f>
        <v>16.613888889999998</v>
      </c>
      <c r="D556" s="9">
        <f>Odometer!A556</f>
        <v>45701.287719907406</v>
      </c>
      <c r="E556" s="9">
        <f t="shared" si="66"/>
        <v>45701.287719907406</v>
      </c>
      <c r="F556" s="2">
        <f>Odometer!B556</f>
        <v>428754543</v>
      </c>
      <c r="G556" s="2">
        <f t="shared" si="67"/>
        <v>1</v>
      </c>
      <c r="H556" s="2">
        <f>SUM($G$2:G556)</f>
        <v>4646</v>
      </c>
      <c r="I556" s="10">
        <f t="shared" si="68"/>
        <v>45701.287256944444</v>
      </c>
      <c r="J556" s="10">
        <f t="shared" si="69"/>
        <v>45701.287256944444</v>
      </c>
      <c r="K556" s="3">
        <f t="shared" si="71"/>
        <v>3991</v>
      </c>
      <c r="L556">
        <f t="shared" si="64"/>
        <v>16.613888889999998</v>
      </c>
      <c r="M556">
        <f t="shared" si="70"/>
        <v>59.810000003999995</v>
      </c>
    </row>
    <row r="557" spans="1:13" x14ac:dyDescent="0.25">
      <c r="A557" s="9">
        <f>Speed!A557</f>
        <v>45701.287268518521</v>
      </c>
      <c r="B557" s="9">
        <f t="shared" si="65"/>
        <v>45701.287268518514</v>
      </c>
      <c r="C557" s="2">
        <f>Speed!B557</f>
        <v>16.669444439999999</v>
      </c>
      <c r="D557" s="9">
        <f>Odometer!A557</f>
        <v>45701.287731481483</v>
      </c>
      <c r="E557" s="9">
        <f t="shared" si="66"/>
        <v>45701.287731481476</v>
      </c>
      <c r="F557" s="2">
        <f>Odometer!B557</f>
        <v>428754544</v>
      </c>
      <c r="G557" s="2">
        <f t="shared" si="67"/>
        <v>17</v>
      </c>
      <c r="H557" s="2">
        <f>SUM($G$2:G557)</f>
        <v>4663</v>
      </c>
      <c r="I557" s="10">
        <f t="shared" si="68"/>
        <v>45701.287268518521</v>
      </c>
      <c r="J557" s="10">
        <f t="shared" si="69"/>
        <v>45701.287268518514</v>
      </c>
      <c r="K557" s="3">
        <f t="shared" si="71"/>
        <v>3996</v>
      </c>
      <c r="L557">
        <f t="shared" si="64"/>
        <v>16.669444439999999</v>
      </c>
      <c r="M557">
        <f t="shared" si="70"/>
        <v>60.009999983999997</v>
      </c>
    </row>
    <row r="558" spans="1:13" x14ac:dyDescent="0.25">
      <c r="A558" s="9">
        <f>Speed!A558</f>
        <v>45701.287268518521</v>
      </c>
      <c r="B558" s="9">
        <f t="shared" si="65"/>
        <v>45701.287268518514</v>
      </c>
      <c r="C558" s="2">
        <f>Speed!B558</f>
        <v>16.672222219999998</v>
      </c>
      <c r="D558" s="9">
        <f>Odometer!A558</f>
        <v>45701.287743055553</v>
      </c>
      <c r="E558" s="9">
        <f t="shared" si="66"/>
        <v>45701.287743055553</v>
      </c>
      <c r="F558" s="2">
        <f>Odometer!B558</f>
        <v>428754561</v>
      </c>
      <c r="G558" s="2">
        <f t="shared" si="67"/>
        <v>19</v>
      </c>
      <c r="H558" s="2">
        <f>SUM($G$2:G558)</f>
        <v>4682</v>
      </c>
      <c r="I558" s="10">
        <f t="shared" si="68"/>
        <v>45701.287268518521</v>
      </c>
      <c r="J558" s="10">
        <f t="shared" si="69"/>
        <v>45701.287268518514</v>
      </c>
      <c r="K558" s="3">
        <f t="shared" si="71"/>
        <v>3996</v>
      </c>
      <c r="L558">
        <f t="shared" si="64"/>
        <v>16.669444439999999</v>
      </c>
      <c r="M558">
        <f t="shared" si="70"/>
        <v>60.009999983999997</v>
      </c>
    </row>
    <row r="559" spans="1:13" x14ac:dyDescent="0.25">
      <c r="A559" s="9">
        <f>Speed!A559</f>
        <v>45701.287268518521</v>
      </c>
      <c r="B559" s="9">
        <f t="shared" si="65"/>
        <v>45701.287268518514</v>
      </c>
      <c r="C559" s="2">
        <f>Speed!B559</f>
        <v>16.605555559999999</v>
      </c>
      <c r="D559" s="9">
        <f>Odometer!A559</f>
        <v>45701.287743055553</v>
      </c>
      <c r="E559" s="9">
        <f t="shared" si="66"/>
        <v>45701.287743055553</v>
      </c>
      <c r="F559" s="2">
        <f>Odometer!B559</f>
        <v>428754580</v>
      </c>
      <c r="G559" s="2">
        <f t="shared" si="67"/>
        <v>19</v>
      </c>
      <c r="H559" s="2">
        <f>SUM($G$2:G559)</f>
        <v>4701</v>
      </c>
      <c r="I559" s="10">
        <f t="shared" si="68"/>
        <v>45701.287268518521</v>
      </c>
      <c r="J559" s="10">
        <f t="shared" si="69"/>
        <v>45701.287268518514</v>
      </c>
      <c r="K559" s="3">
        <f t="shared" si="71"/>
        <v>3996</v>
      </c>
      <c r="L559">
        <f t="shared" si="64"/>
        <v>16.669444439999999</v>
      </c>
      <c r="M559">
        <f t="shared" si="70"/>
        <v>60.009999983999997</v>
      </c>
    </row>
    <row r="560" spans="1:13" x14ac:dyDescent="0.25">
      <c r="A560" s="9">
        <f>Speed!A560</f>
        <v>45701.287291666667</v>
      </c>
      <c r="B560" s="9">
        <f t="shared" si="65"/>
        <v>45701.287291666667</v>
      </c>
      <c r="C560" s="2">
        <f>Speed!B560</f>
        <v>16.491666670000001</v>
      </c>
      <c r="D560" s="9">
        <f>Odometer!A560</f>
        <v>45701.287766203706</v>
      </c>
      <c r="E560" s="9">
        <f t="shared" si="66"/>
        <v>45701.287766203699</v>
      </c>
      <c r="F560" s="2">
        <f>Odometer!B560</f>
        <v>428754599</v>
      </c>
      <c r="G560" s="2">
        <f t="shared" si="67"/>
        <v>16</v>
      </c>
      <c r="H560" s="2">
        <f>SUM($G$2:G560)</f>
        <v>4717</v>
      </c>
      <c r="I560" s="10">
        <f t="shared" si="68"/>
        <v>45701.287291666667</v>
      </c>
      <c r="J560" s="10">
        <f t="shared" si="69"/>
        <v>45701.287291666667</v>
      </c>
      <c r="K560" s="3">
        <f t="shared" si="71"/>
        <v>4043</v>
      </c>
      <c r="L560">
        <f t="shared" si="64"/>
        <v>16.491666670000001</v>
      </c>
      <c r="M560">
        <f t="shared" si="70"/>
        <v>59.370000012000006</v>
      </c>
    </row>
    <row r="561" spans="1:13" x14ac:dyDescent="0.25">
      <c r="A561" s="9">
        <f>Speed!A561</f>
        <v>45701.287303240744</v>
      </c>
      <c r="B561" s="9">
        <f t="shared" si="65"/>
        <v>45701.287303240737</v>
      </c>
      <c r="C561" s="2">
        <f>Speed!B561</f>
        <v>16.341666669999999</v>
      </c>
      <c r="D561" s="9">
        <f>Odometer!A561</f>
        <v>45701.287766203706</v>
      </c>
      <c r="E561" s="9">
        <f t="shared" si="66"/>
        <v>45701.287766203699</v>
      </c>
      <c r="F561" s="2">
        <f>Odometer!B561</f>
        <v>428754615</v>
      </c>
      <c r="G561" s="2">
        <f t="shared" si="67"/>
        <v>2</v>
      </c>
      <c r="H561" s="2">
        <f>SUM($G$2:G561)</f>
        <v>4719</v>
      </c>
      <c r="I561" s="10">
        <f t="shared" si="68"/>
        <v>45701.287303240744</v>
      </c>
      <c r="J561" s="10">
        <f t="shared" si="69"/>
        <v>45701.287303240737</v>
      </c>
      <c r="K561" s="3">
        <f t="shared" si="71"/>
        <v>4047</v>
      </c>
      <c r="L561">
        <f t="shared" si="64"/>
        <v>16.341666669999999</v>
      </c>
      <c r="M561">
        <f t="shared" si="70"/>
        <v>58.830000011999999</v>
      </c>
    </row>
    <row r="562" spans="1:13" x14ac:dyDescent="0.25">
      <c r="A562" s="9">
        <f>Speed!A562</f>
        <v>45701.287303240744</v>
      </c>
      <c r="B562" s="9">
        <f t="shared" si="65"/>
        <v>45701.287303240737</v>
      </c>
      <c r="C562" s="2">
        <f>Speed!B562</f>
        <v>16.311111109999999</v>
      </c>
      <c r="D562" s="9">
        <f>Odometer!A562</f>
        <v>45701.287777777776</v>
      </c>
      <c r="E562" s="9">
        <f t="shared" si="66"/>
        <v>45701.287777777776</v>
      </c>
      <c r="F562" s="2">
        <f>Odometer!B562</f>
        <v>428754617</v>
      </c>
      <c r="G562" s="2">
        <f t="shared" si="67"/>
        <v>4</v>
      </c>
      <c r="H562" s="2">
        <f>SUM($G$2:G562)</f>
        <v>4723</v>
      </c>
      <c r="I562" s="10">
        <f t="shared" si="68"/>
        <v>45701.287303240744</v>
      </c>
      <c r="J562" s="10">
        <f t="shared" si="69"/>
        <v>45701.287303240737</v>
      </c>
      <c r="K562" s="3">
        <f t="shared" si="71"/>
        <v>4047</v>
      </c>
      <c r="L562">
        <f t="shared" si="64"/>
        <v>16.341666669999999</v>
      </c>
      <c r="M562">
        <f t="shared" si="70"/>
        <v>58.830000011999999</v>
      </c>
    </row>
    <row r="563" spans="1:13" x14ac:dyDescent="0.25">
      <c r="A563" s="9">
        <f>Speed!A563</f>
        <v>45701.287303240744</v>
      </c>
      <c r="B563" s="9">
        <f t="shared" si="65"/>
        <v>45701.287303240737</v>
      </c>
      <c r="C563" s="2">
        <f>Speed!B563</f>
        <v>16.26388889</v>
      </c>
      <c r="D563" s="9">
        <f>Odometer!A563</f>
        <v>45701.287777777776</v>
      </c>
      <c r="E563" s="9">
        <f t="shared" si="66"/>
        <v>45701.287777777776</v>
      </c>
      <c r="F563" s="2">
        <f>Odometer!B563</f>
        <v>428754621</v>
      </c>
      <c r="G563" s="2">
        <f t="shared" si="67"/>
        <v>14</v>
      </c>
      <c r="H563" s="2">
        <f>SUM($G$2:G563)</f>
        <v>4737</v>
      </c>
      <c r="I563" s="10">
        <f t="shared" si="68"/>
        <v>45701.287303240744</v>
      </c>
      <c r="J563" s="10">
        <f t="shared" si="69"/>
        <v>45701.287303240737</v>
      </c>
      <c r="K563" s="3">
        <f t="shared" si="71"/>
        <v>4047</v>
      </c>
      <c r="L563">
        <f t="shared" si="64"/>
        <v>16.341666669999999</v>
      </c>
      <c r="M563">
        <f t="shared" si="70"/>
        <v>58.830000011999999</v>
      </c>
    </row>
    <row r="564" spans="1:13" x14ac:dyDescent="0.25">
      <c r="A564" s="9">
        <f>Speed!A564</f>
        <v>45701.287314814814</v>
      </c>
      <c r="B564" s="9">
        <f t="shared" si="65"/>
        <v>45701.287314814814</v>
      </c>
      <c r="C564" s="2">
        <f>Speed!B564</f>
        <v>16.18333333</v>
      </c>
      <c r="D564" s="9">
        <f>Odometer!A564</f>
        <v>45701.287789351853</v>
      </c>
      <c r="E564" s="9">
        <f t="shared" si="66"/>
        <v>45701.287789351853</v>
      </c>
      <c r="F564" s="2">
        <f>Odometer!B564</f>
        <v>428754635</v>
      </c>
      <c r="G564" s="2">
        <f t="shared" si="67"/>
        <v>17</v>
      </c>
      <c r="H564" s="2">
        <f>SUM($G$2:G564)</f>
        <v>4754</v>
      </c>
      <c r="I564" s="10">
        <f t="shared" si="68"/>
        <v>45701.287314814814</v>
      </c>
      <c r="J564" s="10">
        <f t="shared" si="69"/>
        <v>45701.287314814814</v>
      </c>
      <c r="K564" s="3">
        <f t="shared" si="71"/>
        <v>4073</v>
      </c>
      <c r="L564">
        <f t="shared" si="64"/>
        <v>16.18333333</v>
      </c>
      <c r="M564">
        <f t="shared" si="70"/>
        <v>58.259999988000004</v>
      </c>
    </row>
    <row r="565" spans="1:13" x14ac:dyDescent="0.25">
      <c r="A565" s="9">
        <f>Speed!A565</f>
        <v>45701.287326388891</v>
      </c>
      <c r="B565" s="9">
        <f t="shared" si="65"/>
        <v>45701.287326388883</v>
      </c>
      <c r="C565" s="2">
        <f>Speed!B565</f>
        <v>15.70833333</v>
      </c>
      <c r="D565" s="9">
        <f>Odometer!A565</f>
        <v>45701.287800925929</v>
      </c>
      <c r="E565" s="9">
        <f t="shared" si="66"/>
        <v>45701.287800925922</v>
      </c>
      <c r="F565" s="2">
        <f>Odometer!B565</f>
        <v>428754652</v>
      </c>
      <c r="G565" s="2">
        <f t="shared" si="67"/>
        <v>17</v>
      </c>
      <c r="H565" s="2">
        <f>SUM($G$2:G565)</f>
        <v>4771</v>
      </c>
      <c r="I565" s="10">
        <f t="shared" si="68"/>
        <v>45701.287326388891</v>
      </c>
      <c r="J565" s="10">
        <f t="shared" si="69"/>
        <v>45701.287326388883</v>
      </c>
      <c r="K565" s="3">
        <f t="shared" si="71"/>
        <v>4090</v>
      </c>
      <c r="L565">
        <f t="shared" si="64"/>
        <v>15.70833333</v>
      </c>
      <c r="M565">
        <f t="shared" si="70"/>
        <v>56.549999988000003</v>
      </c>
    </row>
    <row r="566" spans="1:13" x14ac:dyDescent="0.25">
      <c r="A566" s="9">
        <f>Speed!A566</f>
        <v>45701.287326388891</v>
      </c>
      <c r="B566" s="9">
        <f t="shared" si="65"/>
        <v>45701.287326388883</v>
      </c>
      <c r="C566" s="2">
        <f>Speed!B566</f>
        <v>15.355555560000001</v>
      </c>
      <c r="D566" s="9">
        <f>Odometer!A566</f>
        <v>45701.287812499999</v>
      </c>
      <c r="E566" s="9">
        <f t="shared" si="66"/>
        <v>45701.287812499999</v>
      </c>
      <c r="F566" s="2">
        <f>Odometer!B566</f>
        <v>428754669</v>
      </c>
      <c r="G566" s="2">
        <f t="shared" si="67"/>
        <v>18</v>
      </c>
      <c r="H566" s="2">
        <f>SUM($G$2:G566)</f>
        <v>4789</v>
      </c>
      <c r="I566" s="10">
        <f t="shared" si="68"/>
        <v>45701.287326388891</v>
      </c>
      <c r="J566" s="10">
        <f t="shared" si="69"/>
        <v>45701.287326388883</v>
      </c>
      <c r="K566" s="3">
        <f t="shared" si="71"/>
        <v>4090</v>
      </c>
      <c r="L566">
        <f t="shared" si="64"/>
        <v>15.70833333</v>
      </c>
      <c r="M566">
        <f t="shared" si="70"/>
        <v>56.549999988000003</v>
      </c>
    </row>
    <row r="567" spans="1:13" x14ac:dyDescent="0.25">
      <c r="A567" s="9">
        <f>Speed!A567</f>
        <v>45701.287349537037</v>
      </c>
      <c r="B567" s="9">
        <f t="shared" si="65"/>
        <v>45701.287349537037</v>
      </c>
      <c r="C567" s="2">
        <f>Speed!B567</f>
        <v>14.95833333</v>
      </c>
      <c r="D567" s="9">
        <f>Odometer!A567</f>
        <v>45701.287812499999</v>
      </c>
      <c r="E567" s="9">
        <f t="shared" si="66"/>
        <v>45701.287812499999</v>
      </c>
      <c r="F567" s="2">
        <f>Odometer!B567</f>
        <v>428754687</v>
      </c>
      <c r="G567" s="2">
        <f t="shared" si="67"/>
        <v>15</v>
      </c>
      <c r="H567" s="2">
        <f>SUM($G$2:G567)</f>
        <v>4804</v>
      </c>
      <c r="I567" s="10">
        <f t="shared" si="68"/>
        <v>45701.287349537037</v>
      </c>
      <c r="J567" s="10">
        <f t="shared" si="69"/>
        <v>45701.287349537037</v>
      </c>
      <c r="K567" s="3">
        <f t="shared" si="71"/>
        <v>4119</v>
      </c>
      <c r="L567">
        <f t="shared" si="64"/>
        <v>14.95833333</v>
      </c>
      <c r="M567">
        <f t="shared" si="70"/>
        <v>53.849999988</v>
      </c>
    </row>
    <row r="568" spans="1:13" x14ac:dyDescent="0.25">
      <c r="A568" s="9">
        <f>Speed!A568</f>
        <v>45701.287361111114</v>
      </c>
      <c r="B568" s="9">
        <f t="shared" si="65"/>
        <v>45701.287361111106</v>
      </c>
      <c r="C568" s="2">
        <f>Speed!B568</f>
        <v>14.5</v>
      </c>
      <c r="D568" s="9">
        <f>Odometer!A568</f>
        <v>45701.287835648145</v>
      </c>
      <c r="E568" s="9">
        <f t="shared" si="66"/>
        <v>45701.287835648145</v>
      </c>
      <c r="F568" s="2">
        <f>Odometer!B568</f>
        <v>428754702</v>
      </c>
      <c r="G568" s="2">
        <f t="shared" si="67"/>
        <v>17</v>
      </c>
      <c r="H568" s="2">
        <f>SUM($G$2:G568)</f>
        <v>4821</v>
      </c>
      <c r="I568" s="10">
        <f t="shared" si="68"/>
        <v>45701.287361111114</v>
      </c>
      <c r="J568" s="10">
        <f t="shared" si="69"/>
        <v>45701.287361111106</v>
      </c>
      <c r="K568" s="3">
        <f t="shared" si="71"/>
        <v>4134</v>
      </c>
      <c r="L568">
        <f t="shared" si="64"/>
        <v>14.5</v>
      </c>
      <c r="M568">
        <f t="shared" si="70"/>
        <v>52.2</v>
      </c>
    </row>
    <row r="569" spans="1:13" x14ac:dyDescent="0.25">
      <c r="A569" s="9">
        <f>Speed!A569</f>
        <v>45701.287372685183</v>
      </c>
      <c r="B569" s="9">
        <f t="shared" si="65"/>
        <v>45701.287372685183</v>
      </c>
      <c r="C569" s="2">
        <f>Speed!B569</f>
        <v>14.186111110000001</v>
      </c>
      <c r="D569" s="9">
        <f>Odometer!A569</f>
        <v>45701.287835648145</v>
      </c>
      <c r="E569" s="9">
        <f t="shared" si="66"/>
        <v>45701.287835648145</v>
      </c>
      <c r="F569" s="2">
        <f>Odometer!B569</f>
        <v>428754719</v>
      </c>
      <c r="G569" s="2">
        <f t="shared" si="67"/>
        <v>1</v>
      </c>
      <c r="H569" s="2">
        <f>SUM($G$2:G569)</f>
        <v>4822</v>
      </c>
      <c r="I569" s="10">
        <f t="shared" si="68"/>
        <v>45701.287372685183</v>
      </c>
      <c r="J569" s="10">
        <f t="shared" si="69"/>
        <v>45701.287372685183</v>
      </c>
      <c r="K569" s="3">
        <f t="shared" si="71"/>
        <v>4147</v>
      </c>
      <c r="L569">
        <f t="shared" si="64"/>
        <v>14.186111110000001</v>
      </c>
      <c r="M569">
        <f t="shared" si="70"/>
        <v>51.069999996</v>
      </c>
    </row>
    <row r="570" spans="1:13" x14ac:dyDescent="0.25">
      <c r="A570" s="9">
        <f>Speed!A570</f>
        <v>45701.287372685183</v>
      </c>
      <c r="B570" s="9">
        <f t="shared" si="65"/>
        <v>45701.287372685183</v>
      </c>
      <c r="C570" s="2">
        <f>Speed!B570</f>
        <v>14.17222222</v>
      </c>
      <c r="D570" s="9">
        <f>Odometer!A570</f>
        <v>45701.287847222222</v>
      </c>
      <c r="E570" s="9">
        <f t="shared" si="66"/>
        <v>45701.287847222222</v>
      </c>
      <c r="F570" s="2">
        <f>Odometer!B570</f>
        <v>428754720</v>
      </c>
      <c r="G570" s="2">
        <f t="shared" si="67"/>
        <v>17</v>
      </c>
      <c r="H570" s="2">
        <f>SUM($G$2:G570)</f>
        <v>4839</v>
      </c>
      <c r="I570" s="10">
        <f t="shared" si="68"/>
        <v>45701.287372685183</v>
      </c>
      <c r="J570" s="10">
        <f t="shared" si="69"/>
        <v>45701.287372685183</v>
      </c>
      <c r="K570" s="3">
        <f t="shared" si="71"/>
        <v>4147</v>
      </c>
      <c r="L570">
        <f t="shared" si="64"/>
        <v>14.186111110000001</v>
      </c>
      <c r="M570">
        <f t="shared" si="70"/>
        <v>51.069999996</v>
      </c>
    </row>
    <row r="571" spans="1:13" x14ac:dyDescent="0.25">
      <c r="A571" s="9">
        <f>Speed!A571</f>
        <v>45701.28738425926</v>
      </c>
      <c r="B571" s="9">
        <f t="shared" si="65"/>
        <v>45701.28738425926</v>
      </c>
      <c r="C571" s="2">
        <f>Speed!B571</f>
        <v>13.880555559999999</v>
      </c>
      <c r="D571" s="9">
        <f>Odometer!A571</f>
        <v>45701.287858796299</v>
      </c>
      <c r="E571" s="9">
        <f t="shared" si="66"/>
        <v>45701.287858796291</v>
      </c>
      <c r="F571" s="2">
        <f>Odometer!B571</f>
        <v>428754737</v>
      </c>
      <c r="G571" s="2">
        <f t="shared" si="67"/>
        <v>15</v>
      </c>
      <c r="H571" s="2">
        <f>SUM($G$2:G571)</f>
        <v>4854</v>
      </c>
      <c r="I571" s="10">
        <f t="shared" si="68"/>
        <v>45701.28738425926</v>
      </c>
      <c r="J571" s="10">
        <f t="shared" si="69"/>
        <v>45701.28738425926</v>
      </c>
      <c r="K571" s="3">
        <f t="shared" si="71"/>
        <v>4162</v>
      </c>
      <c r="L571">
        <f t="shared" si="64"/>
        <v>13.880555559999999</v>
      </c>
      <c r="M571">
        <f t="shared" si="70"/>
        <v>49.970000016</v>
      </c>
    </row>
    <row r="572" spans="1:13" x14ac:dyDescent="0.25">
      <c r="A572" s="9">
        <f>Speed!A572</f>
        <v>45701.287395833337</v>
      </c>
      <c r="B572" s="9">
        <f t="shared" si="65"/>
        <v>45701.287395833329</v>
      </c>
      <c r="C572" s="2">
        <f>Speed!B572</f>
        <v>13.380555559999999</v>
      </c>
      <c r="D572" s="9">
        <f>Odometer!A572</f>
        <v>45701.287870370368</v>
      </c>
      <c r="E572" s="9">
        <f t="shared" si="66"/>
        <v>45701.287870370368</v>
      </c>
      <c r="F572" s="2">
        <f>Odometer!B572</f>
        <v>428754752</v>
      </c>
      <c r="G572" s="2">
        <f t="shared" si="67"/>
        <v>16</v>
      </c>
      <c r="H572" s="2">
        <f>SUM($G$2:G572)</f>
        <v>4870</v>
      </c>
      <c r="I572" s="10">
        <f t="shared" si="68"/>
        <v>45701.287395833337</v>
      </c>
      <c r="J572" s="10">
        <f t="shared" si="69"/>
        <v>45701.287395833329</v>
      </c>
      <c r="K572" s="3">
        <f t="shared" si="71"/>
        <v>4165</v>
      </c>
      <c r="L572">
        <f t="shared" si="64"/>
        <v>13.380555559999999</v>
      </c>
      <c r="M572">
        <f t="shared" si="70"/>
        <v>48.170000015999996</v>
      </c>
    </row>
    <row r="573" spans="1:13" x14ac:dyDescent="0.25">
      <c r="A573" s="9">
        <f>Speed!A573</f>
        <v>45701.287395833337</v>
      </c>
      <c r="B573" s="9">
        <f t="shared" si="65"/>
        <v>45701.287395833329</v>
      </c>
      <c r="C573" s="2">
        <f>Speed!B573</f>
        <v>13.277777779999999</v>
      </c>
      <c r="D573" s="9">
        <f>Odometer!A573</f>
        <v>45701.287881944445</v>
      </c>
      <c r="E573" s="9">
        <f t="shared" si="66"/>
        <v>45701.287881944445</v>
      </c>
      <c r="F573" s="2">
        <f>Odometer!B573</f>
        <v>428754768</v>
      </c>
      <c r="G573" s="2">
        <f t="shared" si="67"/>
        <v>15</v>
      </c>
      <c r="H573" s="2">
        <f>SUM($G$2:G573)</f>
        <v>4885</v>
      </c>
      <c r="I573" s="10">
        <f t="shared" si="68"/>
        <v>45701.287395833337</v>
      </c>
      <c r="J573" s="10">
        <f t="shared" si="69"/>
        <v>45701.287395833329</v>
      </c>
      <c r="K573" s="3">
        <f t="shared" si="71"/>
        <v>4165</v>
      </c>
      <c r="L573">
        <f t="shared" si="64"/>
        <v>13.380555559999999</v>
      </c>
      <c r="M573">
        <f t="shared" si="70"/>
        <v>48.170000015999996</v>
      </c>
    </row>
    <row r="574" spans="1:13" x14ac:dyDescent="0.25">
      <c r="A574" s="9">
        <f>Speed!A574</f>
        <v>45701.287395833337</v>
      </c>
      <c r="B574" s="9">
        <f t="shared" si="65"/>
        <v>45701.287395833329</v>
      </c>
      <c r="C574" s="2">
        <f>Speed!B574</f>
        <v>13.152777779999999</v>
      </c>
      <c r="D574" s="9">
        <f>Odometer!A574</f>
        <v>45701.287893518522</v>
      </c>
      <c r="E574" s="9">
        <f t="shared" si="66"/>
        <v>45701.287893518514</v>
      </c>
      <c r="F574" s="2">
        <f>Odometer!B574</f>
        <v>428754783</v>
      </c>
      <c r="G574" s="2">
        <f t="shared" si="67"/>
        <v>14</v>
      </c>
      <c r="H574" s="2">
        <f>SUM($G$2:G574)</f>
        <v>4899</v>
      </c>
      <c r="I574" s="10">
        <f t="shared" si="68"/>
        <v>45701.287395833337</v>
      </c>
      <c r="J574" s="10">
        <f t="shared" si="69"/>
        <v>45701.287395833329</v>
      </c>
      <c r="K574" s="3">
        <f t="shared" si="71"/>
        <v>4165</v>
      </c>
      <c r="L574">
        <f t="shared" si="64"/>
        <v>13.380555559999999</v>
      </c>
      <c r="M574">
        <f t="shared" si="70"/>
        <v>48.170000015999996</v>
      </c>
    </row>
    <row r="575" spans="1:13" x14ac:dyDescent="0.25">
      <c r="A575" s="9">
        <f>Speed!A575</f>
        <v>45701.287407407406</v>
      </c>
      <c r="B575" s="9">
        <f t="shared" si="65"/>
        <v>45701.287407407406</v>
      </c>
      <c r="C575" s="2">
        <f>Speed!B575</f>
        <v>13.105555560000001</v>
      </c>
      <c r="D575" s="9">
        <f>Odometer!A575</f>
        <v>45701.287905092591</v>
      </c>
      <c r="E575" s="9">
        <f t="shared" si="66"/>
        <v>45701.287905092591</v>
      </c>
      <c r="F575" s="2">
        <f>Odometer!B575</f>
        <v>428754797</v>
      </c>
      <c r="G575" s="2">
        <f t="shared" si="67"/>
        <v>13</v>
      </c>
      <c r="H575" s="2">
        <f>SUM($G$2:G575)</f>
        <v>4912</v>
      </c>
      <c r="I575" s="10">
        <f t="shared" si="68"/>
        <v>45701.287407407406</v>
      </c>
      <c r="J575" s="10">
        <f t="shared" si="69"/>
        <v>45701.287407407406</v>
      </c>
      <c r="K575" s="3">
        <f t="shared" si="71"/>
        <v>4187</v>
      </c>
      <c r="L575">
        <f t="shared" si="64"/>
        <v>13.105555560000001</v>
      </c>
      <c r="M575">
        <f t="shared" si="70"/>
        <v>47.180000016000001</v>
      </c>
    </row>
    <row r="576" spans="1:13" x14ac:dyDescent="0.25">
      <c r="A576" s="9">
        <f>Speed!A576</f>
        <v>45701.287418981483</v>
      </c>
      <c r="B576" s="9">
        <f t="shared" si="65"/>
        <v>45701.287418981476</v>
      </c>
      <c r="C576" s="2">
        <f>Speed!B576</f>
        <v>13.038888890000001</v>
      </c>
      <c r="D576" s="9">
        <f>Odometer!A576</f>
        <v>45701.287905092591</v>
      </c>
      <c r="E576" s="9">
        <f t="shared" si="66"/>
        <v>45701.287905092591</v>
      </c>
      <c r="F576" s="2">
        <f>Odometer!B576</f>
        <v>428754810</v>
      </c>
      <c r="G576" s="2">
        <f t="shared" si="67"/>
        <v>1</v>
      </c>
      <c r="H576" s="2">
        <f>SUM($G$2:G576)</f>
        <v>4913</v>
      </c>
      <c r="I576" s="10">
        <f t="shared" si="68"/>
        <v>45701.287418981483</v>
      </c>
      <c r="J576" s="10">
        <f t="shared" si="69"/>
        <v>45701.287418981476</v>
      </c>
      <c r="K576" s="3">
        <f t="shared" si="71"/>
        <v>4194</v>
      </c>
      <c r="L576">
        <f t="shared" si="64"/>
        <v>13.038888890000001</v>
      </c>
      <c r="M576">
        <f t="shared" si="70"/>
        <v>46.940000004000005</v>
      </c>
    </row>
    <row r="577" spans="1:13" x14ac:dyDescent="0.25">
      <c r="A577" s="9">
        <f>Speed!A577</f>
        <v>45701.287418981483</v>
      </c>
      <c r="B577" s="9">
        <f t="shared" si="65"/>
        <v>45701.287418981476</v>
      </c>
      <c r="C577" s="2">
        <f>Speed!B577</f>
        <v>13.01388889</v>
      </c>
      <c r="D577" s="9">
        <f>Odometer!A577</f>
        <v>45701.287916666668</v>
      </c>
      <c r="E577" s="9">
        <f t="shared" si="66"/>
        <v>45701.287916666668</v>
      </c>
      <c r="F577" s="2">
        <f>Odometer!B577</f>
        <v>428754811</v>
      </c>
      <c r="G577" s="2">
        <f t="shared" si="67"/>
        <v>12</v>
      </c>
      <c r="H577" s="2">
        <f>SUM($G$2:G577)</f>
        <v>4925</v>
      </c>
      <c r="I577" s="10">
        <f t="shared" si="68"/>
        <v>45701.287418981483</v>
      </c>
      <c r="J577" s="10">
        <f t="shared" si="69"/>
        <v>45701.287418981476</v>
      </c>
      <c r="K577" s="3">
        <f t="shared" si="71"/>
        <v>4194</v>
      </c>
      <c r="L577">
        <f t="shared" si="64"/>
        <v>13.038888890000001</v>
      </c>
      <c r="M577">
        <f t="shared" si="70"/>
        <v>46.940000004000005</v>
      </c>
    </row>
    <row r="578" spans="1:13" x14ac:dyDescent="0.25">
      <c r="A578" s="9">
        <f>Speed!A578</f>
        <v>45701.287418981483</v>
      </c>
      <c r="B578" s="9">
        <f t="shared" si="65"/>
        <v>45701.287418981476</v>
      </c>
      <c r="C578" s="2">
        <f>Speed!B578</f>
        <v>13.016666669999999</v>
      </c>
      <c r="D578" s="9">
        <f>Odometer!A578</f>
        <v>45701.287928240738</v>
      </c>
      <c r="E578" s="9">
        <f t="shared" si="66"/>
        <v>45701.287928240738</v>
      </c>
      <c r="F578" s="2">
        <f>Odometer!B578</f>
        <v>428754823</v>
      </c>
      <c r="G578" s="2">
        <f t="shared" si="67"/>
        <v>13</v>
      </c>
      <c r="H578" s="2">
        <f>SUM($G$2:G578)</f>
        <v>4938</v>
      </c>
      <c r="I578" s="10">
        <f t="shared" si="68"/>
        <v>45701.287418981483</v>
      </c>
      <c r="J578" s="10">
        <f t="shared" si="69"/>
        <v>45701.287418981476</v>
      </c>
      <c r="K578" s="3">
        <f t="shared" si="71"/>
        <v>4194</v>
      </c>
      <c r="L578">
        <f t="shared" ref="L578:L641" si="72">INDEX($C$2:$C$2000, MATCH(I578,$A$2:$A$2000,0))</f>
        <v>13.038888890000001</v>
      </c>
      <c r="M578">
        <f t="shared" si="70"/>
        <v>46.940000004000005</v>
      </c>
    </row>
    <row r="579" spans="1:13" x14ac:dyDescent="0.25">
      <c r="A579" s="9">
        <f>Speed!A579</f>
        <v>45701.287430555552</v>
      </c>
      <c r="B579" s="9">
        <f t="shared" ref="B579:B642" si="73">MROUND(A579,"00:00:01")</f>
        <v>45701.287430555552</v>
      </c>
      <c r="C579" s="2">
        <f>Speed!B579</f>
        <v>13.169444439999999</v>
      </c>
      <c r="D579" s="9">
        <f>Odometer!A579</f>
        <v>45701.287939814814</v>
      </c>
      <c r="E579" s="9">
        <f t="shared" ref="E579:E642" si="74">MROUND(D579,"00:00:01")</f>
        <v>45701.287939814814</v>
      </c>
      <c r="F579" s="2">
        <f>Odometer!B579</f>
        <v>428754836</v>
      </c>
      <c r="G579" s="2">
        <f t="shared" ref="G579:G642" si="75">IF(F580-F579&lt;0,0,F580-F579)</f>
        <v>13</v>
      </c>
      <c r="H579" s="2">
        <f>SUM($G$2:G579)</f>
        <v>4951</v>
      </c>
      <c r="I579" s="10">
        <f t="shared" ref="I579:I642" si="76">A579</f>
        <v>45701.287430555552</v>
      </c>
      <c r="J579" s="10">
        <f t="shared" ref="J579:J642" si="77">MROUND(I579,"0:00:01")</f>
        <v>45701.287430555552</v>
      </c>
      <c r="K579" s="3">
        <f t="shared" si="71"/>
        <v>4214</v>
      </c>
      <c r="L579">
        <f t="shared" si="72"/>
        <v>13.169444439999999</v>
      </c>
      <c r="M579">
        <f t="shared" ref="M579:M642" si="78">L579*3.6</f>
        <v>47.409999984000002</v>
      </c>
    </row>
    <row r="580" spans="1:13" x14ac:dyDescent="0.25">
      <c r="A580" s="9">
        <f>Speed!A580</f>
        <v>45701.287442129629</v>
      </c>
      <c r="B580" s="9">
        <f t="shared" si="73"/>
        <v>45701.287442129629</v>
      </c>
      <c r="C580" s="2">
        <f>Speed!B580</f>
        <v>13.51388889</v>
      </c>
      <c r="D580" s="9">
        <f>Odometer!A580</f>
        <v>45701.287951388891</v>
      </c>
      <c r="E580" s="9">
        <f t="shared" si="74"/>
        <v>45701.287951388884</v>
      </c>
      <c r="F580" s="2">
        <f>Odometer!B580</f>
        <v>428754849</v>
      </c>
      <c r="G580" s="2">
        <f t="shared" si="75"/>
        <v>11</v>
      </c>
      <c r="H580" s="2">
        <f>SUM($G$2:G580)</f>
        <v>4962</v>
      </c>
      <c r="I580" s="10">
        <f t="shared" si="76"/>
        <v>45701.287442129629</v>
      </c>
      <c r="J580" s="10">
        <f t="shared" si="77"/>
        <v>45701.287442129629</v>
      </c>
      <c r="K580" s="3">
        <f t="shared" ref="K580:K643" si="79">IFERROR(INDEX($H$2:$H$2000,MATCH(J580,$E$2:$E$2000,0)),NA())</f>
        <v>4227</v>
      </c>
      <c r="L580">
        <f t="shared" si="72"/>
        <v>13.51388889</v>
      </c>
      <c r="M580">
        <f t="shared" si="78"/>
        <v>48.650000004000006</v>
      </c>
    </row>
    <row r="581" spans="1:13" x14ac:dyDescent="0.25">
      <c r="A581" s="9">
        <f>Speed!A581</f>
        <v>45701.287453703706</v>
      </c>
      <c r="B581" s="9">
        <f t="shared" si="73"/>
        <v>45701.287453703699</v>
      </c>
      <c r="C581" s="2">
        <f>Speed!B581</f>
        <v>13.811111110000001</v>
      </c>
      <c r="D581" s="9">
        <f>Odometer!A581</f>
        <v>45701.287962962961</v>
      </c>
      <c r="E581" s="9">
        <f t="shared" si="74"/>
        <v>45701.287962962961</v>
      </c>
      <c r="F581" s="2">
        <f>Odometer!B581</f>
        <v>428754860</v>
      </c>
      <c r="G581" s="2">
        <f t="shared" si="75"/>
        <v>3</v>
      </c>
      <c r="H581" s="2">
        <f>SUM($G$2:G581)</f>
        <v>4965</v>
      </c>
      <c r="I581" s="10">
        <f t="shared" si="76"/>
        <v>45701.287453703706</v>
      </c>
      <c r="J581" s="10">
        <f t="shared" si="77"/>
        <v>45701.287453703699</v>
      </c>
      <c r="K581" s="3">
        <f t="shared" si="79"/>
        <v>4242</v>
      </c>
      <c r="L581">
        <f t="shared" si="72"/>
        <v>13.811111110000001</v>
      </c>
      <c r="M581">
        <f t="shared" si="78"/>
        <v>49.719999996000006</v>
      </c>
    </row>
    <row r="582" spans="1:13" x14ac:dyDescent="0.25">
      <c r="A582" s="9">
        <f>Speed!A582</f>
        <v>45701.287465277775</v>
      </c>
      <c r="B582" s="9">
        <f t="shared" si="73"/>
        <v>45701.287465277775</v>
      </c>
      <c r="C582" s="2">
        <f>Speed!B582</f>
        <v>14.116666670000001</v>
      </c>
      <c r="D582" s="9">
        <f>Odometer!A582</f>
        <v>45701.287962962961</v>
      </c>
      <c r="E582" s="9">
        <f t="shared" si="74"/>
        <v>45701.287962962961</v>
      </c>
      <c r="F582" s="2">
        <f>Odometer!B582</f>
        <v>428754863</v>
      </c>
      <c r="G582" s="2">
        <f t="shared" si="75"/>
        <v>8</v>
      </c>
      <c r="H582" s="2">
        <f>SUM($G$2:G582)</f>
        <v>4973</v>
      </c>
      <c r="I582" s="10">
        <f t="shared" si="76"/>
        <v>45701.287465277775</v>
      </c>
      <c r="J582" s="10">
        <f t="shared" si="77"/>
        <v>45701.287465277775</v>
      </c>
      <c r="K582" s="3">
        <f t="shared" si="79"/>
        <v>4257</v>
      </c>
      <c r="L582">
        <f t="shared" si="72"/>
        <v>14.116666670000001</v>
      </c>
      <c r="M582">
        <f t="shared" si="78"/>
        <v>50.820000012000001</v>
      </c>
    </row>
    <row r="583" spans="1:13" x14ac:dyDescent="0.25">
      <c r="A583" s="9">
        <f>Speed!A583</f>
        <v>45701.287476851852</v>
      </c>
      <c r="B583" s="9">
        <f t="shared" si="73"/>
        <v>45701.287476851852</v>
      </c>
      <c r="C583" s="2">
        <f>Speed!B583</f>
        <v>14.79166667</v>
      </c>
      <c r="D583" s="9">
        <f>Odometer!A583</f>
        <v>45701.287962962961</v>
      </c>
      <c r="E583" s="9">
        <f t="shared" si="74"/>
        <v>45701.287962962961</v>
      </c>
      <c r="F583" s="2">
        <f>Odometer!B583</f>
        <v>428754871</v>
      </c>
      <c r="G583" s="2">
        <f t="shared" si="75"/>
        <v>1</v>
      </c>
      <c r="H583" s="2">
        <f>SUM($G$2:G583)</f>
        <v>4974</v>
      </c>
      <c r="I583" s="10">
        <f t="shared" si="76"/>
        <v>45701.287476851852</v>
      </c>
      <c r="J583" s="10">
        <f t="shared" si="77"/>
        <v>45701.287476851852</v>
      </c>
      <c r="K583" s="3">
        <f t="shared" si="79"/>
        <v>4272</v>
      </c>
      <c r="L583">
        <f t="shared" si="72"/>
        <v>14.79166667</v>
      </c>
      <c r="M583">
        <f t="shared" si="78"/>
        <v>53.250000012000001</v>
      </c>
    </row>
    <row r="584" spans="1:13" x14ac:dyDescent="0.25">
      <c r="A584" s="9">
        <f>Speed!A584</f>
        <v>45701.287488425929</v>
      </c>
      <c r="B584" s="9">
        <f t="shared" si="73"/>
        <v>45701.287488425922</v>
      </c>
      <c r="C584" s="2">
        <f>Speed!B584</f>
        <v>15.619444440000001</v>
      </c>
      <c r="D584" s="9">
        <f>Odometer!A584</f>
        <v>45701.287974537037</v>
      </c>
      <c r="E584" s="9">
        <f t="shared" si="74"/>
        <v>45701.287974537037</v>
      </c>
      <c r="F584" s="2">
        <f>Odometer!B584</f>
        <v>428754872</v>
      </c>
      <c r="G584" s="2">
        <f t="shared" si="75"/>
        <v>12</v>
      </c>
      <c r="H584" s="2">
        <f>SUM($G$2:G584)</f>
        <v>4986</v>
      </c>
      <c r="I584" s="10">
        <f t="shared" si="76"/>
        <v>45701.287488425929</v>
      </c>
      <c r="J584" s="10">
        <f t="shared" si="77"/>
        <v>45701.287488425922</v>
      </c>
      <c r="K584" s="3">
        <f t="shared" si="79"/>
        <v>4287</v>
      </c>
      <c r="L584">
        <f t="shared" si="72"/>
        <v>15.619444440000001</v>
      </c>
      <c r="M584">
        <f t="shared" si="78"/>
        <v>56.229999984000003</v>
      </c>
    </row>
    <row r="585" spans="1:13" x14ac:dyDescent="0.25">
      <c r="A585" s="9">
        <f>Speed!A585</f>
        <v>45701.287499999999</v>
      </c>
      <c r="B585" s="9">
        <f t="shared" si="73"/>
        <v>45701.287499999999</v>
      </c>
      <c r="C585" s="2">
        <f>Speed!B585</f>
        <v>16.341666669999999</v>
      </c>
      <c r="D585" s="9">
        <f>Odometer!A585</f>
        <v>45701.287986111114</v>
      </c>
      <c r="E585" s="9">
        <f t="shared" si="74"/>
        <v>45701.287986111107</v>
      </c>
      <c r="F585" s="2">
        <f>Odometer!B585</f>
        <v>428754884</v>
      </c>
      <c r="G585" s="2">
        <f t="shared" si="75"/>
        <v>10</v>
      </c>
      <c r="H585" s="2">
        <f>SUM($G$2:G585)</f>
        <v>4996</v>
      </c>
      <c r="I585" s="10">
        <f t="shared" si="76"/>
        <v>45701.287499999999</v>
      </c>
      <c r="J585" s="10">
        <f t="shared" si="77"/>
        <v>45701.287499999999</v>
      </c>
      <c r="K585" s="3">
        <f t="shared" si="79"/>
        <v>4303</v>
      </c>
      <c r="L585">
        <f t="shared" si="72"/>
        <v>16.341666669999999</v>
      </c>
      <c r="M585">
        <f t="shared" si="78"/>
        <v>58.830000011999999</v>
      </c>
    </row>
    <row r="586" spans="1:13" x14ac:dyDescent="0.25">
      <c r="A586" s="9">
        <f>Speed!A586</f>
        <v>45701.287499999999</v>
      </c>
      <c r="B586" s="9">
        <f t="shared" si="73"/>
        <v>45701.287499999999</v>
      </c>
      <c r="C586" s="2">
        <f>Speed!B586</f>
        <v>17.016666669999999</v>
      </c>
      <c r="D586" s="9">
        <f>Odometer!A586</f>
        <v>45701.287997685184</v>
      </c>
      <c r="E586" s="9">
        <f t="shared" si="74"/>
        <v>45701.287997685184</v>
      </c>
      <c r="F586" s="2">
        <f>Odometer!B586</f>
        <v>428754894</v>
      </c>
      <c r="G586" s="2">
        <f t="shared" si="75"/>
        <v>11</v>
      </c>
      <c r="H586" s="2">
        <f>SUM($G$2:G586)</f>
        <v>5007</v>
      </c>
      <c r="I586" s="10">
        <f t="shared" si="76"/>
        <v>45701.287499999999</v>
      </c>
      <c r="J586" s="10">
        <f t="shared" si="77"/>
        <v>45701.287499999999</v>
      </c>
      <c r="K586" s="3">
        <f t="shared" si="79"/>
        <v>4303</v>
      </c>
      <c r="L586">
        <f t="shared" si="72"/>
        <v>16.341666669999999</v>
      </c>
      <c r="M586">
        <f t="shared" si="78"/>
        <v>58.830000011999999</v>
      </c>
    </row>
    <row r="587" spans="1:13" x14ac:dyDescent="0.25">
      <c r="A587" s="9">
        <f>Speed!A587</f>
        <v>45701.287511574075</v>
      </c>
      <c r="B587" s="9">
        <f t="shared" si="73"/>
        <v>45701.287511574075</v>
      </c>
      <c r="C587" s="2">
        <f>Speed!B587</f>
        <v>17.063888890000001</v>
      </c>
      <c r="D587" s="9">
        <f>Odometer!A587</f>
        <v>45701.28800925926</v>
      </c>
      <c r="E587" s="9">
        <f t="shared" si="74"/>
        <v>45701.28800925926</v>
      </c>
      <c r="F587" s="2">
        <f>Odometer!B587</f>
        <v>428754905</v>
      </c>
      <c r="G587" s="2">
        <f t="shared" si="75"/>
        <v>3</v>
      </c>
      <c r="H587" s="2">
        <f>SUM($G$2:G587)</f>
        <v>5010</v>
      </c>
      <c r="I587" s="10">
        <f t="shared" si="76"/>
        <v>45701.287511574075</v>
      </c>
      <c r="J587" s="10">
        <f t="shared" si="77"/>
        <v>45701.287511574075</v>
      </c>
      <c r="K587" s="3">
        <f t="shared" si="79"/>
        <v>4321</v>
      </c>
      <c r="L587">
        <f t="shared" si="72"/>
        <v>17.063888890000001</v>
      </c>
      <c r="M587">
        <f t="shared" si="78"/>
        <v>61.430000004000007</v>
      </c>
    </row>
    <row r="588" spans="1:13" x14ac:dyDescent="0.25">
      <c r="A588" s="9">
        <f>Speed!A588</f>
        <v>45701.287523148145</v>
      </c>
      <c r="B588" s="9">
        <f t="shared" si="73"/>
        <v>45701.287523148145</v>
      </c>
      <c r="C588" s="2">
        <f>Speed!B588</f>
        <v>17.402777780000001</v>
      </c>
      <c r="D588" s="9">
        <f>Odometer!A588</f>
        <v>45701.28800925926</v>
      </c>
      <c r="E588" s="9">
        <f t="shared" si="74"/>
        <v>45701.28800925926</v>
      </c>
      <c r="F588" s="2">
        <f>Odometer!B588</f>
        <v>428754908</v>
      </c>
      <c r="G588" s="2">
        <f t="shared" si="75"/>
        <v>7</v>
      </c>
      <c r="H588" s="2">
        <f>SUM($G$2:G588)</f>
        <v>5017</v>
      </c>
      <c r="I588" s="10">
        <f t="shared" si="76"/>
        <v>45701.287523148145</v>
      </c>
      <c r="J588" s="10">
        <f t="shared" si="77"/>
        <v>45701.287523148145</v>
      </c>
      <c r="K588" s="3">
        <f t="shared" si="79"/>
        <v>4322</v>
      </c>
      <c r="L588">
        <f t="shared" si="72"/>
        <v>17.402777780000001</v>
      </c>
      <c r="M588">
        <f t="shared" si="78"/>
        <v>62.650000008000006</v>
      </c>
    </row>
    <row r="589" spans="1:13" x14ac:dyDescent="0.25">
      <c r="A589" s="9">
        <f>Speed!A589</f>
        <v>45701.287523148145</v>
      </c>
      <c r="B589" s="9">
        <f t="shared" si="73"/>
        <v>45701.287523148145</v>
      </c>
      <c r="C589" s="2">
        <f>Speed!B589</f>
        <v>17.419444439999999</v>
      </c>
      <c r="D589" s="9">
        <f>Odometer!A589</f>
        <v>45701.28802083333</v>
      </c>
      <c r="E589" s="9">
        <f t="shared" si="74"/>
        <v>45701.28802083333</v>
      </c>
      <c r="F589" s="2">
        <f>Odometer!B589</f>
        <v>428754915</v>
      </c>
      <c r="G589" s="2">
        <f t="shared" si="75"/>
        <v>9</v>
      </c>
      <c r="H589" s="2">
        <f>SUM($G$2:G589)</f>
        <v>5026</v>
      </c>
      <c r="I589" s="10">
        <f t="shared" si="76"/>
        <v>45701.287523148145</v>
      </c>
      <c r="J589" s="10">
        <f t="shared" si="77"/>
        <v>45701.287523148145</v>
      </c>
      <c r="K589" s="3">
        <f t="shared" si="79"/>
        <v>4322</v>
      </c>
      <c r="L589">
        <f t="shared" si="72"/>
        <v>17.402777780000001</v>
      </c>
      <c r="M589">
        <f t="shared" si="78"/>
        <v>62.650000008000006</v>
      </c>
    </row>
    <row r="590" spans="1:13" x14ac:dyDescent="0.25">
      <c r="A590" s="9">
        <f>Speed!A590</f>
        <v>45701.287523148145</v>
      </c>
      <c r="B590" s="9">
        <f t="shared" si="73"/>
        <v>45701.287523148145</v>
      </c>
      <c r="C590" s="2">
        <f>Speed!B590</f>
        <v>17.586111110000001</v>
      </c>
      <c r="D590" s="9">
        <f>Odometer!A590</f>
        <v>45701.288032407407</v>
      </c>
      <c r="E590" s="9">
        <f t="shared" si="74"/>
        <v>45701.288032407407</v>
      </c>
      <c r="F590" s="2">
        <f>Odometer!B590</f>
        <v>428754924</v>
      </c>
      <c r="G590" s="2">
        <f t="shared" si="75"/>
        <v>10</v>
      </c>
      <c r="H590" s="2">
        <f>SUM($G$2:G590)</f>
        <v>5036</v>
      </c>
      <c r="I590" s="10">
        <f t="shared" si="76"/>
        <v>45701.287523148145</v>
      </c>
      <c r="J590" s="10">
        <f t="shared" si="77"/>
        <v>45701.287523148145</v>
      </c>
      <c r="K590" s="3">
        <f t="shared" si="79"/>
        <v>4322</v>
      </c>
      <c r="L590">
        <f t="shared" si="72"/>
        <v>17.402777780000001</v>
      </c>
      <c r="M590">
        <f t="shared" si="78"/>
        <v>62.650000008000006</v>
      </c>
    </row>
    <row r="591" spans="1:13" x14ac:dyDescent="0.25">
      <c r="A591" s="9">
        <f>Speed!A591</f>
        <v>45701.287546296298</v>
      </c>
      <c r="B591" s="9">
        <f t="shared" si="73"/>
        <v>45701.287546296291</v>
      </c>
      <c r="C591" s="2">
        <f>Speed!B591</f>
        <v>17.744444439999999</v>
      </c>
      <c r="D591" s="9">
        <f>Odometer!A591</f>
        <v>45701.288043981483</v>
      </c>
      <c r="E591" s="9">
        <f t="shared" si="74"/>
        <v>45701.288043981476</v>
      </c>
      <c r="F591" s="2">
        <f>Odometer!B591</f>
        <v>428754934</v>
      </c>
      <c r="G591" s="2">
        <f t="shared" si="75"/>
        <v>8</v>
      </c>
      <c r="H591" s="2">
        <f>SUM($G$2:G591)</f>
        <v>5044</v>
      </c>
      <c r="I591" s="10">
        <f t="shared" si="76"/>
        <v>45701.287546296298</v>
      </c>
      <c r="J591" s="10">
        <f t="shared" si="77"/>
        <v>45701.287546296291</v>
      </c>
      <c r="K591" s="3">
        <f t="shared" si="79"/>
        <v>4357</v>
      </c>
      <c r="L591">
        <f t="shared" si="72"/>
        <v>17.744444439999999</v>
      </c>
      <c r="M591">
        <f t="shared" si="78"/>
        <v>63.879999983999994</v>
      </c>
    </row>
    <row r="592" spans="1:13" x14ac:dyDescent="0.25">
      <c r="A592" s="9">
        <f>Speed!A592</f>
        <v>45701.287546296298</v>
      </c>
      <c r="B592" s="9">
        <f t="shared" si="73"/>
        <v>45701.287546296291</v>
      </c>
      <c r="C592" s="2">
        <f>Speed!B592</f>
        <v>17.73611111</v>
      </c>
      <c r="D592" s="9">
        <f>Odometer!A592</f>
        <v>45701.288055555553</v>
      </c>
      <c r="E592" s="9">
        <f t="shared" si="74"/>
        <v>45701.288055555553</v>
      </c>
      <c r="F592" s="2">
        <f>Odometer!B592</f>
        <v>428754942</v>
      </c>
      <c r="G592" s="2">
        <f t="shared" si="75"/>
        <v>7</v>
      </c>
      <c r="H592" s="2">
        <f>SUM($G$2:G592)</f>
        <v>5051</v>
      </c>
      <c r="I592" s="10">
        <f t="shared" si="76"/>
        <v>45701.287546296298</v>
      </c>
      <c r="J592" s="10">
        <f t="shared" si="77"/>
        <v>45701.287546296291</v>
      </c>
      <c r="K592" s="3">
        <f t="shared" si="79"/>
        <v>4357</v>
      </c>
      <c r="L592">
        <f t="shared" si="72"/>
        <v>17.744444439999999</v>
      </c>
      <c r="M592">
        <f t="shared" si="78"/>
        <v>63.879999983999994</v>
      </c>
    </row>
    <row r="593" spans="1:13" x14ac:dyDescent="0.25">
      <c r="A593" s="9">
        <f>Speed!A593</f>
        <v>45701.287557870368</v>
      </c>
      <c r="B593" s="9">
        <f t="shared" si="73"/>
        <v>45701.287557870368</v>
      </c>
      <c r="C593" s="2">
        <f>Speed!B593</f>
        <v>17.850000000000001</v>
      </c>
      <c r="D593" s="9">
        <f>Odometer!A593</f>
        <v>45701.288055555553</v>
      </c>
      <c r="E593" s="9">
        <f t="shared" si="74"/>
        <v>45701.288055555553</v>
      </c>
      <c r="F593" s="2">
        <f>Odometer!B593</f>
        <v>428754949</v>
      </c>
      <c r="G593" s="2">
        <f t="shared" si="75"/>
        <v>8</v>
      </c>
      <c r="H593" s="2">
        <f>SUM($G$2:G593)</f>
        <v>5059</v>
      </c>
      <c r="I593" s="10">
        <f t="shared" si="76"/>
        <v>45701.287557870368</v>
      </c>
      <c r="J593" s="10">
        <f t="shared" si="77"/>
        <v>45701.287557870368</v>
      </c>
      <c r="K593" s="3">
        <f t="shared" si="79"/>
        <v>4374</v>
      </c>
      <c r="L593">
        <f t="shared" si="72"/>
        <v>17.850000000000001</v>
      </c>
      <c r="M593">
        <f t="shared" si="78"/>
        <v>64.260000000000005</v>
      </c>
    </row>
    <row r="594" spans="1:13" x14ac:dyDescent="0.25">
      <c r="A594" s="9">
        <f>Speed!A594</f>
        <v>45701.287569444445</v>
      </c>
      <c r="B594" s="9">
        <f t="shared" si="73"/>
        <v>45701.287569444445</v>
      </c>
      <c r="C594" s="2">
        <f>Speed!B594</f>
        <v>18.008333329999999</v>
      </c>
      <c r="D594" s="9">
        <f>Odometer!A594</f>
        <v>45701.288078703707</v>
      </c>
      <c r="E594" s="9">
        <f t="shared" si="74"/>
        <v>45701.288078703699</v>
      </c>
      <c r="F594" s="2">
        <f>Odometer!B594</f>
        <v>428754957</v>
      </c>
      <c r="G594" s="2">
        <f t="shared" si="75"/>
        <v>5</v>
      </c>
      <c r="H594" s="2">
        <f>SUM($G$2:G594)</f>
        <v>5064</v>
      </c>
      <c r="I594" s="10">
        <f t="shared" si="76"/>
        <v>45701.287569444445</v>
      </c>
      <c r="J594" s="10">
        <f t="shared" si="77"/>
        <v>45701.287569444445</v>
      </c>
      <c r="K594" s="3">
        <f t="shared" si="79"/>
        <v>4411</v>
      </c>
      <c r="L594">
        <f t="shared" si="72"/>
        <v>18.008333329999999</v>
      </c>
      <c r="M594">
        <f t="shared" si="78"/>
        <v>64.829999987999997</v>
      </c>
    </row>
    <row r="595" spans="1:13" x14ac:dyDescent="0.25">
      <c r="A595" s="9">
        <f>Speed!A595</f>
        <v>45701.287581018521</v>
      </c>
      <c r="B595" s="9">
        <f t="shared" si="73"/>
        <v>45701.287581018514</v>
      </c>
      <c r="C595" s="2">
        <f>Speed!B595</f>
        <v>18.055555559999998</v>
      </c>
      <c r="D595" s="9">
        <f>Odometer!A595</f>
        <v>45701.288090277776</v>
      </c>
      <c r="E595" s="9">
        <f t="shared" si="74"/>
        <v>45701.288090277776</v>
      </c>
      <c r="F595" s="2">
        <f>Odometer!B595</f>
        <v>428754962</v>
      </c>
      <c r="G595" s="2">
        <f t="shared" si="75"/>
        <v>5</v>
      </c>
      <c r="H595" s="2">
        <f>SUM($G$2:G595)</f>
        <v>5069</v>
      </c>
      <c r="I595" s="10">
        <f t="shared" si="76"/>
        <v>45701.287581018521</v>
      </c>
      <c r="J595" s="10">
        <f t="shared" si="77"/>
        <v>45701.287581018514</v>
      </c>
      <c r="K595" s="3">
        <f t="shared" si="79"/>
        <v>4428</v>
      </c>
      <c r="L595">
        <f t="shared" si="72"/>
        <v>18.055555559999998</v>
      </c>
      <c r="M595">
        <f t="shared" si="78"/>
        <v>65.000000016000001</v>
      </c>
    </row>
    <row r="596" spans="1:13" x14ac:dyDescent="0.25">
      <c r="A596" s="9">
        <f>Speed!A596</f>
        <v>45701.287592592591</v>
      </c>
      <c r="B596" s="9">
        <f t="shared" si="73"/>
        <v>45701.287592592591</v>
      </c>
      <c r="C596" s="2">
        <f>Speed!B596</f>
        <v>18.108333330000001</v>
      </c>
      <c r="D596" s="9">
        <f>Odometer!A596</f>
        <v>45701.288101851853</v>
      </c>
      <c r="E596" s="9">
        <f t="shared" si="74"/>
        <v>45701.288101851853</v>
      </c>
      <c r="F596" s="2">
        <f>Odometer!B596</f>
        <v>428754967</v>
      </c>
      <c r="G596" s="2">
        <f t="shared" si="75"/>
        <v>3</v>
      </c>
      <c r="H596" s="2">
        <f>SUM($G$2:G596)</f>
        <v>5072</v>
      </c>
      <c r="I596" s="10">
        <f t="shared" si="76"/>
        <v>45701.287592592591</v>
      </c>
      <c r="J596" s="10">
        <f t="shared" si="77"/>
        <v>45701.287592592591</v>
      </c>
      <c r="K596" s="3">
        <f t="shared" si="79"/>
        <v>4446</v>
      </c>
      <c r="L596">
        <f t="shared" si="72"/>
        <v>18.108333330000001</v>
      </c>
      <c r="M596">
        <f t="shared" si="78"/>
        <v>65.189999988000011</v>
      </c>
    </row>
    <row r="597" spans="1:13" x14ac:dyDescent="0.25">
      <c r="A597" s="9">
        <f>Speed!A597</f>
        <v>45701.287604166668</v>
      </c>
      <c r="B597" s="9">
        <f t="shared" si="73"/>
        <v>45701.287604166668</v>
      </c>
      <c r="C597" s="2">
        <f>Speed!B597</f>
        <v>18.086111110000001</v>
      </c>
      <c r="D597" s="9">
        <f>Odometer!A597</f>
        <v>45701.288113425922</v>
      </c>
      <c r="E597" s="9">
        <f t="shared" si="74"/>
        <v>45701.288113425922</v>
      </c>
      <c r="F597" s="2">
        <f>Odometer!B597</f>
        <v>428754970</v>
      </c>
      <c r="G597" s="2">
        <f t="shared" si="75"/>
        <v>3</v>
      </c>
      <c r="H597" s="2">
        <f>SUM($G$2:G597)</f>
        <v>5075</v>
      </c>
      <c r="I597" s="10">
        <f t="shared" si="76"/>
        <v>45701.287604166668</v>
      </c>
      <c r="J597" s="10">
        <f t="shared" si="77"/>
        <v>45701.287604166668</v>
      </c>
      <c r="K597" s="3">
        <f t="shared" si="79"/>
        <v>4464</v>
      </c>
      <c r="L597">
        <f t="shared" si="72"/>
        <v>18.086111110000001</v>
      </c>
      <c r="M597">
        <f t="shared" si="78"/>
        <v>65.109999995999999</v>
      </c>
    </row>
    <row r="598" spans="1:13" x14ac:dyDescent="0.25">
      <c r="A598" s="9">
        <f>Speed!A598</f>
        <v>45701.287615740737</v>
      </c>
      <c r="B598" s="9">
        <f t="shared" si="73"/>
        <v>45701.287615740737</v>
      </c>
      <c r="C598" s="2">
        <f>Speed!B598</f>
        <v>17.988888889999998</v>
      </c>
      <c r="D598" s="9">
        <f>Odometer!A598</f>
        <v>45701.288124999999</v>
      </c>
      <c r="E598" s="9">
        <f t="shared" si="74"/>
        <v>45701.288124999999</v>
      </c>
      <c r="F598" s="2">
        <f>Odometer!B598</f>
        <v>428754973</v>
      </c>
      <c r="G598" s="2">
        <f t="shared" si="75"/>
        <v>1</v>
      </c>
      <c r="H598" s="2">
        <f>SUM($G$2:G598)</f>
        <v>5076</v>
      </c>
      <c r="I598" s="10">
        <f t="shared" si="76"/>
        <v>45701.287615740737</v>
      </c>
      <c r="J598" s="10">
        <f t="shared" si="77"/>
        <v>45701.287615740737</v>
      </c>
      <c r="K598" s="3">
        <f t="shared" si="79"/>
        <v>4482</v>
      </c>
      <c r="L598">
        <f t="shared" si="72"/>
        <v>17.988888889999998</v>
      </c>
      <c r="M598">
        <f t="shared" si="78"/>
        <v>64.760000003999991</v>
      </c>
    </row>
    <row r="599" spans="1:13" x14ac:dyDescent="0.25">
      <c r="A599" s="9">
        <f>Speed!A599</f>
        <v>45701.287627314814</v>
      </c>
      <c r="B599" s="9">
        <f t="shared" si="73"/>
        <v>45701.287627314814</v>
      </c>
      <c r="C599" s="2">
        <f>Speed!B599</f>
        <v>17.994444439999999</v>
      </c>
      <c r="D599" s="9">
        <f>Odometer!A599</f>
        <v>45701.288136574076</v>
      </c>
      <c r="E599" s="9">
        <f t="shared" si="74"/>
        <v>45701.288136574069</v>
      </c>
      <c r="F599" s="2">
        <f>Odometer!B599</f>
        <v>428754974</v>
      </c>
      <c r="G599" s="2">
        <f t="shared" si="75"/>
        <v>1</v>
      </c>
      <c r="H599" s="2">
        <f>SUM($G$2:G599)</f>
        <v>5077</v>
      </c>
      <c r="I599" s="10">
        <f t="shared" si="76"/>
        <v>45701.287627314814</v>
      </c>
      <c r="J599" s="10">
        <f t="shared" si="77"/>
        <v>45701.287627314814</v>
      </c>
      <c r="K599" s="3">
        <f t="shared" si="79"/>
        <v>4501</v>
      </c>
      <c r="L599">
        <f t="shared" si="72"/>
        <v>17.994444439999999</v>
      </c>
      <c r="M599">
        <f t="shared" si="78"/>
        <v>64.779999984</v>
      </c>
    </row>
    <row r="600" spans="1:13" x14ac:dyDescent="0.25">
      <c r="A600" s="9">
        <f>Speed!A600</f>
        <v>45701.287638888891</v>
      </c>
      <c r="B600" s="9">
        <f t="shared" si="73"/>
        <v>45701.287638888884</v>
      </c>
      <c r="C600" s="2">
        <f>Speed!B600</f>
        <v>18.024999999999999</v>
      </c>
      <c r="D600" s="9">
        <f>Odometer!A600</f>
        <v>45701.288148148145</v>
      </c>
      <c r="E600" s="9">
        <f t="shared" si="74"/>
        <v>45701.288148148145</v>
      </c>
      <c r="F600" s="2">
        <f>Odometer!B600</f>
        <v>428754975</v>
      </c>
      <c r="G600" s="2">
        <f t="shared" si="75"/>
        <v>1</v>
      </c>
      <c r="H600" s="2">
        <f>SUM($G$2:G600)</f>
        <v>5078</v>
      </c>
      <c r="I600" s="10">
        <f t="shared" si="76"/>
        <v>45701.287638888891</v>
      </c>
      <c r="J600" s="10">
        <f t="shared" si="77"/>
        <v>45701.287638888884</v>
      </c>
      <c r="K600" s="3">
        <f t="shared" si="79"/>
        <v>4518</v>
      </c>
      <c r="L600">
        <f t="shared" si="72"/>
        <v>18.024999999999999</v>
      </c>
      <c r="M600">
        <f t="shared" si="78"/>
        <v>64.89</v>
      </c>
    </row>
    <row r="601" spans="1:13" x14ac:dyDescent="0.25">
      <c r="A601" s="9">
        <f>Speed!A601</f>
        <v>45701.28765046296</v>
      </c>
      <c r="B601" s="9">
        <f t="shared" si="73"/>
        <v>45701.28765046296</v>
      </c>
      <c r="C601" s="2">
        <f>Speed!B601</f>
        <v>18.063888890000001</v>
      </c>
      <c r="D601" s="9">
        <f>Odometer!A601</f>
        <v>45701.288402777776</v>
      </c>
      <c r="E601" s="9">
        <f t="shared" si="74"/>
        <v>45701.288402777776</v>
      </c>
      <c r="F601" s="2">
        <f>Odometer!B601</f>
        <v>428754976</v>
      </c>
      <c r="G601" s="2">
        <f t="shared" si="75"/>
        <v>2</v>
      </c>
      <c r="H601" s="2">
        <f>SUM($G$2:G601)</f>
        <v>5080</v>
      </c>
      <c r="I601" s="10">
        <f t="shared" si="76"/>
        <v>45701.28765046296</v>
      </c>
      <c r="J601" s="10">
        <f t="shared" si="77"/>
        <v>45701.28765046296</v>
      </c>
      <c r="K601" s="3">
        <f t="shared" si="79"/>
        <v>4535</v>
      </c>
      <c r="L601">
        <f t="shared" si="72"/>
        <v>18.063888890000001</v>
      </c>
      <c r="M601">
        <f t="shared" si="78"/>
        <v>65.030000004000001</v>
      </c>
    </row>
    <row r="602" spans="1:13" x14ac:dyDescent="0.25">
      <c r="A602" s="9">
        <f>Speed!A602</f>
        <v>45701.287662037037</v>
      </c>
      <c r="B602" s="9">
        <f t="shared" si="73"/>
        <v>45701.287662037037</v>
      </c>
      <c r="C602" s="2">
        <f>Speed!B602</f>
        <v>18.105555559999999</v>
      </c>
      <c r="D602" s="9">
        <f>Odometer!A602</f>
        <v>45701.288414351853</v>
      </c>
      <c r="E602" s="9">
        <f t="shared" si="74"/>
        <v>45701.288414351853</v>
      </c>
      <c r="F602" s="2">
        <f>Odometer!B602</f>
        <v>428754978</v>
      </c>
      <c r="G602" s="2">
        <f t="shared" si="75"/>
        <v>4</v>
      </c>
      <c r="H602" s="2">
        <f>SUM($G$2:G602)</f>
        <v>5084</v>
      </c>
      <c r="I602" s="10">
        <f t="shared" si="76"/>
        <v>45701.287662037037</v>
      </c>
      <c r="J602" s="10">
        <f t="shared" si="77"/>
        <v>45701.287662037037</v>
      </c>
      <c r="K602" s="3">
        <f t="shared" si="79"/>
        <v>4554</v>
      </c>
      <c r="L602">
        <f t="shared" si="72"/>
        <v>18.105555559999999</v>
      </c>
      <c r="M602">
        <f t="shared" si="78"/>
        <v>65.180000015999994</v>
      </c>
    </row>
    <row r="603" spans="1:13" x14ac:dyDescent="0.25">
      <c r="A603" s="9">
        <f>Speed!A603</f>
        <v>45701.287673611114</v>
      </c>
      <c r="B603" s="9">
        <f t="shared" si="73"/>
        <v>45701.287673611107</v>
      </c>
      <c r="C603" s="2">
        <f>Speed!B603</f>
        <v>18.108333330000001</v>
      </c>
      <c r="D603" s="9">
        <f>Odometer!A603</f>
        <v>45701.288425925923</v>
      </c>
      <c r="E603" s="9">
        <f t="shared" si="74"/>
        <v>45701.288425925923</v>
      </c>
      <c r="F603" s="2">
        <f>Odometer!B603</f>
        <v>428754982</v>
      </c>
      <c r="G603" s="2">
        <f t="shared" si="75"/>
        <v>4</v>
      </c>
      <c r="H603" s="2">
        <f>SUM($G$2:G603)</f>
        <v>5088</v>
      </c>
      <c r="I603" s="10">
        <f t="shared" si="76"/>
        <v>45701.287673611114</v>
      </c>
      <c r="J603" s="10">
        <f t="shared" si="77"/>
        <v>45701.287673611107</v>
      </c>
      <c r="K603" s="3">
        <f t="shared" si="79"/>
        <v>4571</v>
      </c>
      <c r="L603">
        <f t="shared" si="72"/>
        <v>18.108333330000001</v>
      </c>
      <c r="M603">
        <f t="shared" si="78"/>
        <v>65.189999988000011</v>
      </c>
    </row>
    <row r="604" spans="1:13" x14ac:dyDescent="0.25">
      <c r="A604" s="9">
        <f>Speed!A604</f>
        <v>45701.287685185183</v>
      </c>
      <c r="B604" s="9">
        <f t="shared" si="73"/>
        <v>45701.287685185183</v>
      </c>
      <c r="C604" s="2">
        <f>Speed!B604</f>
        <v>18.169444439999999</v>
      </c>
      <c r="D604" s="9">
        <f>Odometer!A604</f>
        <v>45701.288437499999</v>
      </c>
      <c r="E604" s="9">
        <f t="shared" si="74"/>
        <v>45701.288437499999</v>
      </c>
      <c r="F604" s="2">
        <f>Odometer!B604</f>
        <v>428754986</v>
      </c>
      <c r="G604" s="2">
        <f t="shared" si="75"/>
        <v>6</v>
      </c>
      <c r="H604" s="2">
        <f>SUM($G$2:G604)</f>
        <v>5094</v>
      </c>
      <c r="I604" s="10">
        <f t="shared" si="76"/>
        <v>45701.287685185183</v>
      </c>
      <c r="J604" s="10">
        <f t="shared" si="77"/>
        <v>45701.287685185183</v>
      </c>
      <c r="K604" s="3">
        <f t="shared" si="79"/>
        <v>4591</v>
      </c>
      <c r="L604">
        <f t="shared" si="72"/>
        <v>18.169444439999999</v>
      </c>
      <c r="M604">
        <f t="shared" si="78"/>
        <v>65.409999983999995</v>
      </c>
    </row>
    <row r="605" spans="1:13" x14ac:dyDescent="0.25">
      <c r="A605" s="9">
        <f>Speed!A605</f>
        <v>45701.28769675926</v>
      </c>
      <c r="B605" s="9">
        <f t="shared" si="73"/>
        <v>45701.28769675926</v>
      </c>
      <c r="C605" s="2">
        <f>Speed!B605</f>
        <v>18.19166667</v>
      </c>
      <c r="D605" s="9">
        <f>Odometer!A605</f>
        <v>45701.288449074076</v>
      </c>
      <c r="E605" s="9">
        <f t="shared" si="74"/>
        <v>45701.288449074069</v>
      </c>
      <c r="F605" s="2">
        <f>Odometer!B605</f>
        <v>428754992</v>
      </c>
      <c r="G605" s="2">
        <f t="shared" si="75"/>
        <v>7</v>
      </c>
      <c r="H605" s="2">
        <f>SUM($G$2:G605)</f>
        <v>5101</v>
      </c>
      <c r="I605" s="10">
        <f t="shared" si="76"/>
        <v>45701.28769675926</v>
      </c>
      <c r="J605" s="10">
        <f t="shared" si="77"/>
        <v>45701.28769675926</v>
      </c>
      <c r="K605" s="3">
        <f t="shared" si="79"/>
        <v>4608</v>
      </c>
      <c r="L605">
        <f t="shared" si="72"/>
        <v>18.19166667</v>
      </c>
      <c r="M605">
        <f t="shared" si="78"/>
        <v>65.490000011999996</v>
      </c>
    </row>
    <row r="606" spans="1:13" x14ac:dyDescent="0.25">
      <c r="A606" s="9">
        <f>Speed!A606</f>
        <v>45701.287708333337</v>
      </c>
      <c r="B606" s="9">
        <f t="shared" si="73"/>
        <v>45701.28770833333</v>
      </c>
      <c r="C606" s="2">
        <f>Speed!B606</f>
        <v>18.216666669999999</v>
      </c>
      <c r="D606" s="9">
        <f>Odometer!A606</f>
        <v>45701.288460648146</v>
      </c>
      <c r="E606" s="9">
        <f t="shared" si="74"/>
        <v>45701.288460648146</v>
      </c>
      <c r="F606" s="2">
        <f>Odometer!B606</f>
        <v>428754999</v>
      </c>
      <c r="G606" s="2">
        <f t="shared" si="75"/>
        <v>9</v>
      </c>
      <c r="H606" s="2">
        <f>SUM($G$2:G606)</f>
        <v>5110</v>
      </c>
      <c r="I606" s="10">
        <f t="shared" si="76"/>
        <v>45701.287708333337</v>
      </c>
      <c r="J606" s="10">
        <f t="shared" si="77"/>
        <v>45701.28770833333</v>
      </c>
      <c r="K606" s="3">
        <f t="shared" si="79"/>
        <v>4626</v>
      </c>
      <c r="L606">
        <f t="shared" si="72"/>
        <v>18.216666669999999</v>
      </c>
      <c r="M606">
        <f t="shared" si="78"/>
        <v>65.580000011999999</v>
      </c>
    </row>
    <row r="607" spans="1:13" x14ac:dyDescent="0.25">
      <c r="A607" s="9">
        <f>Speed!A607</f>
        <v>45701.287708333337</v>
      </c>
      <c r="B607" s="9">
        <f t="shared" si="73"/>
        <v>45701.28770833333</v>
      </c>
      <c r="C607" s="2">
        <f>Speed!B607</f>
        <v>18.244444439999999</v>
      </c>
      <c r="D607" s="9">
        <f>Odometer!A607</f>
        <v>45701.288472222222</v>
      </c>
      <c r="E607" s="9">
        <f t="shared" si="74"/>
        <v>45701.288472222222</v>
      </c>
      <c r="F607" s="2">
        <f>Odometer!B607</f>
        <v>428755008</v>
      </c>
      <c r="G607" s="2">
        <f t="shared" si="75"/>
        <v>9</v>
      </c>
      <c r="H607" s="2">
        <f>SUM($G$2:G607)</f>
        <v>5119</v>
      </c>
      <c r="I607" s="10">
        <f t="shared" si="76"/>
        <v>45701.287708333337</v>
      </c>
      <c r="J607" s="10">
        <f t="shared" si="77"/>
        <v>45701.28770833333</v>
      </c>
      <c r="K607" s="3">
        <f t="shared" si="79"/>
        <v>4626</v>
      </c>
      <c r="L607">
        <f t="shared" si="72"/>
        <v>18.216666669999999</v>
      </c>
      <c r="M607">
        <f t="shared" si="78"/>
        <v>65.580000011999999</v>
      </c>
    </row>
    <row r="608" spans="1:13" x14ac:dyDescent="0.25">
      <c r="A608" s="9">
        <f>Speed!A608</f>
        <v>45701.287719907406</v>
      </c>
      <c r="B608" s="9">
        <f t="shared" si="73"/>
        <v>45701.287719907406</v>
      </c>
      <c r="C608" s="2">
        <f>Speed!B608</f>
        <v>18.277777780000001</v>
      </c>
      <c r="D608" s="9">
        <f>Odometer!A608</f>
        <v>45701.288483796299</v>
      </c>
      <c r="E608" s="9">
        <f t="shared" si="74"/>
        <v>45701.288483796292</v>
      </c>
      <c r="F608" s="2">
        <f>Odometer!B608</f>
        <v>428755017</v>
      </c>
      <c r="G608" s="2">
        <f t="shared" si="75"/>
        <v>8</v>
      </c>
      <c r="H608" s="2">
        <f>SUM($G$2:G608)</f>
        <v>5127</v>
      </c>
      <c r="I608" s="10">
        <f t="shared" si="76"/>
        <v>45701.287719907406</v>
      </c>
      <c r="J608" s="10">
        <f t="shared" si="77"/>
        <v>45701.287719907406</v>
      </c>
      <c r="K608" s="3">
        <f t="shared" si="79"/>
        <v>4646</v>
      </c>
      <c r="L608">
        <f t="shared" si="72"/>
        <v>18.277777780000001</v>
      </c>
      <c r="M608">
        <f t="shared" si="78"/>
        <v>65.800000008000012</v>
      </c>
    </row>
    <row r="609" spans="1:13" x14ac:dyDescent="0.25">
      <c r="A609" s="9">
        <f>Speed!A609</f>
        <v>45701.287731481483</v>
      </c>
      <c r="B609" s="9">
        <f t="shared" si="73"/>
        <v>45701.287731481476</v>
      </c>
      <c r="C609" s="2">
        <f>Speed!B609</f>
        <v>18.269444440000001</v>
      </c>
      <c r="D609" s="9">
        <f>Odometer!A609</f>
        <v>45701.288495370369</v>
      </c>
      <c r="E609" s="9">
        <f t="shared" si="74"/>
        <v>45701.288495370369</v>
      </c>
      <c r="F609" s="2">
        <f>Odometer!B609</f>
        <v>428755025</v>
      </c>
      <c r="G609" s="2">
        <f t="shared" si="75"/>
        <v>11</v>
      </c>
      <c r="H609" s="2">
        <f>SUM($G$2:G609)</f>
        <v>5138</v>
      </c>
      <c r="I609" s="10">
        <f t="shared" si="76"/>
        <v>45701.287731481483</v>
      </c>
      <c r="J609" s="10">
        <f t="shared" si="77"/>
        <v>45701.287731481476</v>
      </c>
      <c r="K609" s="3">
        <f t="shared" si="79"/>
        <v>4663</v>
      </c>
      <c r="L609">
        <f t="shared" si="72"/>
        <v>18.269444440000001</v>
      </c>
      <c r="M609">
        <f t="shared" si="78"/>
        <v>65.769999984000009</v>
      </c>
    </row>
    <row r="610" spans="1:13" x14ac:dyDescent="0.25">
      <c r="A610" s="9">
        <f>Speed!A610</f>
        <v>45701.287743055553</v>
      </c>
      <c r="B610" s="9">
        <f t="shared" si="73"/>
        <v>45701.287743055553</v>
      </c>
      <c r="C610" s="2">
        <f>Speed!B610</f>
        <v>18.26388889</v>
      </c>
      <c r="D610" s="9">
        <f>Odometer!A610</f>
        <v>45701.288506944446</v>
      </c>
      <c r="E610" s="9">
        <f t="shared" si="74"/>
        <v>45701.288506944446</v>
      </c>
      <c r="F610" s="2">
        <f>Odometer!B610</f>
        <v>428755036</v>
      </c>
      <c r="G610" s="2">
        <f t="shared" si="75"/>
        <v>3</v>
      </c>
      <c r="H610" s="2">
        <f>SUM($G$2:G610)</f>
        <v>5141</v>
      </c>
      <c r="I610" s="10">
        <f t="shared" si="76"/>
        <v>45701.287743055553</v>
      </c>
      <c r="J610" s="10">
        <f t="shared" si="77"/>
        <v>45701.287743055553</v>
      </c>
      <c r="K610" s="3">
        <f t="shared" si="79"/>
        <v>4682</v>
      </c>
      <c r="L610">
        <f t="shared" si="72"/>
        <v>18.26388889</v>
      </c>
      <c r="M610">
        <f t="shared" si="78"/>
        <v>65.750000004</v>
      </c>
    </row>
    <row r="611" spans="1:13" x14ac:dyDescent="0.25">
      <c r="A611" s="9">
        <f>Speed!A611</f>
        <v>45701.287754629629</v>
      </c>
      <c r="B611" s="9">
        <f t="shared" si="73"/>
        <v>45701.287754629629</v>
      </c>
      <c r="C611" s="2">
        <f>Speed!B611</f>
        <v>18.327777780000002</v>
      </c>
      <c r="D611" s="9">
        <f>Odometer!A611</f>
        <v>45701.288506944446</v>
      </c>
      <c r="E611" s="9">
        <f t="shared" si="74"/>
        <v>45701.288506944446</v>
      </c>
      <c r="F611" s="2">
        <f>Odometer!B611</f>
        <v>428755039</v>
      </c>
      <c r="G611" s="2">
        <f t="shared" si="75"/>
        <v>6</v>
      </c>
      <c r="H611" s="2">
        <f>SUM($G$2:G611)</f>
        <v>5147</v>
      </c>
      <c r="I611" s="10">
        <f t="shared" si="76"/>
        <v>45701.287754629629</v>
      </c>
      <c r="J611" s="10">
        <f t="shared" si="77"/>
        <v>45701.287754629629</v>
      </c>
      <c r="K611" s="3" t="e">
        <f t="shared" si="79"/>
        <v>#N/A</v>
      </c>
      <c r="L611">
        <f t="shared" si="72"/>
        <v>18.327777780000002</v>
      </c>
      <c r="M611">
        <f t="shared" si="78"/>
        <v>65.980000008000005</v>
      </c>
    </row>
    <row r="612" spans="1:13" x14ac:dyDescent="0.25">
      <c r="A612" s="9">
        <f>Speed!A612</f>
        <v>45701.287766203706</v>
      </c>
      <c r="B612" s="9">
        <f t="shared" si="73"/>
        <v>45701.287766203699</v>
      </c>
      <c r="C612" s="2">
        <f>Speed!B612</f>
        <v>18.18333333</v>
      </c>
      <c r="D612" s="9">
        <f>Odometer!A612</f>
        <v>45701.288518518515</v>
      </c>
      <c r="E612" s="9">
        <f t="shared" si="74"/>
        <v>45701.288518518515</v>
      </c>
      <c r="F612" s="2">
        <f>Odometer!B612</f>
        <v>428755045</v>
      </c>
      <c r="G612" s="2">
        <f t="shared" si="75"/>
        <v>7</v>
      </c>
      <c r="H612" s="2">
        <f>SUM($G$2:G612)</f>
        <v>5154</v>
      </c>
      <c r="I612" s="10">
        <f t="shared" si="76"/>
        <v>45701.287766203706</v>
      </c>
      <c r="J612" s="10">
        <f t="shared" si="77"/>
        <v>45701.287766203699</v>
      </c>
      <c r="K612" s="3">
        <f t="shared" si="79"/>
        <v>4717</v>
      </c>
      <c r="L612">
        <f t="shared" si="72"/>
        <v>18.18333333</v>
      </c>
      <c r="M612">
        <f t="shared" si="78"/>
        <v>65.459999988000007</v>
      </c>
    </row>
    <row r="613" spans="1:13" x14ac:dyDescent="0.25">
      <c r="A613" s="9">
        <f>Speed!A613</f>
        <v>45701.287766203706</v>
      </c>
      <c r="B613" s="9">
        <f t="shared" si="73"/>
        <v>45701.287766203699</v>
      </c>
      <c r="C613" s="2">
        <f>Speed!B613</f>
        <v>18.127777779999999</v>
      </c>
      <c r="D613" s="9">
        <f>Odometer!A613</f>
        <v>45701.288518518515</v>
      </c>
      <c r="E613" s="9">
        <f t="shared" si="74"/>
        <v>45701.288518518515</v>
      </c>
      <c r="F613" s="2">
        <f>Odometer!B613</f>
        <v>428755052</v>
      </c>
      <c r="G613" s="2">
        <f t="shared" si="75"/>
        <v>4</v>
      </c>
      <c r="H613" s="2">
        <f>SUM($G$2:G613)</f>
        <v>5158</v>
      </c>
      <c r="I613" s="10">
        <f t="shared" si="76"/>
        <v>45701.287766203706</v>
      </c>
      <c r="J613" s="10">
        <f t="shared" si="77"/>
        <v>45701.287766203699</v>
      </c>
      <c r="K613" s="3">
        <f t="shared" si="79"/>
        <v>4717</v>
      </c>
      <c r="L613">
        <f t="shared" si="72"/>
        <v>18.18333333</v>
      </c>
      <c r="M613">
        <f t="shared" si="78"/>
        <v>65.459999988000007</v>
      </c>
    </row>
    <row r="614" spans="1:13" x14ac:dyDescent="0.25">
      <c r="A614" s="9">
        <f>Speed!A614</f>
        <v>45701.287777777776</v>
      </c>
      <c r="B614" s="9">
        <f t="shared" si="73"/>
        <v>45701.287777777776</v>
      </c>
      <c r="C614" s="2">
        <f>Speed!B614</f>
        <v>18.105555559999999</v>
      </c>
      <c r="D614" s="9">
        <f>Odometer!A614</f>
        <v>45701.288530092592</v>
      </c>
      <c r="E614" s="9">
        <f t="shared" si="74"/>
        <v>45701.288530092592</v>
      </c>
      <c r="F614" s="2">
        <f>Odometer!B614</f>
        <v>428755056</v>
      </c>
      <c r="G614" s="2">
        <f t="shared" si="75"/>
        <v>10</v>
      </c>
      <c r="H614" s="2">
        <f>SUM($G$2:G614)</f>
        <v>5168</v>
      </c>
      <c r="I614" s="10">
        <f t="shared" si="76"/>
        <v>45701.287777777776</v>
      </c>
      <c r="J614" s="10">
        <f t="shared" si="77"/>
        <v>45701.287777777776</v>
      </c>
      <c r="K614" s="3">
        <f t="shared" si="79"/>
        <v>4723</v>
      </c>
      <c r="L614">
        <f t="shared" si="72"/>
        <v>18.105555559999999</v>
      </c>
      <c r="M614">
        <f t="shared" si="78"/>
        <v>65.180000015999994</v>
      </c>
    </row>
    <row r="615" spans="1:13" x14ac:dyDescent="0.25">
      <c r="A615" s="9">
        <f>Speed!A615</f>
        <v>45701.287777777776</v>
      </c>
      <c r="B615" s="9">
        <f t="shared" si="73"/>
        <v>45701.287777777776</v>
      </c>
      <c r="C615" s="2">
        <f>Speed!B615</f>
        <v>18.038888889999999</v>
      </c>
      <c r="D615" s="9">
        <f>Odometer!A615</f>
        <v>45701.288530092592</v>
      </c>
      <c r="E615" s="9">
        <f t="shared" si="74"/>
        <v>45701.288530092592</v>
      </c>
      <c r="F615" s="2">
        <f>Odometer!B615</f>
        <v>428755066</v>
      </c>
      <c r="G615" s="2">
        <f t="shared" si="75"/>
        <v>10</v>
      </c>
      <c r="H615" s="2">
        <f>SUM($G$2:G615)</f>
        <v>5178</v>
      </c>
      <c r="I615" s="10">
        <f t="shared" si="76"/>
        <v>45701.287777777776</v>
      </c>
      <c r="J615" s="10">
        <f t="shared" si="77"/>
        <v>45701.287777777776</v>
      </c>
      <c r="K615" s="3">
        <f t="shared" si="79"/>
        <v>4723</v>
      </c>
      <c r="L615">
        <f t="shared" si="72"/>
        <v>18.105555559999999</v>
      </c>
      <c r="M615">
        <f t="shared" si="78"/>
        <v>65.180000015999994</v>
      </c>
    </row>
    <row r="616" spans="1:13" x14ac:dyDescent="0.25">
      <c r="A616" s="9">
        <f>Speed!A616</f>
        <v>45701.287789351853</v>
      </c>
      <c r="B616" s="9">
        <f t="shared" si="73"/>
        <v>45701.287789351853</v>
      </c>
      <c r="C616" s="2">
        <f>Speed!B616</f>
        <v>17.919444439999999</v>
      </c>
      <c r="D616" s="9">
        <f>Odometer!A616</f>
        <v>45701.288553240738</v>
      </c>
      <c r="E616" s="9">
        <f t="shared" si="74"/>
        <v>45701.288553240738</v>
      </c>
      <c r="F616" s="2">
        <f>Odometer!B616</f>
        <v>428755076</v>
      </c>
      <c r="G616" s="2">
        <f t="shared" si="75"/>
        <v>3</v>
      </c>
      <c r="H616" s="2">
        <f>SUM($G$2:G616)</f>
        <v>5181</v>
      </c>
      <c r="I616" s="10">
        <f t="shared" si="76"/>
        <v>45701.287789351853</v>
      </c>
      <c r="J616" s="10">
        <f t="shared" si="77"/>
        <v>45701.287789351853</v>
      </c>
      <c r="K616" s="3">
        <f t="shared" si="79"/>
        <v>4754</v>
      </c>
      <c r="L616">
        <f t="shared" si="72"/>
        <v>17.919444439999999</v>
      </c>
      <c r="M616">
        <f t="shared" si="78"/>
        <v>64.509999984000004</v>
      </c>
    </row>
    <row r="617" spans="1:13" x14ac:dyDescent="0.25">
      <c r="A617" s="9">
        <f>Speed!A617</f>
        <v>45701.287800925929</v>
      </c>
      <c r="B617" s="9">
        <f t="shared" si="73"/>
        <v>45701.287800925922</v>
      </c>
      <c r="C617" s="2">
        <f>Speed!B617</f>
        <v>17.51388889</v>
      </c>
      <c r="D617" s="9">
        <f>Odometer!A617</f>
        <v>45701.288553240738</v>
      </c>
      <c r="E617" s="9">
        <f t="shared" si="74"/>
        <v>45701.288553240738</v>
      </c>
      <c r="F617" s="2">
        <f>Odometer!B617</f>
        <v>428755079</v>
      </c>
      <c r="G617" s="2">
        <f t="shared" si="75"/>
        <v>7</v>
      </c>
      <c r="H617" s="2">
        <f>SUM($G$2:G617)</f>
        <v>5188</v>
      </c>
      <c r="I617" s="10">
        <f t="shared" si="76"/>
        <v>45701.287800925929</v>
      </c>
      <c r="J617" s="10">
        <f t="shared" si="77"/>
        <v>45701.287800925922</v>
      </c>
      <c r="K617" s="3">
        <f t="shared" si="79"/>
        <v>4771</v>
      </c>
      <c r="L617">
        <f t="shared" si="72"/>
        <v>17.51388889</v>
      </c>
      <c r="M617">
        <f t="shared" si="78"/>
        <v>63.050000004000005</v>
      </c>
    </row>
    <row r="618" spans="1:13" x14ac:dyDescent="0.25">
      <c r="A618" s="9">
        <f>Speed!A618</f>
        <v>45701.287812499999</v>
      </c>
      <c r="B618" s="9">
        <f t="shared" si="73"/>
        <v>45701.287812499999</v>
      </c>
      <c r="C618" s="2">
        <f>Speed!B618</f>
        <v>17.277777780000001</v>
      </c>
      <c r="D618" s="9">
        <f>Odometer!A618</f>
        <v>45701.288564814815</v>
      </c>
      <c r="E618" s="9">
        <f t="shared" si="74"/>
        <v>45701.288564814815</v>
      </c>
      <c r="F618" s="2">
        <f>Odometer!B618</f>
        <v>428755086</v>
      </c>
      <c r="G618" s="2">
        <f t="shared" si="75"/>
        <v>10</v>
      </c>
      <c r="H618" s="2">
        <f>SUM($G$2:G618)</f>
        <v>5198</v>
      </c>
      <c r="I618" s="10">
        <f t="shared" si="76"/>
        <v>45701.287812499999</v>
      </c>
      <c r="J618" s="10">
        <f t="shared" si="77"/>
        <v>45701.287812499999</v>
      </c>
      <c r="K618" s="3">
        <f t="shared" si="79"/>
        <v>4789</v>
      </c>
      <c r="L618">
        <f t="shared" si="72"/>
        <v>17.277777780000001</v>
      </c>
      <c r="M618">
        <f t="shared" si="78"/>
        <v>62.200000008000004</v>
      </c>
    </row>
    <row r="619" spans="1:13" x14ac:dyDescent="0.25">
      <c r="A619" s="9">
        <f>Speed!A619</f>
        <v>45701.287812499999</v>
      </c>
      <c r="B619" s="9">
        <f t="shared" si="73"/>
        <v>45701.287812499999</v>
      </c>
      <c r="C619" s="2">
        <f>Speed!B619</f>
        <v>17.016666669999999</v>
      </c>
      <c r="D619" s="9">
        <f>Odometer!A619</f>
        <v>45701.288576388892</v>
      </c>
      <c r="E619" s="9">
        <f t="shared" si="74"/>
        <v>45701.288576388884</v>
      </c>
      <c r="F619" s="2">
        <f>Odometer!B619</f>
        <v>428755096</v>
      </c>
      <c r="G619" s="2">
        <f t="shared" si="75"/>
        <v>7</v>
      </c>
      <c r="H619" s="2">
        <f>SUM($G$2:G619)</f>
        <v>5205</v>
      </c>
      <c r="I619" s="10">
        <f t="shared" si="76"/>
        <v>45701.287812499999</v>
      </c>
      <c r="J619" s="10">
        <f t="shared" si="77"/>
        <v>45701.287812499999</v>
      </c>
      <c r="K619" s="3">
        <f t="shared" si="79"/>
        <v>4789</v>
      </c>
      <c r="L619">
        <f t="shared" si="72"/>
        <v>17.277777780000001</v>
      </c>
      <c r="M619">
        <f t="shared" si="78"/>
        <v>62.200000008000004</v>
      </c>
    </row>
    <row r="620" spans="1:13" x14ac:dyDescent="0.25">
      <c r="A620" s="9">
        <f>Speed!A620</f>
        <v>45701.287835648145</v>
      </c>
      <c r="B620" s="9">
        <f t="shared" si="73"/>
        <v>45701.287835648145</v>
      </c>
      <c r="C620" s="2">
        <f>Speed!B620</f>
        <v>16.73611111</v>
      </c>
      <c r="D620" s="9">
        <f>Odometer!A620</f>
        <v>45701.288587962961</v>
      </c>
      <c r="E620" s="9">
        <f t="shared" si="74"/>
        <v>45701.288587962961</v>
      </c>
      <c r="F620" s="2">
        <f>Odometer!B620</f>
        <v>428755103</v>
      </c>
      <c r="G620" s="2">
        <f t="shared" si="75"/>
        <v>9</v>
      </c>
      <c r="H620" s="2">
        <f>SUM($G$2:G620)</f>
        <v>5214</v>
      </c>
      <c r="I620" s="10">
        <f t="shared" si="76"/>
        <v>45701.287835648145</v>
      </c>
      <c r="J620" s="10">
        <f t="shared" si="77"/>
        <v>45701.287835648145</v>
      </c>
      <c r="K620" s="3">
        <f t="shared" si="79"/>
        <v>4821</v>
      </c>
      <c r="L620">
        <f t="shared" si="72"/>
        <v>16.73611111</v>
      </c>
      <c r="M620">
        <f t="shared" si="78"/>
        <v>60.249999996</v>
      </c>
    </row>
    <row r="621" spans="1:13" x14ac:dyDescent="0.25">
      <c r="A621" s="9">
        <f>Speed!A621</f>
        <v>45701.287835648145</v>
      </c>
      <c r="B621" s="9">
        <f t="shared" si="73"/>
        <v>45701.287835648145</v>
      </c>
      <c r="C621" s="2">
        <f>Speed!B621</f>
        <v>16.44166667</v>
      </c>
      <c r="D621" s="9">
        <f>Odometer!A621</f>
        <v>45701.288599537038</v>
      </c>
      <c r="E621" s="9">
        <f t="shared" si="74"/>
        <v>45701.288599537038</v>
      </c>
      <c r="F621" s="2">
        <f>Odometer!B621</f>
        <v>428755112</v>
      </c>
      <c r="G621" s="2">
        <f t="shared" si="75"/>
        <v>8</v>
      </c>
      <c r="H621" s="2">
        <f>SUM($G$2:G621)</f>
        <v>5222</v>
      </c>
      <c r="I621" s="10">
        <f t="shared" si="76"/>
        <v>45701.287835648145</v>
      </c>
      <c r="J621" s="10">
        <f t="shared" si="77"/>
        <v>45701.287835648145</v>
      </c>
      <c r="K621" s="3">
        <f t="shared" si="79"/>
        <v>4821</v>
      </c>
      <c r="L621">
        <f t="shared" si="72"/>
        <v>16.73611111</v>
      </c>
      <c r="M621">
        <f t="shared" si="78"/>
        <v>60.249999996</v>
      </c>
    </row>
    <row r="622" spans="1:13" x14ac:dyDescent="0.25">
      <c r="A622" s="9">
        <f>Speed!A622</f>
        <v>45701.287847222222</v>
      </c>
      <c r="B622" s="9">
        <f t="shared" si="73"/>
        <v>45701.287847222222</v>
      </c>
      <c r="C622" s="2">
        <f>Speed!B622</f>
        <v>16.422222219999998</v>
      </c>
      <c r="D622" s="9">
        <f>Odometer!A622</f>
        <v>45701.288611111115</v>
      </c>
      <c r="E622" s="9">
        <f t="shared" si="74"/>
        <v>45701.288611111107</v>
      </c>
      <c r="F622" s="2">
        <f>Odometer!B622</f>
        <v>428755120</v>
      </c>
      <c r="G622" s="2">
        <f t="shared" si="75"/>
        <v>8</v>
      </c>
      <c r="H622" s="2">
        <f>SUM($G$2:G622)</f>
        <v>5230</v>
      </c>
      <c r="I622" s="10">
        <f t="shared" si="76"/>
        <v>45701.287847222222</v>
      </c>
      <c r="J622" s="10">
        <f t="shared" si="77"/>
        <v>45701.287847222222</v>
      </c>
      <c r="K622" s="3">
        <f t="shared" si="79"/>
        <v>4839</v>
      </c>
      <c r="L622">
        <f t="shared" si="72"/>
        <v>16.422222219999998</v>
      </c>
      <c r="M622">
        <f t="shared" si="78"/>
        <v>59.119999991999997</v>
      </c>
    </row>
    <row r="623" spans="1:13" x14ac:dyDescent="0.25">
      <c r="A623" s="9">
        <f>Speed!A623</f>
        <v>45701.287858796299</v>
      </c>
      <c r="B623" s="9">
        <f t="shared" si="73"/>
        <v>45701.287858796291</v>
      </c>
      <c r="C623" s="2">
        <f>Speed!B623</f>
        <v>16.119444439999999</v>
      </c>
      <c r="D623" s="9">
        <f>Odometer!A623</f>
        <v>45701.288622685184</v>
      </c>
      <c r="E623" s="9">
        <f t="shared" si="74"/>
        <v>45701.288622685184</v>
      </c>
      <c r="F623" s="2">
        <f>Odometer!B623</f>
        <v>428755128</v>
      </c>
      <c r="G623" s="2">
        <f t="shared" si="75"/>
        <v>7</v>
      </c>
      <c r="H623" s="2">
        <f>SUM($G$2:G623)</f>
        <v>5237</v>
      </c>
      <c r="I623" s="10">
        <f t="shared" si="76"/>
        <v>45701.287858796299</v>
      </c>
      <c r="J623" s="10">
        <f t="shared" si="77"/>
        <v>45701.287858796291</v>
      </c>
      <c r="K623" s="3">
        <f t="shared" si="79"/>
        <v>4854</v>
      </c>
      <c r="L623">
        <f t="shared" si="72"/>
        <v>16.119444439999999</v>
      </c>
      <c r="M623">
        <f t="shared" si="78"/>
        <v>58.029999984</v>
      </c>
    </row>
    <row r="624" spans="1:13" x14ac:dyDescent="0.25">
      <c r="A624" s="9">
        <f>Speed!A624</f>
        <v>45701.287870370368</v>
      </c>
      <c r="B624" s="9">
        <f t="shared" si="73"/>
        <v>45701.287870370368</v>
      </c>
      <c r="C624" s="2">
        <f>Speed!B624</f>
        <v>15.71944444</v>
      </c>
      <c r="D624" s="9">
        <f>Odometer!A624</f>
        <v>45701.288634259261</v>
      </c>
      <c r="E624" s="9">
        <f t="shared" si="74"/>
        <v>45701.288634259254</v>
      </c>
      <c r="F624" s="2">
        <f>Odometer!B624</f>
        <v>428755135</v>
      </c>
      <c r="G624" s="2">
        <f t="shared" si="75"/>
        <v>6</v>
      </c>
      <c r="H624" s="2">
        <f>SUM($G$2:G624)</f>
        <v>5243</v>
      </c>
      <c r="I624" s="10">
        <f t="shared" si="76"/>
        <v>45701.287870370368</v>
      </c>
      <c r="J624" s="10">
        <f t="shared" si="77"/>
        <v>45701.287870370368</v>
      </c>
      <c r="K624" s="3">
        <f t="shared" si="79"/>
        <v>4870</v>
      </c>
      <c r="L624">
        <f t="shared" si="72"/>
        <v>15.71944444</v>
      </c>
      <c r="M624">
        <f t="shared" si="78"/>
        <v>56.589999984000002</v>
      </c>
    </row>
    <row r="625" spans="1:13" x14ac:dyDescent="0.25">
      <c r="A625" s="9">
        <f>Speed!A625</f>
        <v>45701.287881944445</v>
      </c>
      <c r="B625" s="9">
        <f t="shared" si="73"/>
        <v>45701.287881944445</v>
      </c>
      <c r="C625" s="2">
        <f>Speed!B625</f>
        <v>15.03055556</v>
      </c>
      <c r="D625" s="9">
        <f>Odometer!A625</f>
        <v>45701.288634259261</v>
      </c>
      <c r="E625" s="9">
        <f t="shared" si="74"/>
        <v>45701.288634259254</v>
      </c>
      <c r="F625" s="2">
        <f>Odometer!B625</f>
        <v>428755141</v>
      </c>
      <c r="G625" s="2">
        <f t="shared" si="75"/>
        <v>4</v>
      </c>
      <c r="H625" s="2">
        <f>SUM($G$2:G625)</f>
        <v>5247</v>
      </c>
      <c r="I625" s="10">
        <f t="shared" si="76"/>
        <v>45701.287881944445</v>
      </c>
      <c r="J625" s="10">
        <f t="shared" si="77"/>
        <v>45701.287881944445</v>
      </c>
      <c r="K625" s="3">
        <f t="shared" si="79"/>
        <v>4885</v>
      </c>
      <c r="L625">
        <f t="shared" si="72"/>
        <v>15.03055556</v>
      </c>
      <c r="M625">
        <f t="shared" si="78"/>
        <v>54.110000016000001</v>
      </c>
    </row>
    <row r="626" spans="1:13" x14ac:dyDescent="0.25">
      <c r="A626" s="9">
        <f>Speed!A626</f>
        <v>45701.287893518522</v>
      </c>
      <c r="B626" s="9">
        <f t="shared" si="73"/>
        <v>45701.287893518514</v>
      </c>
      <c r="C626" s="2">
        <f>Speed!B626</f>
        <v>14.425000000000001</v>
      </c>
      <c r="D626" s="9">
        <f>Odometer!A626</f>
        <v>45701.288645833331</v>
      </c>
      <c r="E626" s="9">
        <f t="shared" si="74"/>
        <v>45701.288645833331</v>
      </c>
      <c r="F626" s="2">
        <f>Odometer!B626</f>
        <v>428755145</v>
      </c>
      <c r="G626" s="2">
        <f t="shared" si="75"/>
        <v>2</v>
      </c>
      <c r="H626" s="2">
        <f>SUM($G$2:G626)</f>
        <v>5249</v>
      </c>
      <c r="I626" s="10">
        <f t="shared" si="76"/>
        <v>45701.287893518522</v>
      </c>
      <c r="J626" s="10">
        <f t="shared" si="77"/>
        <v>45701.287893518514</v>
      </c>
      <c r="K626" s="3">
        <f t="shared" si="79"/>
        <v>4899</v>
      </c>
      <c r="L626">
        <f t="shared" si="72"/>
        <v>14.425000000000001</v>
      </c>
      <c r="M626">
        <f t="shared" si="78"/>
        <v>51.930000000000007</v>
      </c>
    </row>
    <row r="627" spans="1:13" x14ac:dyDescent="0.25">
      <c r="A627" s="9">
        <f>Speed!A627</f>
        <v>45701.287905092591</v>
      </c>
      <c r="B627" s="9">
        <f t="shared" si="73"/>
        <v>45701.287905092591</v>
      </c>
      <c r="C627" s="2">
        <f>Speed!B627</f>
        <v>13.891666669999999</v>
      </c>
      <c r="D627" s="9">
        <f>Odometer!A627</f>
        <v>45701.288657407407</v>
      </c>
      <c r="E627" s="9">
        <f t="shared" si="74"/>
        <v>45701.288657407407</v>
      </c>
      <c r="F627" s="2">
        <f>Odometer!B627</f>
        <v>428755147</v>
      </c>
      <c r="G627" s="2">
        <f t="shared" si="75"/>
        <v>1</v>
      </c>
      <c r="H627" s="2">
        <f>SUM($G$2:G627)</f>
        <v>5250</v>
      </c>
      <c r="I627" s="10">
        <f t="shared" si="76"/>
        <v>45701.287905092591</v>
      </c>
      <c r="J627" s="10">
        <f t="shared" si="77"/>
        <v>45701.287905092591</v>
      </c>
      <c r="K627" s="3">
        <f t="shared" si="79"/>
        <v>4912</v>
      </c>
      <c r="L627">
        <f t="shared" si="72"/>
        <v>13.891666669999999</v>
      </c>
      <c r="M627">
        <f t="shared" si="78"/>
        <v>50.010000011999999</v>
      </c>
    </row>
    <row r="628" spans="1:13" x14ac:dyDescent="0.25">
      <c r="A628" s="9">
        <f>Speed!A628</f>
        <v>45701.287905092591</v>
      </c>
      <c r="B628" s="9">
        <f t="shared" si="73"/>
        <v>45701.287905092591</v>
      </c>
      <c r="C628" s="2">
        <f>Speed!B628</f>
        <v>13.461111109999999</v>
      </c>
      <c r="D628" s="9">
        <f>Odometer!A628</f>
        <v>45701.288657407407</v>
      </c>
      <c r="E628" s="9">
        <f t="shared" si="74"/>
        <v>45701.288657407407</v>
      </c>
      <c r="F628" s="2">
        <f>Odometer!B628</f>
        <v>428755148</v>
      </c>
      <c r="G628" s="2">
        <f t="shared" si="75"/>
        <v>4</v>
      </c>
      <c r="H628" s="2">
        <f>SUM($G$2:G628)</f>
        <v>5254</v>
      </c>
      <c r="I628" s="10">
        <f t="shared" si="76"/>
        <v>45701.287905092591</v>
      </c>
      <c r="J628" s="10">
        <f t="shared" si="77"/>
        <v>45701.287905092591</v>
      </c>
      <c r="K628" s="3">
        <f t="shared" si="79"/>
        <v>4912</v>
      </c>
      <c r="L628">
        <f t="shared" si="72"/>
        <v>13.891666669999999</v>
      </c>
      <c r="M628">
        <f t="shared" si="78"/>
        <v>50.010000011999999</v>
      </c>
    </row>
    <row r="629" spans="1:13" x14ac:dyDescent="0.25">
      <c r="A629" s="9">
        <f>Speed!A629</f>
        <v>45701.287916666668</v>
      </c>
      <c r="B629" s="9">
        <f t="shared" si="73"/>
        <v>45701.287916666668</v>
      </c>
      <c r="C629" s="2">
        <f>Speed!B629</f>
        <v>13.438888889999999</v>
      </c>
      <c r="D629" s="9">
        <f>Odometer!A629</f>
        <v>45701.288657407407</v>
      </c>
      <c r="E629" s="9">
        <f t="shared" si="74"/>
        <v>45701.288657407407</v>
      </c>
      <c r="F629" s="2">
        <f>Odometer!B629</f>
        <v>428755152</v>
      </c>
      <c r="G629" s="2">
        <f t="shared" si="75"/>
        <v>6</v>
      </c>
      <c r="H629" s="2">
        <f>SUM($G$2:G629)</f>
        <v>5260</v>
      </c>
      <c r="I629" s="10">
        <f t="shared" si="76"/>
        <v>45701.287916666668</v>
      </c>
      <c r="J629" s="10">
        <f t="shared" si="77"/>
        <v>45701.287916666668</v>
      </c>
      <c r="K629" s="3">
        <f t="shared" si="79"/>
        <v>4925</v>
      </c>
      <c r="L629">
        <f t="shared" si="72"/>
        <v>13.438888889999999</v>
      </c>
      <c r="M629">
        <f t="shared" si="78"/>
        <v>48.380000003999996</v>
      </c>
    </row>
    <row r="630" spans="1:13" x14ac:dyDescent="0.25">
      <c r="A630" s="9">
        <f>Speed!A630</f>
        <v>45701.287928240738</v>
      </c>
      <c r="B630" s="9">
        <f t="shared" si="73"/>
        <v>45701.287928240738</v>
      </c>
      <c r="C630" s="2">
        <f>Speed!B630</f>
        <v>13.016666669999999</v>
      </c>
      <c r="D630" s="9">
        <f>Odometer!A630</f>
        <v>45701.288680555554</v>
      </c>
      <c r="E630" s="9">
        <f t="shared" si="74"/>
        <v>45701.288680555554</v>
      </c>
      <c r="F630" s="2">
        <f>Odometer!B630</f>
        <v>428755158</v>
      </c>
      <c r="G630" s="2">
        <f t="shared" si="75"/>
        <v>5</v>
      </c>
      <c r="H630" s="2">
        <f>SUM($G$2:G630)</f>
        <v>5265</v>
      </c>
      <c r="I630" s="10">
        <f t="shared" si="76"/>
        <v>45701.287928240738</v>
      </c>
      <c r="J630" s="10">
        <f t="shared" si="77"/>
        <v>45701.287928240738</v>
      </c>
      <c r="K630" s="3">
        <f t="shared" si="79"/>
        <v>4938</v>
      </c>
      <c r="L630">
        <f t="shared" si="72"/>
        <v>13.016666669999999</v>
      </c>
      <c r="M630">
        <f t="shared" si="78"/>
        <v>46.860000012</v>
      </c>
    </row>
    <row r="631" spans="1:13" x14ac:dyDescent="0.25">
      <c r="A631" s="9">
        <f>Speed!A631</f>
        <v>45701.287939814814</v>
      </c>
      <c r="B631" s="9">
        <f t="shared" si="73"/>
        <v>45701.287939814814</v>
      </c>
      <c r="C631" s="2">
        <f>Speed!B631</f>
        <v>12.538888890000001</v>
      </c>
      <c r="D631" s="9">
        <f>Odometer!A631</f>
        <v>45701.28869212963</v>
      </c>
      <c r="E631" s="9">
        <f t="shared" si="74"/>
        <v>45701.28869212963</v>
      </c>
      <c r="F631" s="2">
        <f>Odometer!B631</f>
        <v>428755163</v>
      </c>
      <c r="G631" s="2">
        <f t="shared" si="75"/>
        <v>5</v>
      </c>
      <c r="H631" s="2">
        <f>SUM($G$2:G631)</f>
        <v>5270</v>
      </c>
      <c r="I631" s="10">
        <f t="shared" si="76"/>
        <v>45701.287939814814</v>
      </c>
      <c r="J631" s="10">
        <f t="shared" si="77"/>
        <v>45701.287939814814</v>
      </c>
      <c r="K631" s="3">
        <f t="shared" si="79"/>
        <v>4951</v>
      </c>
      <c r="L631">
        <f t="shared" si="72"/>
        <v>12.538888890000001</v>
      </c>
      <c r="M631">
        <f t="shared" si="78"/>
        <v>45.140000004000001</v>
      </c>
    </row>
    <row r="632" spans="1:13" x14ac:dyDescent="0.25">
      <c r="A632" s="9">
        <f>Speed!A632</f>
        <v>45701.287951388891</v>
      </c>
      <c r="B632" s="9">
        <f t="shared" si="73"/>
        <v>45701.287951388884</v>
      </c>
      <c r="C632" s="2">
        <f>Speed!B632</f>
        <v>12.04166667</v>
      </c>
      <c r="D632" s="9">
        <f>Odometer!A632</f>
        <v>45701.288703703707</v>
      </c>
      <c r="E632" s="9">
        <f t="shared" si="74"/>
        <v>45701.2887037037</v>
      </c>
      <c r="F632" s="2">
        <f>Odometer!B632</f>
        <v>428755168</v>
      </c>
      <c r="G632" s="2">
        <f t="shared" si="75"/>
        <v>5</v>
      </c>
      <c r="H632" s="2">
        <f>SUM($G$2:G632)</f>
        <v>5275</v>
      </c>
      <c r="I632" s="10">
        <f t="shared" si="76"/>
        <v>45701.287951388891</v>
      </c>
      <c r="J632" s="10">
        <f t="shared" si="77"/>
        <v>45701.287951388884</v>
      </c>
      <c r="K632" s="3">
        <f t="shared" si="79"/>
        <v>4962</v>
      </c>
      <c r="L632">
        <f t="shared" si="72"/>
        <v>12.04166667</v>
      </c>
      <c r="M632">
        <f t="shared" si="78"/>
        <v>43.350000012000002</v>
      </c>
    </row>
    <row r="633" spans="1:13" x14ac:dyDescent="0.25">
      <c r="A633" s="9">
        <f>Speed!A633</f>
        <v>45701.287962962961</v>
      </c>
      <c r="B633" s="9">
        <f t="shared" si="73"/>
        <v>45701.287962962961</v>
      </c>
      <c r="C633" s="2">
        <f>Speed!B633</f>
        <v>11.633333329999999</v>
      </c>
      <c r="D633" s="9">
        <f>Odometer!A633</f>
        <v>45701.288715277777</v>
      </c>
      <c r="E633" s="9">
        <f t="shared" si="74"/>
        <v>45701.288715277777</v>
      </c>
      <c r="F633" s="2">
        <f>Odometer!B633</f>
        <v>428755173</v>
      </c>
      <c r="G633" s="2">
        <f t="shared" si="75"/>
        <v>6</v>
      </c>
      <c r="H633" s="2">
        <f>SUM($G$2:G633)</f>
        <v>5281</v>
      </c>
      <c r="I633" s="10">
        <f t="shared" si="76"/>
        <v>45701.287962962961</v>
      </c>
      <c r="J633" s="10">
        <f t="shared" si="77"/>
        <v>45701.287962962961</v>
      </c>
      <c r="K633" s="3">
        <f t="shared" si="79"/>
        <v>4965</v>
      </c>
      <c r="L633">
        <f t="shared" si="72"/>
        <v>11.633333329999999</v>
      </c>
      <c r="M633">
        <f t="shared" si="78"/>
        <v>41.879999988000002</v>
      </c>
    </row>
    <row r="634" spans="1:13" x14ac:dyDescent="0.25">
      <c r="A634" s="9">
        <f>Speed!A634</f>
        <v>45701.287962962961</v>
      </c>
      <c r="B634" s="9">
        <f t="shared" si="73"/>
        <v>45701.287962962961</v>
      </c>
      <c r="C634" s="2">
        <f>Speed!B634</f>
        <v>11.52222222</v>
      </c>
      <c r="D634" s="9">
        <f>Odometer!A634</f>
        <v>45701.288726851853</v>
      </c>
      <c r="E634" s="9">
        <f t="shared" si="74"/>
        <v>45701.288726851846</v>
      </c>
      <c r="F634" s="2">
        <f>Odometer!B634</f>
        <v>428755179</v>
      </c>
      <c r="G634" s="2">
        <f t="shared" si="75"/>
        <v>5</v>
      </c>
      <c r="H634" s="2">
        <f>SUM($G$2:G634)</f>
        <v>5286</v>
      </c>
      <c r="I634" s="10">
        <f t="shared" si="76"/>
        <v>45701.287962962961</v>
      </c>
      <c r="J634" s="10">
        <f t="shared" si="77"/>
        <v>45701.287962962961</v>
      </c>
      <c r="K634" s="3">
        <f t="shared" si="79"/>
        <v>4965</v>
      </c>
      <c r="L634">
        <f t="shared" si="72"/>
        <v>11.633333329999999</v>
      </c>
      <c r="M634">
        <f t="shared" si="78"/>
        <v>41.879999988000002</v>
      </c>
    </row>
    <row r="635" spans="1:13" x14ac:dyDescent="0.25">
      <c r="A635" s="9">
        <f>Speed!A635</f>
        <v>45701.287962962961</v>
      </c>
      <c r="B635" s="9">
        <f t="shared" si="73"/>
        <v>45701.287962962961</v>
      </c>
      <c r="C635" s="2">
        <f>Speed!B635</f>
        <v>11.330555560000001</v>
      </c>
      <c r="D635" s="9">
        <f>Odometer!A635</f>
        <v>45701.288738425923</v>
      </c>
      <c r="E635" s="9">
        <f t="shared" si="74"/>
        <v>45701.288738425923</v>
      </c>
      <c r="F635" s="2">
        <f>Odometer!B635</f>
        <v>428755184</v>
      </c>
      <c r="G635" s="2">
        <f t="shared" si="75"/>
        <v>5</v>
      </c>
      <c r="H635" s="2">
        <f>SUM($G$2:G635)</f>
        <v>5291</v>
      </c>
      <c r="I635" s="10">
        <f t="shared" si="76"/>
        <v>45701.287962962961</v>
      </c>
      <c r="J635" s="10">
        <f t="shared" si="77"/>
        <v>45701.287962962961</v>
      </c>
      <c r="K635" s="3">
        <f t="shared" si="79"/>
        <v>4965</v>
      </c>
      <c r="L635">
        <f t="shared" si="72"/>
        <v>11.633333329999999</v>
      </c>
      <c r="M635">
        <f t="shared" si="78"/>
        <v>41.879999988000002</v>
      </c>
    </row>
    <row r="636" spans="1:13" x14ac:dyDescent="0.25">
      <c r="A636" s="9">
        <f>Speed!A636</f>
        <v>45701.287974537037</v>
      </c>
      <c r="B636" s="9">
        <f t="shared" si="73"/>
        <v>45701.287974537037</v>
      </c>
      <c r="C636" s="2">
        <f>Speed!B636</f>
        <v>11.30555556</v>
      </c>
      <c r="D636" s="9">
        <f>Odometer!A636</f>
        <v>45701.28875</v>
      </c>
      <c r="E636" s="9">
        <f t="shared" si="74"/>
        <v>45701.28875</v>
      </c>
      <c r="F636" s="2">
        <f>Odometer!B636</f>
        <v>428755189</v>
      </c>
      <c r="G636" s="2">
        <f t="shared" si="75"/>
        <v>5</v>
      </c>
      <c r="H636" s="2">
        <f>SUM($G$2:G636)</f>
        <v>5296</v>
      </c>
      <c r="I636" s="10">
        <f t="shared" si="76"/>
        <v>45701.287974537037</v>
      </c>
      <c r="J636" s="10">
        <f t="shared" si="77"/>
        <v>45701.287974537037</v>
      </c>
      <c r="K636" s="3">
        <f t="shared" si="79"/>
        <v>4986</v>
      </c>
      <c r="L636">
        <f t="shared" si="72"/>
        <v>11.30555556</v>
      </c>
      <c r="M636">
        <f t="shared" si="78"/>
        <v>40.700000016000004</v>
      </c>
    </row>
    <row r="637" spans="1:13" x14ac:dyDescent="0.25">
      <c r="A637" s="9">
        <f>Speed!A637</f>
        <v>45701.287986111114</v>
      </c>
      <c r="B637" s="9">
        <f t="shared" si="73"/>
        <v>45701.287986111107</v>
      </c>
      <c r="C637" s="2">
        <f>Speed!B637</f>
        <v>10.980555560000001</v>
      </c>
      <c r="D637" s="9">
        <f>Odometer!A637</f>
        <v>45701.288761574076</v>
      </c>
      <c r="E637" s="9">
        <f t="shared" si="74"/>
        <v>45701.288761574069</v>
      </c>
      <c r="F637" s="2">
        <f>Odometer!B637</f>
        <v>428755194</v>
      </c>
      <c r="G637" s="2">
        <f t="shared" si="75"/>
        <v>5</v>
      </c>
      <c r="H637" s="2">
        <f>SUM($G$2:G637)</f>
        <v>5301</v>
      </c>
      <c r="I637" s="10">
        <f t="shared" si="76"/>
        <v>45701.287986111114</v>
      </c>
      <c r="J637" s="10">
        <f t="shared" si="77"/>
        <v>45701.287986111107</v>
      </c>
      <c r="K637" s="3">
        <f t="shared" si="79"/>
        <v>4996</v>
      </c>
      <c r="L637">
        <f t="shared" si="72"/>
        <v>10.980555560000001</v>
      </c>
      <c r="M637">
        <f t="shared" si="78"/>
        <v>39.530000016000002</v>
      </c>
    </row>
    <row r="638" spans="1:13" x14ac:dyDescent="0.25">
      <c r="A638" s="9">
        <f>Speed!A638</f>
        <v>45701.287997685184</v>
      </c>
      <c r="B638" s="9">
        <f t="shared" si="73"/>
        <v>45701.287997685184</v>
      </c>
      <c r="C638" s="2">
        <f>Speed!B638</f>
        <v>10.733333330000001</v>
      </c>
      <c r="D638" s="9">
        <f>Odometer!A638</f>
        <v>45701.288773148146</v>
      </c>
      <c r="E638" s="9">
        <f t="shared" si="74"/>
        <v>45701.288773148146</v>
      </c>
      <c r="F638" s="2">
        <f>Odometer!B638</f>
        <v>428755199</v>
      </c>
      <c r="G638" s="2">
        <f t="shared" si="75"/>
        <v>5</v>
      </c>
      <c r="H638" s="2">
        <f>SUM($G$2:G638)</f>
        <v>5306</v>
      </c>
      <c r="I638" s="10">
        <f t="shared" si="76"/>
        <v>45701.287997685184</v>
      </c>
      <c r="J638" s="10">
        <f t="shared" si="77"/>
        <v>45701.287997685184</v>
      </c>
      <c r="K638" s="3">
        <f t="shared" si="79"/>
        <v>5007</v>
      </c>
      <c r="L638">
        <f t="shared" si="72"/>
        <v>10.733333330000001</v>
      </c>
      <c r="M638">
        <f t="shared" si="78"/>
        <v>38.639999988000007</v>
      </c>
    </row>
    <row r="639" spans="1:13" x14ac:dyDescent="0.25">
      <c r="A639" s="9">
        <f>Speed!A639</f>
        <v>45701.28800925926</v>
      </c>
      <c r="B639" s="9">
        <f t="shared" si="73"/>
        <v>45701.28800925926</v>
      </c>
      <c r="C639" s="2">
        <f>Speed!B639</f>
        <v>10.436111110000001</v>
      </c>
      <c r="D639" s="9">
        <f>Odometer!A639</f>
        <v>45701.288784722223</v>
      </c>
      <c r="E639" s="9">
        <f t="shared" si="74"/>
        <v>45701.288784722223</v>
      </c>
      <c r="F639" s="2">
        <f>Odometer!B639</f>
        <v>428755204</v>
      </c>
      <c r="G639" s="2">
        <f t="shared" si="75"/>
        <v>5</v>
      </c>
      <c r="H639" s="2">
        <f>SUM($G$2:G639)</f>
        <v>5311</v>
      </c>
      <c r="I639" s="10">
        <f t="shared" si="76"/>
        <v>45701.28800925926</v>
      </c>
      <c r="J639" s="10">
        <f t="shared" si="77"/>
        <v>45701.28800925926</v>
      </c>
      <c r="K639" s="3">
        <f t="shared" si="79"/>
        <v>5010</v>
      </c>
      <c r="L639">
        <f t="shared" si="72"/>
        <v>10.436111110000001</v>
      </c>
      <c r="M639">
        <f t="shared" si="78"/>
        <v>37.569999996</v>
      </c>
    </row>
    <row r="640" spans="1:13" x14ac:dyDescent="0.25">
      <c r="A640" s="9">
        <f>Speed!A640</f>
        <v>45701.28800925926</v>
      </c>
      <c r="B640" s="9">
        <f t="shared" si="73"/>
        <v>45701.28800925926</v>
      </c>
      <c r="C640" s="2">
        <f>Speed!B640</f>
        <v>10.38888889</v>
      </c>
      <c r="D640" s="9">
        <f>Odometer!A640</f>
        <v>45701.2887962963</v>
      </c>
      <c r="E640" s="9">
        <f t="shared" si="74"/>
        <v>45701.288796296292</v>
      </c>
      <c r="F640" s="2">
        <f>Odometer!B640</f>
        <v>428755209</v>
      </c>
      <c r="G640" s="2">
        <f t="shared" si="75"/>
        <v>5</v>
      </c>
      <c r="H640" s="2">
        <f>SUM($G$2:G640)</f>
        <v>5316</v>
      </c>
      <c r="I640" s="10">
        <f t="shared" si="76"/>
        <v>45701.28800925926</v>
      </c>
      <c r="J640" s="10">
        <f t="shared" si="77"/>
        <v>45701.28800925926</v>
      </c>
      <c r="K640" s="3">
        <f t="shared" si="79"/>
        <v>5010</v>
      </c>
      <c r="L640">
        <f t="shared" si="72"/>
        <v>10.436111110000001</v>
      </c>
      <c r="M640">
        <f t="shared" si="78"/>
        <v>37.569999996</v>
      </c>
    </row>
    <row r="641" spans="1:13" x14ac:dyDescent="0.25">
      <c r="A641" s="9">
        <f>Speed!A641</f>
        <v>45701.28800925926</v>
      </c>
      <c r="B641" s="9">
        <f t="shared" si="73"/>
        <v>45701.28800925926</v>
      </c>
      <c r="C641" s="2">
        <f>Speed!B641</f>
        <v>10.413888890000001</v>
      </c>
      <c r="D641" s="9">
        <f>Odometer!A641</f>
        <v>45701.288807870369</v>
      </c>
      <c r="E641" s="9">
        <f t="shared" si="74"/>
        <v>45701.288807870369</v>
      </c>
      <c r="F641" s="2">
        <f>Odometer!B641</f>
        <v>428755214</v>
      </c>
      <c r="G641" s="2">
        <f t="shared" si="75"/>
        <v>5</v>
      </c>
      <c r="H641" s="2">
        <f>SUM($G$2:G641)</f>
        <v>5321</v>
      </c>
      <c r="I641" s="10">
        <f t="shared" si="76"/>
        <v>45701.28800925926</v>
      </c>
      <c r="J641" s="10">
        <f t="shared" si="77"/>
        <v>45701.28800925926</v>
      </c>
      <c r="K641" s="3">
        <f t="shared" si="79"/>
        <v>5010</v>
      </c>
      <c r="L641">
        <f t="shared" si="72"/>
        <v>10.436111110000001</v>
      </c>
      <c r="M641">
        <f t="shared" si="78"/>
        <v>37.569999996</v>
      </c>
    </row>
    <row r="642" spans="1:13" x14ac:dyDescent="0.25">
      <c r="A642" s="9">
        <f>Speed!A642</f>
        <v>45701.28802083333</v>
      </c>
      <c r="B642" s="9">
        <f t="shared" si="73"/>
        <v>45701.28802083333</v>
      </c>
      <c r="C642" s="2">
        <f>Speed!B642</f>
        <v>10.06944444</v>
      </c>
      <c r="D642" s="9">
        <f>Odometer!A642</f>
        <v>45701.288819444446</v>
      </c>
      <c r="E642" s="9">
        <f t="shared" si="74"/>
        <v>45701.288819444439</v>
      </c>
      <c r="F642" s="2">
        <f>Odometer!B642</f>
        <v>428755219</v>
      </c>
      <c r="G642" s="2">
        <f t="shared" si="75"/>
        <v>5</v>
      </c>
      <c r="H642" s="2">
        <f>SUM($G$2:G642)</f>
        <v>5326</v>
      </c>
      <c r="I642" s="10">
        <f t="shared" si="76"/>
        <v>45701.28802083333</v>
      </c>
      <c r="J642" s="10">
        <f t="shared" si="77"/>
        <v>45701.28802083333</v>
      </c>
      <c r="K642" s="3">
        <f t="shared" si="79"/>
        <v>5026</v>
      </c>
      <c r="L642">
        <f t="shared" ref="L642:L705" si="80">INDEX($C$2:$C$2000, MATCH(I642,$A$2:$A$2000,0))</f>
        <v>10.06944444</v>
      </c>
      <c r="M642">
        <f t="shared" si="78"/>
        <v>36.249999983999999</v>
      </c>
    </row>
    <row r="643" spans="1:13" x14ac:dyDescent="0.25">
      <c r="A643" s="9">
        <f>Speed!A643</f>
        <v>45701.288032407407</v>
      </c>
      <c r="B643" s="9">
        <f t="shared" ref="B643:B706" si="81">MROUND(A643,"00:00:01")</f>
        <v>45701.288032407407</v>
      </c>
      <c r="C643" s="2">
        <f>Speed!B643</f>
        <v>9.5694444440000002</v>
      </c>
      <c r="D643" s="9">
        <f>Odometer!A643</f>
        <v>45701.288831018515</v>
      </c>
      <c r="E643" s="9">
        <f t="shared" ref="E643:E706" si="82">MROUND(D643,"00:00:01")</f>
        <v>45701.288831018515</v>
      </c>
      <c r="F643" s="2">
        <f>Odometer!B643</f>
        <v>428755224</v>
      </c>
      <c r="G643" s="2">
        <f t="shared" ref="G643:G706" si="83">IF(F644-F643&lt;0,0,F644-F643)</f>
        <v>5</v>
      </c>
      <c r="H643" s="2">
        <f>SUM($G$2:G643)</f>
        <v>5331</v>
      </c>
      <c r="I643" s="10">
        <f t="shared" ref="I643:I706" si="84">A643</f>
        <v>45701.288032407407</v>
      </c>
      <c r="J643" s="10">
        <f t="shared" ref="J643:J706" si="85">MROUND(I643,"0:00:01")</f>
        <v>45701.288032407407</v>
      </c>
      <c r="K643" s="3">
        <f t="shared" si="79"/>
        <v>5036</v>
      </c>
      <c r="L643">
        <f t="shared" si="80"/>
        <v>9.5694444440000002</v>
      </c>
      <c r="M643">
        <f t="shared" ref="M643:M706" si="86">L643*3.6</f>
        <v>34.449999998400003</v>
      </c>
    </row>
    <row r="644" spans="1:13" x14ac:dyDescent="0.25">
      <c r="A644" s="9">
        <f>Speed!A644</f>
        <v>45701.288043981483</v>
      </c>
      <c r="B644" s="9">
        <f t="shared" si="81"/>
        <v>45701.288043981476</v>
      </c>
      <c r="C644" s="2">
        <f>Speed!B644</f>
        <v>8.8777777780000005</v>
      </c>
      <c r="D644" s="9">
        <f>Odometer!A644</f>
        <v>45701.288831018515</v>
      </c>
      <c r="E644" s="9">
        <f t="shared" si="82"/>
        <v>45701.288831018515</v>
      </c>
      <c r="F644" s="2">
        <f>Odometer!B644</f>
        <v>428755229</v>
      </c>
      <c r="G644" s="2">
        <f t="shared" si="83"/>
        <v>5</v>
      </c>
      <c r="H644" s="2">
        <f>SUM($G$2:G644)</f>
        <v>5336</v>
      </c>
      <c r="I644" s="10">
        <f t="shared" si="84"/>
        <v>45701.288043981483</v>
      </c>
      <c r="J644" s="10">
        <f t="shared" si="85"/>
        <v>45701.288043981476</v>
      </c>
      <c r="K644" s="3">
        <f t="shared" ref="K644:K707" si="87">IFERROR(INDEX($H$2:$H$2000,MATCH(J644,$E$2:$E$2000,0)),NA())</f>
        <v>5044</v>
      </c>
      <c r="L644">
        <f t="shared" si="80"/>
        <v>8.8777777780000005</v>
      </c>
      <c r="M644">
        <f t="shared" si="86"/>
        <v>31.960000000800001</v>
      </c>
    </row>
    <row r="645" spans="1:13" x14ac:dyDescent="0.25">
      <c r="A645" s="9">
        <f>Speed!A645</f>
        <v>45701.288055555553</v>
      </c>
      <c r="B645" s="9">
        <f t="shared" si="81"/>
        <v>45701.288055555553</v>
      </c>
      <c r="C645" s="2">
        <f>Speed!B645</f>
        <v>8.1055555560000005</v>
      </c>
      <c r="D645" s="9">
        <f>Odometer!A645</f>
        <v>45701.288854166669</v>
      </c>
      <c r="E645" s="9">
        <f t="shared" si="82"/>
        <v>45701.288854166662</v>
      </c>
      <c r="F645" s="2">
        <f>Odometer!B645</f>
        <v>428755234</v>
      </c>
      <c r="G645" s="2">
        <f t="shared" si="83"/>
        <v>6</v>
      </c>
      <c r="H645" s="2">
        <f>SUM($G$2:G645)</f>
        <v>5342</v>
      </c>
      <c r="I645" s="10">
        <f t="shared" si="84"/>
        <v>45701.288055555553</v>
      </c>
      <c r="J645" s="10">
        <f t="shared" si="85"/>
        <v>45701.288055555553</v>
      </c>
      <c r="K645" s="3">
        <f t="shared" si="87"/>
        <v>5051</v>
      </c>
      <c r="L645">
        <f t="shared" si="80"/>
        <v>8.1055555560000005</v>
      </c>
      <c r="M645">
        <f t="shared" si="86"/>
        <v>29.180000001600003</v>
      </c>
    </row>
    <row r="646" spans="1:13" x14ac:dyDescent="0.25">
      <c r="A646" s="9">
        <f>Speed!A646</f>
        <v>45701.288055555553</v>
      </c>
      <c r="B646" s="9">
        <f t="shared" si="81"/>
        <v>45701.288055555553</v>
      </c>
      <c r="C646" s="2">
        <f>Speed!B646</f>
        <v>7.0277777779999999</v>
      </c>
      <c r="D646" s="9">
        <f>Odometer!A646</f>
        <v>45701.288854166669</v>
      </c>
      <c r="E646" s="9">
        <f t="shared" si="82"/>
        <v>45701.288854166662</v>
      </c>
      <c r="F646" s="2">
        <f>Odometer!B646</f>
        <v>428755240</v>
      </c>
      <c r="G646" s="2">
        <f t="shared" si="83"/>
        <v>6</v>
      </c>
      <c r="H646" s="2">
        <f>SUM($G$2:G646)</f>
        <v>5348</v>
      </c>
      <c r="I646" s="10">
        <f t="shared" si="84"/>
        <v>45701.288055555553</v>
      </c>
      <c r="J646" s="10">
        <f t="shared" si="85"/>
        <v>45701.288055555553</v>
      </c>
      <c r="K646" s="3">
        <f t="shared" si="87"/>
        <v>5051</v>
      </c>
      <c r="L646">
        <f t="shared" si="80"/>
        <v>8.1055555560000005</v>
      </c>
      <c r="M646">
        <f t="shared" si="86"/>
        <v>29.180000001600003</v>
      </c>
    </row>
    <row r="647" spans="1:13" x14ac:dyDescent="0.25">
      <c r="A647" s="9">
        <f>Speed!A647</f>
        <v>45701.288078703707</v>
      </c>
      <c r="B647" s="9">
        <f t="shared" si="81"/>
        <v>45701.288078703699</v>
      </c>
      <c r="C647" s="2">
        <f>Speed!B647</f>
        <v>6.0416666670000003</v>
      </c>
      <c r="D647" s="9">
        <f>Odometer!A647</f>
        <v>45701.288877314815</v>
      </c>
      <c r="E647" s="9">
        <f t="shared" si="82"/>
        <v>45701.288877314815</v>
      </c>
      <c r="F647" s="2">
        <f>Odometer!B647</f>
        <v>428755246</v>
      </c>
      <c r="G647" s="2">
        <f t="shared" si="83"/>
        <v>5</v>
      </c>
      <c r="H647" s="2">
        <f>SUM($G$2:G647)</f>
        <v>5353</v>
      </c>
      <c r="I647" s="10">
        <f t="shared" si="84"/>
        <v>45701.288078703707</v>
      </c>
      <c r="J647" s="10">
        <f t="shared" si="85"/>
        <v>45701.288078703699</v>
      </c>
      <c r="K647" s="3">
        <f t="shared" si="87"/>
        <v>5064</v>
      </c>
      <c r="L647">
        <f t="shared" si="80"/>
        <v>6.0416666670000003</v>
      </c>
      <c r="M647">
        <f t="shared" si="86"/>
        <v>21.7500000012</v>
      </c>
    </row>
    <row r="648" spans="1:13" x14ac:dyDescent="0.25">
      <c r="A648" s="9">
        <f>Speed!A648</f>
        <v>45701.288090277776</v>
      </c>
      <c r="B648" s="9">
        <f t="shared" si="81"/>
        <v>45701.288090277776</v>
      </c>
      <c r="C648" s="2">
        <f>Speed!B648</f>
        <v>5.2416666669999996</v>
      </c>
      <c r="D648" s="9">
        <f>Odometer!A648</f>
        <v>45701.288888888892</v>
      </c>
      <c r="E648" s="9">
        <f t="shared" si="82"/>
        <v>45701.288888888885</v>
      </c>
      <c r="F648" s="2">
        <f>Odometer!B648</f>
        <v>428755251</v>
      </c>
      <c r="G648" s="2">
        <f t="shared" si="83"/>
        <v>5</v>
      </c>
      <c r="H648" s="2">
        <f>SUM($G$2:G648)</f>
        <v>5358</v>
      </c>
      <c r="I648" s="10">
        <f t="shared" si="84"/>
        <v>45701.288090277776</v>
      </c>
      <c r="J648" s="10">
        <f t="shared" si="85"/>
        <v>45701.288090277776</v>
      </c>
      <c r="K648" s="3">
        <f t="shared" si="87"/>
        <v>5069</v>
      </c>
      <c r="L648">
        <f t="shared" si="80"/>
        <v>5.2416666669999996</v>
      </c>
      <c r="M648">
        <f t="shared" si="86"/>
        <v>18.870000001199998</v>
      </c>
    </row>
    <row r="649" spans="1:13" x14ac:dyDescent="0.25">
      <c r="A649" s="9">
        <f>Speed!A649</f>
        <v>45701.288101851853</v>
      </c>
      <c r="B649" s="9">
        <f t="shared" si="81"/>
        <v>45701.288101851853</v>
      </c>
      <c r="C649" s="2">
        <f>Speed!B649</f>
        <v>4.1749999999999998</v>
      </c>
      <c r="D649" s="9">
        <f>Odometer!A649</f>
        <v>45701.288888888892</v>
      </c>
      <c r="E649" s="9">
        <f t="shared" si="82"/>
        <v>45701.288888888885</v>
      </c>
      <c r="F649" s="2">
        <f>Odometer!B649</f>
        <v>428755256</v>
      </c>
      <c r="G649" s="2">
        <f t="shared" si="83"/>
        <v>6</v>
      </c>
      <c r="H649" s="2">
        <f>SUM($G$2:G649)</f>
        <v>5364</v>
      </c>
      <c r="I649" s="10">
        <f t="shared" si="84"/>
        <v>45701.288101851853</v>
      </c>
      <c r="J649" s="10">
        <f t="shared" si="85"/>
        <v>45701.288101851853</v>
      </c>
      <c r="K649" s="3">
        <f t="shared" si="87"/>
        <v>5072</v>
      </c>
      <c r="L649">
        <f t="shared" si="80"/>
        <v>4.1749999999999998</v>
      </c>
      <c r="M649">
        <f t="shared" si="86"/>
        <v>15.03</v>
      </c>
    </row>
    <row r="650" spans="1:13" x14ac:dyDescent="0.25">
      <c r="A650" s="9">
        <f>Speed!A650</f>
        <v>45701.288101851853</v>
      </c>
      <c r="B650" s="9">
        <f t="shared" si="81"/>
        <v>45701.288101851853</v>
      </c>
      <c r="C650" s="2">
        <f>Speed!B650</f>
        <v>4.113888889</v>
      </c>
      <c r="D650" s="9">
        <f>Odometer!A650</f>
        <v>45701.288900462961</v>
      </c>
      <c r="E650" s="9">
        <f t="shared" si="82"/>
        <v>45701.288900462961</v>
      </c>
      <c r="F650" s="2">
        <f>Odometer!B650</f>
        <v>428755262</v>
      </c>
      <c r="G650" s="2">
        <f t="shared" si="83"/>
        <v>7</v>
      </c>
      <c r="H650" s="2">
        <f>SUM($G$2:G650)</f>
        <v>5371</v>
      </c>
      <c r="I650" s="10">
        <f t="shared" si="84"/>
        <v>45701.288101851853</v>
      </c>
      <c r="J650" s="10">
        <f t="shared" si="85"/>
        <v>45701.288101851853</v>
      </c>
      <c r="K650" s="3">
        <f t="shared" si="87"/>
        <v>5072</v>
      </c>
      <c r="L650">
        <f t="shared" si="80"/>
        <v>4.1749999999999998</v>
      </c>
      <c r="M650">
        <f t="shared" si="86"/>
        <v>15.03</v>
      </c>
    </row>
    <row r="651" spans="1:13" x14ac:dyDescent="0.25">
      <c r="A651" s="9">
        <f>Speed!A651</f>
        <v>45701.288113425922</v>
      </c>
      <c r="B651" s="9">
        <f t="shared" si="81"/>
        <v>45701.288113425922</v>
      </c>
      <c r="C651" s="2">
        <f>Speed!B651</f>
        <v>3.0861111110000001</v>
      </c>
      <c r="D651" s="9">
        <f>Odometer!A651</f>
        <v>45701.288912037038</v>
      </c>
      <c r="E651" s="9">
        <f t="shared" si="82"/>
        <v>45701.288912037038</v>
      </c>
      <c r="F651" s="2">
        <f>Odometer!B651</f>
        <v>428755269</v>
      </c>
      <c r="G651" s="2">
        <f t="shared" si="83"/>
        <v>7</v>
      </c>
      <c r="H651" s="2">
        <f>SUM($G$2:G651)</f>
        <v>5378</v>
      </c>
      <c r="I651" s="10">
        <f t="shared" si="84"/>
        <v>45701.288113425922</v>
      </c>
      <c r="J651" s="10">
        <f t="shared" si="85"/>
        <v>45701.288113425922</v>
      </c>
      <c r="K651" s="3">
        <f t="shared" si="87"/>
        <v>5075</v>
      </c>
      <c r="L651">
        <f t="shared" si="80"/>
        <v>3.0861111110000001</v>
      </c>
      <c r="M651">
        <f t="shared" si="86"/>
        <v>11.109999999600001</v>
      </c>
    </row>
    <row r="652" spans="1:13" x14ac:dyDescent="0.25">
      <c r="A652" s="9">
        <f>Speed!A652</f>
        <v>45701.288124999999</v>
      </c>
      <c r="B652" s="9">
        <f t="shared" si="81"/>
        <v>45701.288124999999</v>
      </c>
      <c r="C652" s="2">
        <f>Speed!B652</f>
        <v>1.9138888890000001</v>
      </c>
      <c r="D652" s="9">
        <f>Odometer!A652</f>
        <v>45701.288935185185</v>
      </c>
      <c r="E652" s="9">
        <f t="shared" si="82"/>
        <v>45701.288935185185</v>
      </c>
      <c r="F652" s="2">
        <f>Odometer!B652</f>
        <v>428755276</v>
      </c>
      <c r="G652" s="2">
        <f t="shared" si="83"/>
        <v>8</v>
      </c>
      <c r="H652" s="2">
        <f>SUM($G$2:G652)</f>
        <v>5386</v>
      </c>
      <c r="I652" s="10">
        <f t="shared" si="84"/>
        <v>45701.288124999999</v>
      </c>
      <c r="J652" s="10">
        <f t="shared" si="85"/>
        <v>45701.288124999999</v>
      </c>
      <c r="K652" s="3">
        <f t="shared" si="87"/>
        <v>5076</v>
      </c>
      <c r="L652">
        <f t="shared" si="80"/>
        <v>1.9138888890000001</v>
      </c>
      <c r="M652">
        <f t="shared" si="86"/>
        <v>6.8900000004000006</v>
      </c>
    </row>
    <row r="653" spans="1:13" x14ac:dyDescent="0.25">
      <c r="A653" s="9">
        <f>Speed!A653</f>
        <v>45701.288136574076</v>
      </c>
      <c r="B653" s="9">
        <f t="shared" si="81"/>
        <v>45701.288136574069</v>
      </c>
      <c r="C653" s="2">
        <f>Speed!B653</f>
        <v>0.91111111099999997</v>
      </c>
      <c r="D653" s="9">
        <f>Odometer!A653</f>
        <v>45701.288946759261</v>
      </c>
      <c r="E653" s="9">
        <f t="shared" si="82"/>
        <v>45701.288946759254</v>
      </c>
      <c r="F653" s="2">
        <f>Odometer!B653</f>
        <v>428755284</v>
      </c>
      <c r="G653" s="2">
        <f t="shared" si="83"/>
        <v>8</v>
      </c>
      <c r="H653" s="2">
        <f>SUM($G$2:G653)</f>
        <v>5394</v>
      </c>
      <c r="I653" s="10">
        <f t="shared" si="84"/>
        <v>45701.288136574076</v>
      </c>
      <c r="J653" s="10">
        <f t="shared" si="85"/>
        <v>45701.288136574069</v>
      </c>
      <c r="K653" s="3">
        <f t="shared" si="87"/>
        <v>5077</v>
      </c>
      <c r="L653">
        <f t="shared" si="80"/>
        <v>0.91111111099999997</v>
      </c>
      <c r="M653">
        <f t="shared" si="86"/>
        <v>3.2799999995999998</v>
      </c>
    </row>
    <row r="654" spans="1:13" x14ac:dyDescent="0.25">
      <c r="A654" s="9">
        <f>Speed!A654</f>
        <v>45701.288148148145</v>
      </c>
      <c r="B654" s="9">
        <f t="shared" si="81"/>
        <v>45701.288148148145</v>
      </c>
      <c r="C654" s="2">
        <f>Speed!B654</f>
        <v>0.241666667</v>
      </c>
      <c r="D654" s="9">
        <f>Odometer!A654</f>
        <v>45701.288958333331</v>
      </c>
      <c r="E654" s="9">
        <f t="shared" si="82"/>
        <v>45701.288958333331</v>
      </c>
      <c r="F654" s="2">
        <f>Odometer!B654</f>
        <v>428755292</v>
      </c>
      <c r="G654" s="2">
        <f t="shared" si="83"/>
        <v>9</v>
      </c>
      <c r="H654" s="2">
        <f>SUM($G$2:G654)</f>
        <v>5403</v>
      </c>
      <c r="I654" s="10">
        <f t="shared" si="84"/>
        <v>45701.288148148145</v>
      </c>
      <c r="J654" s="10">
        <f t="shared" si="85"/>
        <v>45701.288148148145</v>
      </c>
      <c r="K654" s="3">
        <f t="shared" si="87"/>
        <v>5078</v>
      </c>
      <c r="L654">
        <f t="shared" si="80"/>
        <v>0.241666667</v>
      </c>
      <c r="M654">
        <f t="shared" si="86"/>
        <v>0.87000000119999998</v>
      </c>
    </row>
    <row r="655" spans="1:13" x14ac:dyDescent="0.25">
      <c r="A655" s="9">
        <f>Speed!A655</f>
        <v>45701.288159722222</v>
      </c>
      <c r="B655" s="9">
        <f t="shared" si="81"/>
        <v>45701.288159722222</v>
      </c>
      <c r="C655" s="2">
        <f>Speed!B655</f>
        <v>0.15</v>
      </c>
      <c r="D655" s="9">
        <f>Odometer!A655</f>
        <v>45701.288969907408</v>
      </c>
      <c r="E655" s="9">
        <f t="shared" si="82"/>
        <v>45701.288969907408</v>
      </c>
      <c r="F655" s="2">
        <f>Odometer!B655</f>
        <v>428755301</v>
      </c>
      <c r="G655" s="2">
        <f t="shared" si="83"/>
        <v>1</v>
      </c>
      <c r="H655" s="2">
        <f>SUM($G$2:G655)</f>
        <v>5404</v>
      </c>
      <c r="I655" s="10">
        <f t="shared" si="84"/>
        <v>45701.288159722222</v>
      </c>
      <c r="J655" s="10">
        <f t="shared" si="85"/>
        <v>45701.288159722222</v>
      </c>
      <c r="K655" s="3" t="e">
        <f t="shared" si="87"/>
        <v>#N/A</v>
      </c>
      <c r="L655">
        <f t="shared" si="80"/>
        <v>0.15</v>
      </c>
      <c r="M655">
        <f t="shared" si="86"/>
        <v>0.54</v>
      </c>
    </row>
    <row r="656" spans="1:13" x14ac:dyDescent="0.25">
      <c r="A656" s="9">
        <f>Speed!A656</f>
        <v>45701.288159722222</v>
      </c>
      <c r="B656" s="9">
        <f t="shared" si="81"/>
        <v>45701.288159722222</v>
      </c>
      <c r="C656" s="2">
        <f>Speed!B656</f>
        <v>3.8888889000000003E-2</v>
      </c>
      <c r="D656" s="9">
        <f>Odometer!A656</f>
        <v>45701.288969907408</v>
      </c>
      <c r="E656" s="9">
        <f t="shared" si="82"/>
        <v>45701.288969907408</v>
      </c>
      <c r="F656" s="2">
        <f>Odometer!B656</f>
        <v>428755302</v>
      </c>
      <c r="G656" s="2">
        <f t="shared" si="83"/>
        <v>8</v>
      </c>
      <c r="H656" s="2">
        <f>SUM($G$2:G656)</f>
        <v>5412</v>
      </c>
      <c r="I656" s="10">
        <f t="shared" si="84"/>
        <v>45701.288159722222</v>
      </c>
      <c r="J656" s="10">
        <f t="shared" si="85"/>
        <v>45701.288159722222</v>
      </c>
      <c r="K656" s="3" t="e">
        <f t="shared" si="87"/>
        <v>#N/A</v>
      </c>
      <c r="L656">
        <f t="shared" si="80"/>
        <v>0.15</v>
      </c>
      <c r="M656">
        <f t="shared" si="86"/>
        <v>0.54</v>
      </c>
    </row>
    <row r="657" spans="1:13" x14ac:dyDescent="0.25">
      <c r="A657" s="9">
        <f>Speed!A657</f>
        <v>45701.288171296299</v>
      </c>
      <c r="B657" s="9">
        <f t="shared" si="81"/>
        <v>45701.288171296292</v>
      </c>
      <c r="C657" s="2">
        <f>Speed!B657</f>
        <v>0</v>
      </c>
      <c r="D657" s="9">
        <f>Odometer!A657</f>
        <v>45701.288981481484</v>
      </c>
      <c r="E657" s="9">
        <f t="shared" si="82"/>
        <v>45701.288981481477</v>
      </c>
      <c r="F657" s="2">
        <f>Odometer!B657</f>
        <v>428755310</v>
      </c>
      <c r="G657" s="2">
        <f t="shared" si="83"/>
        <v>7</v>
      </c>
      <c r="H657" s="2">
        <f>SUM($G$2:G657)</f>
        <v>5419</v>
      </c>
      <c r="I657" s="10">
        <f t="shared" si="84"/>
        <v>45701.288171296299</v>
      </c>
      <c r="J657" s="10">
        <f t="shared" si="85"/>
        <v>45701.288171296292</v>
      </c>
      <c r="K657" s="3" t="e">
        <f t="shared" si="87"/>
        <v>#N/A</v>
      </c>
      <c r="L657">
        <f t="shared" si="80"/>
        <v>0</v>
      </c>
      <c r="M657">
        <f t="shared" si="86"/>
        <v>0</v>
      </c>
    </row>
    <row r="658" spans="1:13" x14ac:dyDescent="0.25">
      <c r="A658" s="9">
        <f>Speed!A658</f>
        <v>45701.288391203707</v>
      </c>
      <c r="B658" s="9">
        <f t="shared" si="81"/>
        <v>45701.2883912037</v>
      </c>
      <c r="C658" s="2">
        <f>Speed!B658</f>
        <v>0.53055555600000004</v>
      </c>
      <c r="D658" s="9">
        <f>Odometer!A658</f>
        <v>45701.288981481484</v>
      </c>
      <c r="E658" s="9">
        <f t="shared" si="82"/>
        <v>45701.288981481477</v>
      </c>
      <c r="F658" s="2">
        <f>Odometer!B658</f>
        <v>428755317</v>
      </c>
      <c r="G658" s="2">
        <f t="shared" si="83"/>
        <v>4</v>
      </c>
      <c r="H658" s="2">
        <f>SUM($G$2:G658)</f>
        <v>5423</v>
      </c>
      <c r="I658" s="10">
        <f t="shared" si="84"/>
        <v>45701.288391203707</v>
      </c>
      <c r="J658" s="10">
        <f t="shared" si="85"/>
        <v>45701.2883912037</v>
      </c>
      <c r="K658" s="3" t="e">
        <f t="shared" si="87"/>
        <v>#N/A</v>
      </c>
      <c r="L658">
        <f t="shared" si="80"/>
        <v>0.53055555600000004</v>
      </c>
      <c r="M658">
        <f t="shared" si="86"/>
        <v>1.9100000016000003</v>
      </c>
    </row>
    <row r="659" spans="1:13" x14ac:dyDescent="0.25">
      <c r="A659" s="9">
        <f>Speed!A659</f>
        <v>45701.288391203707</v>
      </c>
      <c r="B659" s="9">
        <f t="shared" si="81"/>
        <v>45701.2883912037</v>
      </c>
      <c r="C659" s="2">
        <f>Speed!B659</f>
        <v>0.98333333300000003</v>
      </c>
      <c r="D659" s="9">
        <f>Odometer!A659</f>
        <v>45701.288981481484</v>
      </c>
      <c r="E659" s="9">
        <f t="shared" si="82"/>
        <v>45701.288981481477</v>
      </c>
      <c r="F659" s="2">
        <f>Odometer!B659</f>
        <v>428755321</v>
      </c>
      <c r="G659" s="2">
        <f t="shared" si="83"/>
        <v>11</v>
      </c>
      <c r="H659" s="2">
        <f>SUM($G$2:G659)</f>
        <v>5434</v>
      </c>
      <c r="I659" s="10">
        <f t="shared" si="84"/>
        <v>45701.288391203707</v>
      </c>
      <c r="J659" s="10">
        <f t="shared" si="85"/>
        <v>45701.2883912037</v>
      </c>
      <c r="K659" s="3" t="e">
        <f t="shared" si="87"/>
        <v>#N/A</v>
      </c>
      <c r="L659">
        <f t="shared" si="80"/>
        <v>0.53055555600000004</v>
      </c>
      <c r="M659">
        <f t="shared" si="86"/>
        <v>1.9100000016000003</v>
      </c>
    </row>
    <row r="660" spans="1:13" x14ac:dyDescent="0.25">
      <c r="A660" s="9">
        <f>Speed!A660</f>
        <v>45701.288391203707</v>
      </c>
      <c r="B660" s="9">
        <f t="shared" si="81"/>
        <v>45701.2883912037</v>
      </c>
      <c r="C660" s="2">
        <f>Speed!B660</f>
        <v>0.91111111099999997</v>
      </c>
      <c r="D660" s="9">
        <f>Odometer!A660</f>
        <v>45701.289004629631</v>
      </c>
      <c r="E660" s="9">
        <f t="shared" si="82"/>
        <v>45701.289004629631</v>
      </c>
      <c r="F660" s="2">
        <f>Odometer!B660</f>
        <v>428755332</v>
      </c>
      <c r="G660" s="2">
        <f t="shared" si="83"/>
        <v>9</v>
      </c>
      <c r="H660" s="2">
        <f>SUM($G$2:G660)</f>
        <v>5443</v>
      </c>
      <c r="I660" s="10">
        <f t="shared" si="84"/>
        <v>45701.288391203707</v>
      </c>
      <c r="J660" s="10">
        <f t="shared" si="85"/>
        <v>45701.2883912037</v>
      </c>
      <c r="K660" s="3" t="e">
        <f t="shared" si="87"/>
        <v>#N/A</v>
      </c>
      <c r="L660">
        <f t="shared" si="80"/>
        <v>0.53055555600000004</v>
      </c>
      <c r="M660">
        <f t="shared" si="86"/>
        <v>1.9100000016000003</v>
      </c>
    </row>
    <row r="661" spans="1:13" x14ac:dyDescent="0.25">
      <c r="A661" s="9">
        <f>Speed!A661</f>
        <v>45701.288402777776</v>
      </c>
      <c r="B661" s="9">
        <f t="shared" si="81"/>
        <v>45701.288402777776</v>
      </c>
      <c r="C661" s="2">
        <f>Speed!B661</f>
        <v>1.686111111</v>
      </c>
      <c r="D661" s="9">
        <f>Odometer!A661</f>
        <v>45701.2890162037</v>
      </c>
      <c r="E661" s="9">
        <f t="shared" si="82"/>
        <v>45701.2890162037</v>
      </c>
      <c r="F661" s="2">
        <f>Odometer!B661</f>
        <v>428755341</v>
      </c>
      <c r="G661" s="2">
        <f t="shared" si="83"/>
        <v>3</v>
      </c>
      <c r="H661" s="2">
        <f>SUM($G$2:G661)</f>
        <v>5446</v>
      </c>
      <c r="I661" s="10">
        <f t="shared" si="84"/>
        <v>45701.288402777776</v>
      </c>
      <c r="J661" s="10">
        <f t="shared" si="85"/>
        <v>45701.288402777776</v>
      </c>
      <c r="K661" s="3">
        <f t="shared" si="87"/>
        <v>5080</v>
      </c>
      <c r="L661">
        <f t="shared" si="80"/>
        <v>1.686111111</v>
      </c>
      <c r="M661">
        <f t="shared" si="86"/>
        <v>6.0699999996000003</v>
      </c>
    </row>
    <row r="662" spans="1:13" x14ac:dyDescent="0.25">
      <c r="A662" s="9">
        <f>Speed!A662</f>
        <v>45701.288414351853</v>
      </c>
      <c r="B662" s="9">
        <f t="shared" si="81"/>
        <v>45701.288414351853</v>
      </c>
      <c r="C662" s="2">
        <f>Speed!B662</f>
        <v>2.8250000000000002</v>
      </c>
      <c r="D662" s="9">
        <f>Odometer!A662</f>
        <v>45701.2890162037</v>
      </c>
      <c r="E662" s="9">
        <f t="shared" si="82"/>
        <v>45701.2890162037</v>
      </c>
      <c r="F662" s="2">
        <f>Odometer!B662</f>
        <v>428755344</v>
      </c>
      <c r="G662" s="2">
        <f t="shared" si="83"/>
        <v>3</v>
      </c>
      <c r="H662" s="2">
        <f>SUM($G$2:G662)</f>
        <v>5449</v>
      </c>
      <c r="I662" s="10">
        <f t="shared" si="84"/>
        <v>45701.288414351853</v>
      </c>
      <c r="J662" s="10">
        <f t="shared" si="85"/>
        <v>45701.288414351853</v>
      </c>
      <c r="K662" s="3">
        <f t="shared" si="87"/>
        <v>5084</v>
      </c>
      <c r="L662">
        <f t="shared" si="80"/>
        <v>2.8250000000000002</v>
      </c>
      <c r="M662">
        <f t="shared" si="86"/>
        <v>10.170000000000002</v>
      </c>
    </row>
    <row r="663" spans="1:13" x14ac:dyDescent="0.25">
      <c r="A663" s="9">
        <f>Speed!A663</f>
        <v>45701.288414351853</v>
      </c>
      <c r="B663" s="9">
        <f t="shared" si="81"/>
        <v>45701.288414351853</v>
      </c>
      <c r="C663" s="2">
        <f>Speed!B663</f>
        <v>2.8972222219999999</v>
      </c>
      <c r="D663" s="9">
        <f>Odometer!A663</f>
        <v>45701.2890162037</v>
      </c>
      <c r="E663" s="9">
        <f t="shared" si="82"/>
        <v>45701.2890162037</v>
      </c>
      <c r="F663" s="2">
        <f>Odometer!B663</f>
        <v>428755347</v>
      </c>
      <c r="G663" s="2">
        <f t="shared" si="83"/>
        <v>4</v>
      </c>
      <c r="H663" s="2">
        <f>SUM($G$2:G663)</f>
        <v>5453</v>
      </c>
      <c r="I663" s="10">
        <f t="shared" si="84"/>
        <v>45701.288414351853</v>
      </c>
      <c r="J663" s="10">
        <f t="shared" si="85"/>
        <v>45701.288414351853</v>
      </c>
      <c r="K663" s="3">
        <f t="shared" si="87"/>
        <v>5084</v>
      </c>
      <c r="L663">
        <f t="shared" si="80"/>
        <v>2.8250000000000002</v>
      </c>
      <c r="M663">
        <f t="shared" si="86"/>
        <v>10.170000000000002</v>
      </c>
    </row>
    <row r="664" spans="1:13" x14ac:dyDescent="0.25">
      <c r="A664" s="9">
        <f>Speed!A664</f>
        <v>45701.288425925923</v>
      </c>
      <c r="B664" s="9">
        <f t="shared" si="81"/>
        <v>45701.288425925923</v>
      </c>
      <c r="C664" s="2">
        <f>Speed!B664</f>
        <v>4.0333333329999999</v>
      </c>
      <c r="D664" s="9">
        <f>Odometer!A664</f>
        <v>45701.289027777777</v>
      </c>
      <c r="E664" s="9">
        <f t="shared" si="82"/>
        <v>45701.289027777777</v>
      </c>
      <c r="F664" s="2">
        <f>Odometer!B664</f>
        <v>428755351</v>
      </c>
      <c r="G664" s="2">
        <f t="shared" si="83"/>
        <v>11</v>
      </c>
      <c r="H664" s="2">
        <f>SUM($G$2:G664)</f>
        <v>5464</v>
      </c>
      <c r="I664" s="10">
        <f t="shared" si="84"/>
        <v>45701.288425925923</v>
      </c>
      <c r="J664" s="10">
        <f t="shared" si="85"/>
        <v>45701.288425925923</v>
      </c>
      <c r="K664" s="3">
        <f t="shared" si="87"/>
        <v>5088</v>
      </c>
      <c r="L664">
        <f t="shared" si="80"/>
        <v>4.0333333329999999</v>
      </c>
      <c r="M664">
        <f t="shared" si="86"/>
        <v>14.519999998799999</v>
      </c>
    </row>
    <row r="665" spans="1:13" x14ac:dyDescent="0.25">
      <c r="A665" s="9">
        <f>Speed!A665</f>
        <v>45701.288437499999</v>
      </c>
      <c r="B665" s="9">
        <f t="shared" si="81"/>
        <v>45701.288437499999</v>
      </c>
      <c r="C665" s="2">
        <f>Speed!B665</f>
        <v>5.1666666670000003</v>
      </c>
      <c r="D665" s="9">
        <f>Odometer!A665</f>
        <v>45701.289039351854</v>
      </c>
      <c r="E665" s="9">
        <f t="shared" si="82"/>
        <v>45701.289039351846</v>
      </c>
      <c r="F665" s="2">
        <f>Odometer!B665</f>
        <v>428755362</v>
      </c>
      <c r="G665" s="2">
        <f t="shared" si="83"/>
        <v>10</v>
      </c>
      <c r="H665" s="2">
        <f>SUM($G$2:G665)</f>
        <v>5474</v>
      </c>
      <c r="I665" s="10">
        <f t="shared" si="84"/>
        <v>45701.288437499999</v>
      </c>
      <c r="J665" s="10">
        <f t="shared" si="85"/>
        <v>45701.288437499999</v>
      </c>
      <c r="K665" s="3">
        <f t="shared" si="87"/>
        <v>5094</v>
      </c>
      <c r="L665">
        <f t="shared" si="80"/>
        <v>5.1666666670000003</v>
      </c>
      <c r="M665">
        <f t="shared" si="86"/>
        <v>18.600000001200002</v>
      </c>
    </row>
    <row r="666" spans="1:13" x14ac:dyDescent="0.25">
      <c r="A666" s="9">
        <f>Speed!A666</f>
        <v>45701.288437499999</v>
      </c>
      <c r="B666" s="9">
        <f t="shared" si="81"/>
        <v>45701.288437499999</v>
      </c>
      <c r="C666" s="2">
        <f>Speed!B666</f>
        <v>5.25</v>
      </c>
      <c r="D666" s="9">
        <f>Odometer!A666</f>
        <v>45701.289050925923</v>
      </c>
      <c r="E666" s="9">
        <f t="shared" si="82"/>
        <v>45701.289050925923</v>
      </c>
      <c r="F666" s="2">
        <f>Odometer!B666</f>
        <v>428755372</v>
      </c>
      <c r="G666" s="2">
        <f t="shared" si="83"/>
        <v>10</v>
      </c>
      <c r="H666" s="2">
        <f>SUM($G$2:G666)</f>
        <v>5484</v>
      </c>
      <c r="I666" s="10">
        <f t="shared" si="84"/>
        <v>45701.288437499999</v>
      </c>
      <c r="J666" s="10">
        <f t="shared" si="85"/>
        <v>45701.288437499999</v>
      </c>
      <c r="K666" s="3">
        <f t="shared" si="87"/>
        <v>5094</v>
      </c>
      <c r="L666">
        <f t="shared" si="80"/>
        <v>5.1666666670000003</v>
      </c>
      <c r="M666">
        <f t="shared" si="86"/>
        <v>18.600000001200002</v>
      </c>
    </row>
    <row r="667" spans="1:13" x14ac:dyDescent="0.25">
      <c r="A667" s="9">
        <f>Speed!A667</f>
        <v>45701.288449074076</v>
      </c>
      <c r="B667" s="9">
        <f t="shared" si="81"/>
        <v>45701.288449074069</v>
      </c>
      <c r="C667" s="2">
        <f>Speed!B667</f>
        <v>6.358333333</v>
      </c>
      <c r="D667" s="9">
        <f>Odometer!A667</f>
        <v>45701.2890625</v>
      </c>
      <c r="E667" s="9">
        <f t="shared" si="82"/>
        <v>45701.2890625</v>
      </c>
      <c r="F667" s="2">
        <f>Odometer!B667</f>
        <v>428755382</v>
      </c>
      <c r="G667" s="2">
        <f t="shared" si="83"/>
        <v>5</v>
      </c>
      <c r="H667" s="2">
        <f>SUM($G$2:G667)</f>
        <v>5489</v>
      </c>
      <c r="I667" s="10">
        <f t="shared" si="84"/>
        <v>45701.288449074076</v>
      </c>
      <c r="J667" s="10">
        <f t="shared" si="85"/>
        <v>45701.288449074069</v>
      </c>
      <c r="K667" s="3">
        <f t="shared" si="87"/>
        <v>5101</v>
      </c>
      <c r="L667">
        <f t="shared" si="80"/>
        <v>6.358333333</v>
      </c>
      <c r="M667">
        <f t="shared" si="86"/>
        <v>22.8899999988</v>
      </c>
    </row>
    <row r="668" spans="1:13" x14ac:dyDescent="0.25">
      <c r="A668" s="9">
        <f>Speed!A668</f>
        <v>45701.288460648146</v>
      </c>
      <c r="B668" s="9">
        <f t="shared" si="81"/>
        <v>45701.288460648146</v>
      </c>
      <c r="C668" s="2">
        <f>Speed!B668</f>
        <v>7.511111111</v>
      </c>
      <c r="D668" s="9">
        <f>Odometer!A668</f>
        <v>45701.2890625</v>
      </c>
      <c r="E668" s="9">
        <f t="shared" si="82"/>
        <v>45701.2890625</v>
      </c>
      <c r="F668" s="2">
        <f>Odometer!B668</f>
        <v>428755387</v>
      </c>
      <c r="G668" s="2">
        <f t="shared" si="83"/>
        <v>4</v>
      </c>
      <c r="H668" s="2">
        <f>SUM($G$2:G668)</f>
        <v>5493</v>
      </c>
      <c r="I668" s="10">
        <f t="shared" si="84"/>
        <v>45701.288460648146</v>
      </c>
      <c r="J668" s="10">
        <f t="shared" si="85"/>
        <v>45701.288460648146</v>
      </c>
      <c r="K668" s="3">
        <f t="shared" si="87"/>
        <v>5110</v>
      </c>
      <c r="L668">
        <f t="shared" si="80"/>
        <v>7.511111111</v>
      </c>
      <c r="M668">
        <f t="shared" si="86"/>
        <v>27.039999999599999</v>
      </c>
    </row>
    <row r="669" spans="1:13" x14ac:dyDescent="0.25">
      <c r="A669" s="9">
        <f>Speed!A669</f>
        <v>45701.288472222222</v>
      </c>
      <c r="B669" s="9">
        <f t="shared" si="81"/>
        <v>45701.288472222222</v>
      </c>
      <c r="C669" s="2">
        <f>Speed!B669</f>
        <v>8.6972222220000006</v>
      </c>
      <c r="D669" s="9">
        <f>Odometer!A669</f>
        <v>45701.289074074077</v>
      </c>
      <c r="E669" s="9">
        <f t="shared" si="82"/>
        <v>45701.28907407407</v>
      </c>
      <c r="F669" s="2">
        <f>Odometer!B669</f>
        <v>428755391</v>
      </c>
      <c r="G669" s="2">
        <f t="shared" si="83"/>
        <v>10</v>
      </c>
      <c r="H669" s="2">
        <f>SUM($G$2:G669)</f>
        <v>5503</v>
      </c>
      <c r="I669" s="10">
        <f t="shared" si="84"/>
        <v>45701.288472222222</v>
      </c>
      <c r="J669" s="10">
        <f t="shared" si="85"/>
        <v>45701.288472222222</v>
      </c>
      <c r="K669" s="3">
        <f t="shared" si="87"/>
        <v>5119</v>
      </c>
      <c r="L669">
        <f t="shared" si="80"/>
        <v>8.6972222220000006</v>
      </c>
      <c r="M669">
        <f t="shared" si="86"/>
        <v>31.309999999200002</v>
      </c>
    </row>
    <row r="670" spans="1:13" x14ac:dyDescent="0.25">
      <c r="A670" s="9">
        <f>Speed!A670</f>
        <v>45701.288483796299</v>
      </c>
      <c r="B670" s="9">
        <f t="shared" si="81"/>
        <v>45701.288483796292</v>
      </c>
      <c r="C670" s="2">
        <f>Speed!B670</f>
        <v>9.4499999999999993</v>
      </c>
      <c r="D670" s="9">
        <f>Odometer!A670</f>
        <v>45701.289085648146</v>
      </c>
      <c r="E670" s="9">
        <f t="shared" si="82"/>
        <v>45701.289085648146</v>
      </c>
      <c r="F670" s="2">
        <f>Odometer!B670</f>
        <v>428755401</v>
      </c>
      <c r="G670" s="2">
        <f t="shared" si="83"/>
        <v>10</v>
      </c>
      <c r="H670" s="2">
        <f>SUM($G$2:G670)</f>
        <v>5513</v>
      </c>
      <c r="I670" s="10">
        <f t="shared" si="84"/>
        <v>45701.288483796299</v>
      </c>
      <c r="J670" s="10">
        <f t="shared" si="85"/>
        <v>45701.288483796292</v>
      </c>
      <c r="K670" s="3">
        <f t="shared" si="87"/>
        <v>5127</v>
      </c>
      <c r="L670">
        <f t="shared" si="80"/>
        <v>9.4499999999999993</v>
      </c>
      <c r="M670">
        <f t="shared" si="86"/>
        <v>34.019999999999996</v>
      </c>
    </row>
    <row r="671" spans="1:13" x14ac:dyDescent="0.25">
      <c r="A671" s="9">
        <f>Speed!A671</f>
        <v>45701.288495370369</v>
      </c>
      <c r="B671" s="9">
        <f t="shared" si="81"/>
        <v>45701.288495370369</v>
      </c>
      <c r="C671" s="2">
        <f>Speed!B671</f>
        <v>9.7055555560000002</v>
      </c>
      <c r="D671" s="9">
        <f>Odometer!A671</f>
        <v>45701.289097222223</v>
      </c>
      <c r="E671" s="9">
        <f t="shared" si="82"/>
        <v>45701.289097222223</v>
      </c>
      <c r="F671" s="2">
        <f>Odometer!B671</f>
        <v>428755411</v>
      </c>
      <c r="G671" s="2">
        <f t="shared" si="83"/>
        <v>9</v>
      </c>
      <c r="H671" s="2">
        <f>SUM($G$2:G671)</f>
        <v>5522</v>
      </c>
      <c r="I671" s="10">
        <f t="shared" si="84"/>
        <v>45701.288495370369</v>
      </c>
      <c r="J671" s="10">
        <f t="shared" si="85"/>
        <v>45701.288495370369</v>
      </c>
      <c r="K671" s="3">
        <f t="shared" si="87"/>
        <v>5138</v>
      </c>
      <c r="L671">
        <f t="shared" si="80"/>
        <v>9.7055555560000002</v>
      </c>
      <c r="M671">
        <f t="shared" si="86"/>
        <v>34.940000001600005</v>
      </c>
    </row>
    <row r="672" spans="1:13" x14ac:dyDescent="0.25">
      <c r="A672" s="9">
        <f>Speed!A672</f>
        <v>45701.288506944446</v>
      </c>
      <c r="B672" s="9">
        <f t="shared" si="81"/>
        <v>45701.288506944446</v>
      </c>
      <c r="C672" s="2">
        <f>Speed!B672</f>
        <v>9.9111111110000003</v>
      </c>
      <c r="D672" s="9">
        <f>Odometer!A672</f>
        <v>45701.2891087963</v>
      </c>
      <c r="E672" s="9">
        <f t="shared" si="82"/>
        <v>45701.289108796293</v>
      </c>
      <c r="F672" s="2">
        <f>Odometer!B672</f>
        <v>428755420</v>
      </c>
      <c r="G672" s="2">
        <f t="shared" si="83"/>
        <v>1</v>
      </c>
      <c r="H672" s="2">
        <f>SUM($G$2:G672)</f>
        <v>5523</v>
      </c>
      <c r="I672" s="10">
        <f t="shared" si="84"/>
        <v>45701.288506944446</v>
      </c>
      <c r="J672" s="10">
        <f t="shared" si="85"/>
        <v>45701.288506944446</v>
      </c>
      <c r="K672" s="3">
        <f t="shared" si="87"/>
        <v>5141</v>
      </c>
      <c r="L672">
        <f t="shared" si="80"/>
        <v>9.9111111110000003</v>
      </c>
      <c r="M672">
        <f t="shared" si="86"/>
        <v>35.6799999996</v>
      </c>
    </row>
    <row r="673" spans="1:13" x14ac:dyDescent="0.25">
      <c r="A673" s="9">
        <f>Speed!A673</f>
        <v>45701.288506944446</v>
      </c>
      <c r="B673" s="9">
        <f t="shared" si="81"/>
        <v>45701.288506944446</v>
      </c>
      <c r="C673" s="2">
        <f>Speed!B673</f>
        <v>9.9499999999999993</v>
      </c>
      <c r="D673" s="9">
        <f>Odometer!A673</f>
        <v>45701.2891087963</v>
      </c>
      <c r="E673" s="9">
        <f t="shared" si="82"/>
        <v>45701.289108796293</v>
      </c>
      <c r="F673" s="2">
        <f>Odometer!B673</f>
        <v>428755421</v>
      </c>
      <c r="G673" s="2">
        <f t="shared" si="83"/>
        <v>11</v>
      </c>
      <c r="H673" s="2">
        <f>SUM($G$2:G673)</f>
        <v>5534</v>
      </c>
      <c r="I673" s="10">
        <f t="shared" si="84"/>
        <v>45701.288506944446</v>
      </c>
      <c r="J673" s="10">
        <f t="shared" si="85"/>
        <v>45701.288506944446</v>
      </c>
      <c r="K673" s="3">
        <f t="shared" si="87"/>
        <v>5141</v>
      </c>
      <c r="L673">
        <f t="shared" si="80"/>
        <v>9.9111111110000003</v>
      </c>
      <c r="M673">
        <f t="shared" si="86"/>
        <v>35.6799999996</v>
      </c>
    </row>
    <row r="674" spans="1:13" x14ac:dyDescent="0.25">
      <c r="A674" s="9">
        <f>Speed!A674</f>
        <v>45701.288518518515</v>
      </c>
      <c r="B674" s="9">
        <f t="shared" si="81"/>
        <v>45701.288518518515</v>
      </c>
      <c r="C674" s="2">
        <f>Speed!B674</f>
        <v>10.10277778</v>
      </c>
      <c r="D674" s="9">
        <f>Odometer!A674</f>
        <v>45701.2891087963</v>
      </c>
      <c r="E674" s="9">
        <f t="shared" si="82"/>
        <v>45701.289108796293</v>
      </c>
      <c r="F674" s="2">
        <f>Odometer!B674</f>
        <v>428755432</v>
      </c>
      <c r="G674" s="2">
        <f t="shared" si="83"/>
        <v>9</v>
      </c>
      <c r="H674" s="2">
        <f>SUM($G$2:G674)</f>
        <v>5543</v>
      </c>
      <c r="I674" s="10">
        <f t="shared" si="84"/>
        <v>45701.288518518515</v>
      </c>
      <c r="J674" s="10">
        <f t="shared" si="85"/>
        <v>45701.288518518515</v>
      </c>
      <c r="K674" s="3">
        <f t="shared" si="87"/>
        <v>5154</v>
      </c>
      <c r="L674">
        <f t="shared" si="80"/>
        <v>10.10277778</v>
      </c>
      <c r="M674">
        <f t="shared" si="86"/>
        <v>36.370000008000005</v>
      </c>
    </row>
    <row r="675" spans="1:13" x14ac:dyDescent="0.25">
      <c r="A675" s="9">
        <f>Speed!A675</f>
        <v>45701.288518518515</v>
      </c>
      <c r="B675" s="9">
        <f t="shared" si="81"/>
        <v>45701.288518518515</v>
      </c>
      <c r="C675" s="2">
        <f>Speed!B675</f>
        <v>10.20833333</v>
      </c>
      <c r="D675" s="9">
        <f>Odometer!A675</f>
        <v>45701.289131944446</v>
      </c>
      <c r="E675" s="9">
        <f t="shared" si="82"/>
        <v>45701.289131944439</v>
      </c>
      <c r="F675" s="2">
        <f>Odometer!B675</f>
        <v>428755441</v>
      </c>
      <c r="G675" s="2">
        <f t="shared" si="83"/>
        <v>12</v>
      </c>
      <c r="H675" s="2">
        <f>SUM($G$2:G675)</f>
        <v>5555</v>
      </c>
      <c r="I675" s="10">
        <f t="shared" si="84"/>
        <v>45701.288518518515</v>
      </c>
      <c r="J675" s="10">
        <f t="shared" si="85"/>
        <v>45701.288518518515</v>
      </c>
      <c r="K675" s="3">
        <f t="shared" si="87"/>
        <v>5154</v>
      </c>
      <c r="L675">
        <f t="shared" si="80"/>
        <v>10.10277778</v>
      </c>
      <c r="M675">
        <f t="shared" si="86"/>
        <v>36.370000008000005</v>
      </c>
    </row>
    <row r="676" spans="1:13" x14ac:dyDescent="0.25">
      <c r="A676" s="9">
        <f>Speed!A676</f>
        <v>45701.288530092592</v>
      </c>
      <c r="B676" s="9">
        <f t="shared" si="81"/>
        <v>45701.288530092592</v>
      </c>
      <c r="C676" s="2">
        <f>Speed!B676</f>
        <v>10.26111111</v>
      </c>
      <c r="D676" s="9">
        <f>Odometer!A676</f>
        <v>45701.289143518516</v>
      </c>
      <c r="E676" s="9">
        <f t="shared" si="82"/>
        <v>45701.289143518516</v>
      </c>
      <c r="F676" s="2">
        <f>Odometer!B676</f>
        <v>428755453</v>
      </c>
      <c r="G676" s="2">
        <f t="shared" si="83"/>
        <v>12</v>
      </c>
      <c r="H676" s="2">
        <f>SUM($G$2:G676)</f>
        <v>5567</v>
      </c>
      <c r="I676" s="10">
        <f t="shared" si="84"/>
        <v>45701.288530092592</v>
      </c>
      <c r="J676" s="10">
        <f t="shared" si="85"/>
        <v>45701.288530092592</v>
      </c>
      <c r="K676" s="3">
        <f t="shared" si="87"/>
        <v>5168</v>
      </c>
      <c r="L676">
        <f t="shared" si="80"/>
        <v>10.26111111</v>
      </c>
      <c r="M676">
        <f t="shared" si="86"/>
        <v>36.939999995999997</v>
      </c>
    </row>
    <row r="677" spans="1:13" x14ac:dyDescent="0.25">
      <c r="A677" s="9">
        <f>Speed!A677</f>
        <v>45701.288541666669</v>
      </c>
      <c r="B677" s="9">
        <f t="shared" si="81"/>
        <v>45701.288541666661</v>
      </c>
      <c r="C677" s="2">
        <f>Speed!B677</f>
        <v>10.10277778</v>
      </c>
      <c r="D677" s="9">
        <f>Odometer!A677</f>
        <v>45701.289155092592</v>
      </c>
      <c r="E677" s="9">
        <f t="shared" si="82"/>
        <v>45701.289155092592</v>
      </c>
      <c r="F677" s="2">
        <f>Odometer!B677</f>
        <v>428755465</v>
      </c>
      <c r="G677" s="2">
        <f t="shared" si="83"/>
        <v>13</v>
      </c>
      <c r="H677" s="2">
        <f>SUM($G$2:G677)</f>
        <v>5580</v>
      </c>
      <c r="I677" s="10">
        <f t="shared" si="84"/>
        <v>45701.288541666669</v>
      </c>
      <c r="J677" s="10">
        <f t="shared" si="85"/>
        <v>45701.288541666661</v>
      </c>
      <c r="K677" s="3" t="e">
        <f t="shared" si="87"/>
        <v>#N/A</v>
      </c>
      <c r="L677">
        <f t="shared" si="80"/>
        <v>10.10277778</v>
      </c>
      <c r="M677">
        <f t="shared" si="86"/>
        <v>36.370000008000005</v>
      </c>
    </row>
    <row r="678" spans="1:13" x14ac:dyDescent="0.25">
      <c r="A678" s="9">
        <f>Speed!A678</f>
        <v>45701.288553240738</v>
      </c>
      <c r="B678" s="9">
        <f t="shared" si="81"/>
        <v>45701.288553240738</v>
      </c>
      <c r="C678" s="2">
        <f>Speed!B678</f>
        <v>9.9</v>
      </c>
      <c r="D678" s="9">
        <f>Odometer!A678</f>
        <v>45701.289166666669</v>
      </c>
      <c r="E678" s="9">
        <f t="shared" si="82"/>
        <v>45701.289166666662</v>
      </c>
      <c r="F678" s="2">
        <f>Odometer!B678</f>
        <v>428755478</v>
      </c>
      <c r="G678" s="2">
        <f t="shared" si="83"/>
        <v>16</v>
      </c>
      <c r="H678" s="2">
        <f>SUM($G$2:G678)</f>
        <v>5596</v>
      </c>
      <c r="I678" s="10">
        <f t="shared" si="84"/>
        <v>45701.288553240738</v>
      </c>
      <c r="J678" s="10">
        <f t="shared" si="85"/>
        <v>45701.288553240738</v>
      </c>
      <c r="K678" s="3">
        <f t="shared" si="87"/>
        <v>5181</v>
      </c>
      <c r="L678">
        <f t="shared" si="80"/>
        <v>9.9</v>
      </c>
      <c r="M678">
        <f t="shared" si="86"/>
        <v>35.64</v>
      </c>
    </row>
    <row r="679" spans="1:13" x14ac:dyDescent="0.25">
      <c r="A679" s="9">
        <f>Speed!A679</f>
        <v>45701.288553240738</v>
      </c>
      <c r="B679" s="9">
        <f t="shared" si="81"/>
        <v>45701.288553240738</v>
      </c>
      <c r="C679" s="2">
        <f>Speed!B679</f>
        <v>9.8277777779999997</v>
      </c>
      <c r="D679" s="9">
        <f>Odometer!A679</f>
        <v>45701.289178240739</v>
      </c>
      <c r="E679" s="9">
        <f t="shared" si="82"/>
        <v>45701.289178240739</v>
      </c>
      <c r="F679" s="2">
        <f>Odometer!B679</f>
        <v>428755494</v>
      </c>
      <c r="G679" s="2">
        <f t="shared" si="83"/>
        <v>14</v>
      </c>
      <c r="H679" s="2">
        <f>SUM($G$2:G679)</f>
        <v>5610</v>
      </c>
      <c r="I679" s="10">
        <f t="shared" si="84"/>
        <v>45701.288553240738</v>
      </c>
      <c r="J679" s="10">
        <f t="shared" si="85"/>
        <v>45701.288553240738</v>
      </c>
      <c r="K679" s="3">
        <f t="shared" si="87"/>
        <v>5181</v>
      </c>
      <c r="L679">
        <f t="shared" si="80"/>
        <v>9.9</v>
      </c>
      <c r="M679">
        <f t="shared" si="86"/>
        <v>35.64</v>
      </c>
    </row>
    <row r="680" spans="1:13" x14ac:dyDescent="0.25">
      <c r="A680" s="9">
        <f>Speed!A680</f>
        <v>45701.288564814815</v>
      </c>
      <c r="B680" s="9">
        <f t="shared" si="81"/>
        <v>45701.288564814815</v>
      </c>
      <c r="C680" s="2">
        <f>Speed!B680</f>
        <v>9.5638888889999993</v>
      </c>
      <c r="D680" s="9">
        <f>Odometer!A680</f>
        <v>45701.289178240739</v>
      </c>
      <c r="E680" s="9">
        <f t="shared" si="82"/>
        <v>45701.289178240739</v>
      </c>
      <c r="F680" s="2">
        <f>Odometer!B680</f>
        <v>428755508</v>
      </c>
      <c r="G680" s="2">
        <f t="shared" si="83"/>
        <v>2</v>
      </c>
      <c r="H680" s="2">
        <f>SUM($G$2:G680)</f>
        <v>5612</v>
      </c>
      <c r="I680" s="10">
        <f t="shared" si="84"/>
        <v>45701.288564814815</v>
      </c>
      <c r="J680" s="10">
        <f t="shared" si="85"/>
        <v>45701.288564814815</v>
      </c>
      <c r="K680" s="3">
        <f t="shared" si="87"/>
        <v>5198</v>
      </c>
      <c r="L680">
        <f t="shared" si="80"/>
        <v>9.5638888889999993</v>
      </c>
      <c r="M680">
        <f t="shared" si="86"/>
        <v>34.4300000004</v>
      </c>
    </row>
    <row r="681" spans="1:13" x14ac:dyDescent="0.25">
      <c r="A681" s="9">
        <f>Speed!A681</f>
        <v>45701.288576388892</v>
      </c>
      <c r="B681" s="9">
        <f t="shared" si="81"/>
        <v>45701.288576388884</v>
      </c>
      <c r="C681" s="2">
        <f>Speed!B681</f>
        <v>9.0250000000000004</v>
      </c>
      <c r="D681" s="9">
        <f>Odometer!A681</f>
        <v>45701.289189814815</v>
      </c>
      <c r="E681" s="9">
        <f t="shared" si="82"/>
        <v>45701.289189814815</v>
      </c>
      <c r="F681" s="2">
        <f>Odometer!B681</f>
        <v>428755510</v>
      </c>
      <c r="G681" s="2">
        <f t="shared" si="83"/>
        <v>13</v>
      </c>
      <c r="H681" s="2">
        <f>SUM($G$2:G681)</f>
        <v>5625</v>
      </c>
      <c r="I681" s="10">
        <f t="shared" si="84"/>
        <v>45701.288576388892</v>
      </c>
      <c r="J681" s="10">
        <f t="shared" si="85"/>
        <v>45701.288576388884</v>
      </c>
      <c r="K681" s="3">
        <f t="shared" si="87"/>
        <v>5205</v>
      </c>
      <c r="L681">
        <f t="shared" si="80"/>
        <v>9.0250000000000004</v>
      </c>
      <c r="M681">
        <f t="shared" si="86"/>
        <v>32.49</v>
      </c>
    </row>
    <row r="682" spans="1:13" x14ac:dyDescent="0.25">
      <c r="A682" s="9">
        <f>Speed!A682</f>
        <v>45701.288587962961</v>
      </c>
      <c r="B682" s="9">
        <f t="shared" si="81"/>
        <v>45701.288587962961</v>
      </c>
      <c r="C682" s="2">
        <f>Speed!B682</f>
        <v>8.613888889</v>
      </c>
      <c r="D682" s="9">
        <f>Odometer!A682</f>
        <v>45701.289201388892</v>
      </c>
      <c r="E682" s="9">
        <f t="shared" si="82"/>
        <v>45701.289201388885</v>
      </c>
      <c r="F682" s="2">
        <f>Odometer!B682</f>
        <v>428755523</v>
      </c>
      <c r="G682" s="2">
        <f t="shared" si="83"/>
        <v>17</v>
      </c>
      <c r="H682" s="2">
        <f>SUM($G$2:G682)</f>
        <v>5642</v>
      </c>
      <c r="I682" s="10">
        <f t="shared" si="84"/>
        <v>45701.288587962961</v>
      </c>
      <c r="J682" s="10">
        <f t="shared" si="85"/>
        <v>45701.288587962961</v>
      </c>
      <c r="K682" s="3">
        <f t="shared" si="87"/>
        <v>5214</v>
      </c>
      <c r="L682">
        <f t="shared" si="80"/>
        <v>8.613888889</v>
      </c>
      <c r="M682">
        <f t="shared" si="86"/>
        <v>31.010000000400002</v>
      </c>
    </row>
    <row r="683" spans="1:13" x14ac:dyDescent="0.25">
      <c r="A683" s="9">
        <f>Speed!A683</f>
        <v>45701.288599537038</v>
      </c>
      <c r="B683" s="9">
        <f t="shared" si="81"/>
        <v>45701.288599537038</v>
      </c>
      <c r="C683" s="2">
        <f>Speed!B683</f>
        <v>8.2166666670000001</v>
      </c>
      <c r="D683" s="9">
        <f>Odometer!A683</f>
        <v>45701.289201388892</v>
      </c>
      <c r="E683" s="9">
        <f t="shared" si="82"/>
        <v>45701.289201388885</v>
      </c>
      <c r="F683" s="2">
        <f>Odometer!B683</f>
        <v>428755540</v>
      </c>
      <c r="G683" s="2">
        <f t="shared" si="83"/>
        <v>1</v>
      </c>
      <c r="H683" s="2">
        <f>SUM($G$2:G683)</f>
        <v>5643</v>
      </c>
      <c r="I683" s="10">
        <f t="shared" si="84"/>
        <v>45701.288599537038</v>
      </c>
      <c r="J683" s="10">
        <f t="shared" si="85"/>
        <v>45701.288599537038</v>
      </c>
      <c r="K683" s="3">
        <f t="shared" si="87"/>
        <v>5222</v>
      </c>
      <c r="L683">
        <f t="shared" si="80"/>
        <v>8.2166666670000001</v>
      </c>
      <c r="M683">
        <f t="shared" si="86"/>
        <v>29.580000001200002</v>
      </c>
    </row>
    <row r="684" spans="1:13" x14ac:dyDescent="0.25">
      <c r="A684" s="9">
        <f>Speed!A684</f>
        <v>45701.288611111115</v>
      </c>
      <c r="B684" s="9">
        <f t="shared" si="81"/>
        <v>45701.288611111107</v>
      </c>
      <c r="C684" s="2">
        <f>Speed!B684</f>
        <v>7.7416666669999996</v>
      </c>
      <c r="D684" s="9">
        <f>Odometer!A684</f>
        <v>45701.289212962962</v>
      </c>
      <c r="E684" s="9">
        <f t="shared" si="82"/>
        <v>45701.289212962962</v>
      </c>
      <c r="F684" s="2">
        <f>Odometer!B684</f>
        <v>428755541</v>
      </c>
      <c r="G684" s="2">
        <f t="shared" si="83"/>
        <v>16</v>
      </c>
      <c r="H684" s="2">
        <f>SUM($G$2:G684)</f>
        <v>5659</v>
      </c>
      <c r="I684" s="10">
        <f t="shared" si="84"/>
        <v>45701.288611111115</v>
      </c>
      <c r="J684" s="10">
        <f t="shared" si="85"/>
        <v>45701.288611111107</v>
      </c>
      <c r="K684" s="3">
        <f t="shared" si="87"/>
        <v>5230</v>
      </c>
      <c r="L684">
        <f t="shared" si="80"/>
        <v>7.7416666669999996</v>
      </c>
      <c r="M684">
        <f t="shared" si="86"/>
        <v>27.870000001199998</v>
      </c>
    </row>
    <row r="685" spans="1:13" x14ac:dyDescent="0.25">
      <c r="A685" s="9">
        <f>Speed!A685</f>
        <v>45701.288622685184</v>
      </c>
      <c r="B685" s="9">
        <f t="shared" si="81"/>
        <v>45701.288622685184</v>
      </c>
      <c r="C685" s="2">
        <f>Speed!B685</f>
        <v>7.1777777780000003</v>
      </c>
      <c r="D685" s="9">
        <f>Odometer!A685</f>
        <v>45701.289224537039</v>
      </c>
      <c r="E685" s="9">
        <f t="shared" si="82"/>
        <v>45701.289224537031</v>
      </c>
      <c r="F685" s="2">
        <f>Odometer!B685</f>
        <v>428755557</v>
      </c>
      <c r="G685" s="2">
        <f t="shared" si="83"/>
        <v>16</v>
      </c>
      <c r="H685" s="2">
        <f>SUM($G$2:G685)</f>
        <v>5675</v>
      </c>
      <c r="I685" s="10">
        <f t="shared" si="84"/>
        <v>45701.288622685184</v>
      </c>
      <c r="J685" s="10">
        <f t="shared" si="85"/>
        <v>45701.288622685184</v>
      </c>
      <c r="K685" s="3">
        <f t="shared" si="87"/>
        <v>5237</v>
      </c>
      <c r="L685">
        <f t="shared" si="80"/>
        <v>7.1777777780000003</v>
      </c>
      <c r="M685">
        <f t="shared" si="86"/>
        <v>25.8400000008</v>
      </c>
    </row>
    <row r="686" spans="1:13" x14ac:dyDescent="0.25">
      <c r="A686" s="9">
        <f>Speed!A686</f>
        <v>45701.288634259261</v>
      </c>
      <c r="B686" s="9">
        <f t="shared" si="81"/>
        <v>45701.288634259254</v>
      </c>
      <c r="C686" s="2">
        <f>Speed!B686</f>
        <v>6.619444444</v>
      </c>
      <c r="D686" s="9">
        <f>Odometer!A686</f>
        <v>45701.289236111108</v>
      </c>
      <c r="E686" s="9">
        <f t="shared" si="82"/>
        <v>45701.289236111108</v>
      </c>
      <c r="F686" s="2">
        <f>Odometer!B686</f>
        <v>428755573</v>
      </c>
      <c r="G686" s="2">
        <f t="shared" si="83"/>
        <v>16</v>
      </c>
      <c r="H686" s="2">
        <f>SUM($G$2:G686)</f>
        <v>5691</v>
      </c>
      <c r="I686" s="10">
        <f t="shared" si="84"/>
        <v>45701.288634259261</v>
      </c>
      <c r="J686" s="10">
        <f t="shared" si="85"/>
        <v>45701.288634259254</v>
      </c>
      <c r="K686" s="3">
        <f t="shared" si="87"/>
        <v>5243</v>
      </c>
      <c r="L686">
        <f t="shared" si="80"/>
        <v>6.619444444</v>
      </c>
      <c r="M686">
        <f t="shared" si="86"/>
        <v>23.829999998400002</v>
      </c>
    </row>
    <row r="687" spans="1:13" x14ac:dyDescent="0.25">
      <c r="A687" s="9">
        <f>Speed!A687</f>
        <v>45701.288634259261</v>
      </c>
      <c r="B687" s="9">
        <f t="shared" si="81"/>
        <v>45701.288634259254</v>
      </c>
      <c r="C687" s="2">
        <f>Speed!B687</f>
        <v>6.1277777779999996</v>
      </c>
      <c r="D687" s="9">
        <f>Odometer!A687</f>
        <v>45701.289247685185</v>
      </c>
      <c r="E687" s="9">
        <f t="shared" si="82"/>
        <v>45701.289247685185</v>
      </c>
      <c r="F687" s="2">
        <f>Odometer!B687</f>
        <v>428755589</v>
      </c>
      <c r="G687" s="2">
        <f t="shared" si="83"/>
        <v>1</v>
      </c>
      <c r="H687" s="2">
        <f>SUM($G$2:G687)</f>
        <v>5692</v>
      </c>
      <c r="I687" s="10">
        <f t="shared" si="84"/>
        <v>45701.288634259261</v>
      </c>
      <c r="J687" s="10">
        <f t="shared" si="85"/>
        <v>45701.288634259254</v>
      </c>
      <c r="K687" s="3">
        <f t="shared" si="87"/>
        <v>5243</v>
      </c>
      <c r="L687">
        <f t="shared" si="80"/>
        <v>6.619444444</v>
      </c>
      <c r="M687">
        <f t="shared" si="86"/>
        <v>23.829999998400002</v>
      </c>
    </row>
    <row r="688" spans="1:13" x14ac:dyDescent="0.25">
      <c r="A688" s="9">
        <f>Speed!A688</f>
        <v>45701.288645833331</v>
      </c>
      <c r="B688" s="9">
        <f t="shared" si="81"/>
        <v>45701.288645833331</v>
      </c>
      <c r="C688" s="2">
        <f>Speed!B688</f>
        <v>5.6749999999999998</v>
      </c>
      <c r="D688" s="9">
        <f>Odometer!A688</f>
        <v>45701.289247685185</v>
      </c>
      <c r="E688" s="9">
        <f t="shared" si="82"/>
        <v>45701.289247685185</v>
      </c>
      <c r="F688" s="2">
        <f>Odometer!B688</f>
        <v>428755590</v>
      </c>
      <c r="G688" s="2">
        <f t="shared" si="83"/>
        <v>14</v>
      </c>
      <c r="H688" s="2">
        <f>SUM($G$2:G688)</f>
        <v>5706</v>
      </c>
      <c r="I688" s="10">
        <f t="shared" si="84"/>
        <v>45701.288645833331</v>
      </c>
      <c r="J688" s="10">
        <f t="shared" si="85"/>
        <v>45701.288645833331</v>
      </c>
      <c r="K688" s="3">
        <f t="shared" si="87"/>
        <v>5249</v>
      </c>
      <c r="L688">
        <f t="shared" si="80"/>
        <v>5.6749999999999998</v>
      </c>
      <c r="M688">
        <f t="shared" si="86"/>
        <v>20.43</v>
      </c>
    </row>
    <row r="689" spans="1:13" x14ac:dyDescent="0.25">
      <c r="A689" s="9">
        <f>Speed!A689</f>
        <v>45701.288657407407</v>
      </c>
      <c r="B689" s="9">
        <f t="shared" si="81"/>
        <v>45701.288657407407</v>
      </c>
      <c r="C689" s="2">
        <f>Speed!B689</f>
        <v>5.5416666670000003</v>
      </c>
      <c r="D689" s="9">
        <f>Odometer!A689</f>
        <v>45701.289247685185</v>
      </c>
      <c r="E689" s="9">
        <f t="shared" si="82"/>
        <v>45701.289247685185</v>
      </c>
      <c r="F689" s="2">
        <f>Odometer!B689</f>
        <v>428755604</v>
      </c>
      <c r="G689" s="2">
        <f t="shared" si="83"/>
        <v>1</v>
      </c>
      <c r="H689" s="2">
        <f>SUM($G$2:G689)</f>
        <v>5707</v>
      </c>
      <c r="I689" s="10">
        <f t="shared" si="84"/>
        <v>45701.288657407407</v>
      </c>
      <c r="J689" s="10">
        <f t="shared" si="85"/>
        <v>45701.288657407407</v>
      </c>
      <c r="K689" s="3">
        <f t="shared" si="87"/>
        <v>5250</v>
      </c>
      <c r="L689">
        <f t="shared" si="80"/>
        <v>5.5416666670000003</v>
      </c>
      <c r="M689">
        <f t="shared" si="86"/>
        <v>19.950000001200003</v>
      </c>
    </row>
    <row r="690" spans="1:13" x14ac:dyDescent="0.25">
      <c r="A690" s="9">
        <f>Speed!A690</f>
        <v>45701.288657407407</v>
      </c>
      <c r="B690" s="9">
        <f t="shared" si="81"/>
        <v>45701.288657407407</v>
      </c>
      <c r="C690" s="2">
        <f>Speed!B690</f>
        <v>5.4722222220000001</v>
      </c>
      <c r="D690" s="9">
        <f>Odometer!A690</f>
        <v>45701.289259259262</v>
      </c>
      <c r="E690" s="9">
        <f t="shared" si="82"/>
        <v>45701.289259259254</v>
      </c>
      <c r="F690" s="2">
        <f>Odometer!B690</f>
        <v>428755605</v>
      </c>
      <c r="G690" s="2">
        <f t="shared" si="83"/>
        <v>15</v>
      </c>
      <c r="H690" s="2">
        <f>SUM($G$2:G690)</f>
        <v>5722</v>
      </c>
      <c r="I690" s="10">
        <f t="shared" si="84"/>
        <v>45701.288657407407</v>
      </c>
      <c r="J690" s="10">
        <f t="shared" si="85"/>
        <v>45701.288657407407</v>
      </c>
      <c r="K690" s="3">
        <f t="shared" si="87"/>
        <v>5250</v>
      </c>
      <c r="L690">
        <f t="shared" si="80"/>
        <v>5.5416666670000003</v>
      </c>
      <c r="M690">
        <f t="shared" si="86"/>
        <v>19.950000001200003</v>
      </c>
    </row>
    <row r="691" spans="1:13" x14ac:dyDescent="0.25">
      <c r="A691" s="9">
        <f>Speed!A691</f>
        <v>45701.288657407407</v>
      </c>
      <c r="B691" s="9">
        <f t="shared" si="81"/>
        <v>45701.288657407407</v>
      </c>
      <c r="C691" s="2">
        <f>Speed!B691</f>
        <v>5.3888888890000004</v>
      </c>
      <c r="D691" s="9">
        <f>Odometer!A691</f>
        <v>45701.289270833331</v>
      </c>
      <c r="E691" s="9">
        <f t="shared" si="82"/>
        <v>45701.289270833331</v>
      </c>
      <c r="F691" s="2">
        <f>Odometer!B691</f>
        <v>428755620</v>
      </c>
      <c r="G691" s="2">
        <f t="shared" si="83"/>
        <v>1</v>
      </c>
      <c r="H691" s="2">
        <f>SUM($G$2:G691)</f>
        <v>5723</v>
      </c>
      <c r="I691" s="10">
        <f t="shared" si="84"/>
        <v>45701.288657407407</v>
      </c>
      <c r="J691" s="10">
        <f t="shared" si="85"/>
        <v>45701.288657407407</v>
      </c>
      <c r="K691" s="3">
        <f t="shared" si="87"/>
        <v>5250</v>
      </c>
      <c r="L691">
        <f t="shared" si="80"/>
        <v>5.5416666670000003</v>
      </c>
      <c r="M691">
        <f t="shared" si="86"/>
        <v>19.950000001200003</v>
      </c>
    </row>
    <row r="692" spans="1:13" x14ac:dyDescent="0.25">
      <c r="A692" s="9">
        <f>Speed!A692</f>
        <v>45701.288680555554</v>
      </c>
      <c r="B692" s="9">
        <f t="shared" si="81"/>
        <v>45701.288680555554</v>
      </c>
      <c r="C692" s="2">
        <f>Speed!B692</f>
        <v>5.3138888890000002</v>
      </c>
      <c r="D692" s="9">
        <f>Odometer!A692</f>
        <v>45701.289270833331</v>
      </c>
      <c r="E692" s="9">
        <f t="shared" si="82"/>
        <v>45701.289270833331</v>
      </c>
      <c r="F692" s="2">
        <f>Odometer!B692</f>
        <v>428755621</v>
      </c>
      <c r="G692" s="2">
        <f t="shared" si="83"/>
        <v>16</v>
      </c>
      <c r="H692" s="2">
        <f>SUM($G$2:G692)</f>
        <v>5739</v>
      </c>
      <c r="I692" s="10">
        <f t="shared" si="84"/>
        <v>45701.288680555554</v>
      </c>
      <c r="J692" s="10">
        <f t="shared" si="85"/>
        <v>45701.288680555554</v>
      </c>
      <c r="K692" s="3">
        <f t="shared" si="87"/>
        <v>5265</v>
      </c>
      <c r="L692">
        <f t="shared" si="80"/>
        <v>5.3138888890000002</v>
      </c>
      <c r="M692">
        <f t="shared" si="86"/>
        <v>19.130000000400003</v>
      </c>
    </row>
    <row r="693" spans="1:13" x14ac:dyDescent="0.25">
      <c r="A693" s="9">
        <f>Speed!A693</f>
        <v>45701.28869212963</v>
      </c>
      <c r="B693" s="9">
        <f t="shared" si="81"/>
        <v>45701.28869212963</v>
      </c>
      <c r="C693" s="2">
        <f>Speed!B693</f>
        <v>5.2694444440000003</v>
      </c>
      <c r="D693" s="9">
        <f>Odometer!A693</f>
        <v>45701.289270833331</v>
      </c>
      <c r="E693" s="9">
        <f t="shared" si="82"/>
        <v>45701.289270833331</v>
      </c>
      <c r="F693" s="2">
        <f>Odometer!B693</f>
        <v>428755637</v>
      </c>
      <c r="G693" s="2">
        <f t="shared" si="83"/>
        <v>16</v>
      </c>
      <c r="H693" s="2">
        <f>SUM($G$2:G693)</f>
        <v>5755</v>
      </c>
      <c r="I693" s="10">
        <f t="shared" si="84"/>
        <v>45701.28869212963</v>
      </c>
      <c r="J693" s="10">
        <f t="shared" si="85"/>
        <v>45701.28869212963</v>
      </c>
      <c r="K693" s="3">
        <f t="shared" si="87"/>
        <v>5270</v>
      </c>
      <c r="L693">
        <f t="shared" si="80"/>
        <v>5.2694444440000003</v>
      </c>
      <c r="M693">
        <f t="shared" si="86"/>
        <v>18.969999998400002</v>
      </c>
    </row>
    <row r="694" spans="1:13" x14ac:dyDescent="0.25">
      <c r="A694" s="9">
        <f>Speed!A694</f>
        <v>45701.288703703707</v>
      </c>
      <c r="B694" s="9">
        <f t="shared" si="81"/>
        <v>45701.2887037037</v>
      </c>
      <c r="C694" s="2">
        <f>Speed!B694</f>
        <v>5.2249999999999996</v>
      </c>
      <c r="D694" s="9">
        <f>Odometer!A694</f>
        <v>45701.289293981485</v>
      </c>
      <c r="E694" s="9">
        <f t="shared" si="82"/>
        <v>45701.289293981477</v>
      </c>
      <c r="F694" s="2">
        <f>Odometer!B694</f>
        <v>428755653</v>
      </c>
      <c r="G694" s="2">
        <f t="shared" si="83"/>
        <v>16</v>
      </c>
      <c r="H694" s="2">
        <f>SUM($G$2:G694)</f>
        <v>5771</v>
      </c>
      <c r="I694" s="10">
        <f t="shared" si="84"/>
        <v>45701.288703703707</v>
      </c>
      <c r="J694" s="10">
        <f t="shared" si="85"/>
        <v>45701.2887037037</v>
      </c>
      <c r="K694" s="3">
        <f t="shared" si="87"/>
        <v>5275</v>
      </c>
      <c r="L694">
        <f t="shared" si="80"/>
        <v>5.2249999999999996</v>
      </c>
      <c r="M694">
        <f t="shared" si="86"/>
        <v>18.809999999999999</v>
      </c>
    </row>
    <row r="695" spans="1:13" x14ac:dyDescent="0.25">
      <c r="A695" s="9">
        <f>Speed!A695</f>
        <v>45701.288715277777</v>
      </c>
      <c r="B695" s="9">
        <f t="shared" si="81"/>
        <v>45701.288715277777</v>
      </c>
      <c r="C695" s="2">
        <f>Speed!B695</f>
        <v>5.2138888889999997</v>
      </c>
      <c r="D695" s="9">
        <f>Odometer!A695</f>
        <v>45701.289305555554</v>
      </c>
      <c r="E695" s="9">
        <f t="shared" si="82"/>
        <v>45701.289305555554</v>
      </c>
      <c r="F695" s="2">
        <f>Odometer!B695</f>
        <v>428755669</v>
      </c>
      <c r="G695" s="2">
        <f t="shared" si="83"/>
        <v>14</v>
      </c>
      <c r="H695" s="2">
        <f>SUM($G$2:G695)</f>
        <v>5785</v>
      </c>
      <c r="I695" s="10">
        <f t="shared" si="84"/>
        <v>45701.288715277777</v>
      </c>
      <c r="J695" s="10">
        <f t="shared" si="85"/>
        <v>45701.288715277777</v>
      </c>
      <c r="K695" s="3">
        <f t="shared" si="87"/>
        <v>5281</v>
      </c>
      <c r="L695">
        <f t="shared" si="80"/>
        <v>5.2138888889999997</v>
      </c>
      <c r="M695">
        <f t="shared" si="86"/>
        <v>18.7700000004</v>
      </c>
    </row>
    <row r="696" spans="1:13" x14ac:dyDescent="0.25">
      <c r="A696" s="9">
        <f>Speed!A696</f>
        <v>45701.288726851853</v>
      </c>
      <c r="B696" s="9">
        <f t="shared" si="81"/>
        <v>45701.288726851846</v>
      </c>
      <c r="C696" s="2">
        <f>Speed!B696</f>
        <v>5.2083333329999997</v>
      </c>
      <c r="D696" s="9">
        <f>Odometer!A696</f>
        <v>45701.289317129631</v>
      </c>
      <c r="E696" s="9">
        <f t="shared" si="82"/>
        <v>45701.289317129631</v>
      </c>
      <c r="F696" s="2">
        <f>Odometer!B696</f>
        <v>428755683</v>
      </c>
      <c r="G696" s="2">
        <f t="shared" si="83"/>
        <v>8</v>
      </c>
      <c r="H696" s="2">
        <f>SUM($G$2:G696)</f>
        <v>5793</v>
      </c>
      <c r="I696" s="10">
        <f t="shared" si="84"/>
        <v>45701.288726851853</v>
      </c>
      <c r="J696" s="10">
        <f t="shared" si="85"/>
        <v>45701.288726851846</v>
      </c>
      <c r="K696" s="3">
        <f t="shared" si="87"/>
        <v>5286</v>
      </c>
      <c r="L696">
        <f t="shared" si="80"/>
        <v>5.2083333329999997</v>
      </c>
      <c r="M696">
        <f t="shared" si="86"/>
        <v>18.7499999988</v>
      </c>
    </row>
    <row r="697" spans="1:13" x14ac:dyDescent="0.25">
      <c r="A697" s="9">
        <f>Speed!A697</f>
        <v>45701.288738425923</v>
      </c>
      <c r="B697" s="9">
        <f t="shared" si="81"/>
        <v>45701.288738425923</v>
      </c>
      <c r="C697" s="2">
        <f>Speed!B697</f>
        <v>5.15</v>
      </c>
      <c r="D697" s="9">
        <f>Odometer!A697</f>
        <v>45701.289317129631</v>
      </c>
      <c r="E697" s="9">
        <f t="shared" si="82"/>
        <v>45701.289317129631</v>
      </c>
      <c r="F697" s="2">
        <f>Odometer!B697</f>
        <v>428755691</v>
      </c>
      <c r="G697" s="2">
        <f t="shared" si="83"/>
        <v>8</v>
      </c>
      <c r="H697" s="2">
        <f>SUM($G$2:G697)</f>
        <v>5801</v>
      </c>
      <c r="I697" s="10">
        <f t="shared" si="84"/>
        <v>45701.288738425923</v>
      </c>
      <c r="J697" s="10">
        <f t="shared" si="85"/>
        <v>45701.288738425923</v>
      </c>
      <c r="K697" s="3">
        <f t="shared" si="87"/>
        <v>5291</v>
      </c>
      <c r="L697">
        <f t="shared" si="80"/>
        <v>5.15</v>
      </c>
      <c r="M697">
        <f t="shared" si="86"/>
        <v>18.540000000000003</v>
      </c>
    </row>
    <row r="698" spans="1:13" x14ac:dyDescent="0.25">
      <c r="A698" s="9">
        <f>Speed!A698</f>
        <v>45701.28875</v>
      </c>
      <c r="B698" s="9">
        <f t="shared" si="81"/>
        <v>45701.28875</v>
      </c>
      <c r="C698" s="2">
        <f>Speed!B698</f>
        <v>5.136111111</v>
      </c>
      <c r="D698" s="9">
        <f>Odometer!A698</f>
        <v>45701.289317129631</v>
      </c>
      <c r="E698" s="9">
        <f t="shared" si="82"/>
        <v>45701.289317129631</v>
      </c>
      <c r="F698" s="2">
        <f>Odometer!B698</f>
        <v>428755699</v>
      </c>
      <c r="G698" s="2">
        <f t="shared" si="83"/>
        <v>4</v>
      </c>
      <c r="H698" s="2">
        <f>SUM($G$2:G698)</f>
        <v>5805</v>
      </c>
      <c r="I698" s="10">
        <f t="shared" si="84"/>
        <v>45701.28875</v>
      </c>
      <c r="J698" s="10">
        <f t="shared" si="85"/>
        <v>45701.28875</v>
      </c>
      <c r="K698" s="3">
        <f t="shared" si="87"/>
        <v>5296</v>
      </c>
      <c r="L698">
        <f t="shared" si="80"/>
        <v>5.136111111</v>
      </c>
      <c r="M698">
        <f t="shared" si="86"/>
        <v>18.489999999600002</v>
      </c>
    </row>
    <row r="699" spans="1:13" x14ac:dyDescent="0.25">
      <c r="A699" s="9">
        <f>Speed!A699</f>
        <v>45701.288761574076</v>
      </c>
      <c r="B699" s="9">
        <f t="shared" si="81"/>
        <v>45701.288761574069</v>
      </c>
      <c r="C699" s="2">
        <f>Speed!B699</f>
        <v>5.0694444440000002</v>
      </c>
      <c r="D699" s="9">
        <f>Odometer!A699</f>
        <v>45701.2893287037</v>
      </c>
      <c r="E699" s="9">
        <f t="shared" si="82"/>
        <v>45701.2893287037</v>
      </c>
      <c r="F699" s="2">
        <f>Odometer!B699</f>
        <v>428755703</v>
      </c>
      <c r="G699" s="2">
        <f t="shared" si="83"/>
        <v>11</v>
      </c>
      <c r="H699" s="2">
        <f>SUM($G$2:G699)</f>
        <v>5816</v>
      </c>
      <c r="I699" s="10">
        <f t="shared" si="84"/>
        <v>45701.288761574076</v>
      </c>
      <c r="J699" s="10">
        <f t="shared" si="85"/>
        <v>45701.288761574069</v>
      </c>
      <c r="K699" s="3">
        <f t="shared" si="87"/>
        <v>5301</v>
      </c>
      <c r="L699">
        <f t="shared" si="80"/>
        <v>5.0694444440000002</v>
      </c>
      <c r="M699">
        <f t="shared" si="86"/>
        <v>18.2499999984</v>
      </c>
    </row>
    <row r="700" spans="1:13" x14ac:dyDescent="0.25">
      <c r="A700" s="9">
        <f>Speed!A700</f>
        <v>45701.288773148146</v>
      </c>
      <c r="B700" s="9">
        <f t="shared" si="81"/>
        <v>45701.288773148146</v>
      </c>
      <c r="C700" s="2">
        <f>Speed!B700</f>
        <v>4.988888889</v>
      </c>
      <c r="D700" s="9">
        <f>Odometer!A700</f>
        <v>45701.289340277777</v>
      </c>
      <c r="E700" s="9">
        <f t="shared" si="82"/>
        <v>45701.289340277777</v>
      </c>
      <c r="F700" s="2">
        <f>Odometer!B700</f>
        <v>428755714</v>
      </c>
      <c r="G700" s="2">
        <f t="shared" si="83"/>
        <v>1</v>
      </c>
      <c r="H700" s="2">
        <f>SUM($G$2:G700)</f>
        <v>5817</v>
      </c>
      <c r="I700" s="10">
        <f t="shared" si="84"/>
        <v>45701.288773148146</v>
      </c>
      <c r="J700" s="10">
        <f t="shared" si="85"/>
        <v>45701.288773148146</v>
      </c>
      <c r="K700" s="3">
        <f t="shared" si="87"/>
        <v>5306</v>
      </c>
      <c r="L700">
        <f t="shared" si="80"/>
        <v>4.988888889</v>
      </c>
      <c r="M700">
        <f t="shared" si="86"/>
        <v>17.960000000400001</v>
      </c>
    </row>
    <row r="701" spans="1:13" x14ac:dyDescent="0.25">
      <c r="A701" s="9">
        <f>Speed!A701</f>
        <v>45701.288784722223</v>
      </c>
      <c r="B701" s="9">
        <f t="shared" si="81"/>
        <v>45701.288784722223</v>
      </c>
      <c r="C701" s="2">
        <f>Speed!B701</f>
        <v>4.9722222220000001</v>
      </c>
      <c r="D701" s="9">
        <f>Odometer!A701</f>
        <v>45701.289340277777</v>
      </c>
      <c r="E701" s="9">
        <f t="shared" si="82"/>
        <v>45701.289340277777</v>
      </c>
      <c r="F701" s="2">
        <f>Odometer!B701</f>
        <v>428755715</v>
      </c>
      <c r="G701" s="2">
        <f t="shared" si="83"/>
        <v>14</v>
      </c>
      <c r="H701" s="2">
        <f>SUM($G$2:G701)</f>
        <v>5831</v>
      </c>
      <c r="I701" s="10">
        <f t="shared" si="84"/>
        <v>45701.288784722223</v>
      </c>
      <c r="J701" s="10">
        <f t="shared" si="85"/>
        <v>45701.288784722223</v>
      </c>
      <c r="K701" s="3">
        <f t="shared" si="87"/>
        <v>5311</v>
      </c>
      <c r="L701">
        <f t="shared" si="80"/>
        <v>4.9722222220000001</v>
      </c>
      <c r="M701">
        <f t="shared" si="86"/>
        <v>17.899999999200002</v>
      </c>
    </row>
    <row r="702" spans="1:13" x14ac:dyDescent="0.25">
      <c r="A702" s="9">
        <f>Speed!A702</f>
        <v>45701.2887962963</v>
      </c>
      <c r="B702" s="9">
        <f t="shared" si="81"/>
        <v>45701.288796296292</v>
      </c>
      <c r="C702" s="2">
        <f>Speed!B702</f>
        <v>4.994444444</v>
      </c>
      <c r="D702" s="9">
        <f>Odometer!A702</f>
        <v>45701.289351851854</v>
      </c>
      <c r="E702" s="9">
        <f t="shared" si="82"/>
        <v>45701.289351851847</v>
      </c>
      <c r="F702" s="2">
        <f>Odometer!B702</f>
        <v>428755729</v>
      </c>
      <c r="G702" s="2">
        <f t="shared" si="83"/>
        <v>15</v>
      </c>
      <c r="H702" s="2">
        <f>SUM($G$2:G702)</f>
        <v>5846</v>
      </c>
      <c r="I702" s="10">
        <f t="shared" si="84"/>
        <v>45701.2887962963</v>
      </c>
      <c r="J702" s="10">
        <f t="shared" si="85"/>
        <v>45701.288796296292</v>
      </c>
      <c r="K702" s="3">
        <f t="shared" si="87"/>
        <v>5316</v>
      </c>
      <c r="L702">
        <f t="shared" si="80"/>
        <v>4.994444444</v>
      </c>
      <c r="M702">
        <f t="shared" si="86"/>
        <v>17.9799999984</v>
      </c>
    </row>
    <row r="703" spans="1:13" x14ac:dyDescent="0.25">
      <c r="A703" s="9">
        <f>Speed!A703</f>
        <v>45701.288819444446</v>
      </c>
      <c r="B703" s="9">
        <f t="shared" si="81"/>
        <v>45701.288819444439</v>
      </c>
      <c r="C703" s="2">
        <f>Speed!B703</f>
        <v>5.0527777780000003</v>
      </c>
      <c r="D703" s="9">
        <f>Odometer!A703</f>
        <v>45701.289363425924</v>
      </c>
      <c r="E703" s="9">
        <f t="shared" si="82"/>
        <v>45701.289363425924</v>
      </c>
      <c r="F703" s="2">
        <f>Odometer!B703</f>
        <v>428755744</v>
      </c>
      <c r="G703" s="2">
        <f t="shared" si="83"/>
        <v>5</v>
      </c>
      <c r="H703" s="2">
        <f>SUM($G$2:G703)</f>
        <v>5851</v>
      </c>
      <c r="I703" s="10">
        <f t="shared" si="84"/>
        <v>45701.288819444446</v>
      </c>
      <c r="J703" s="10">
        <f t="shared" si="85"/>
        <v>45701.288819444439</v>
      </c>
      <c r="K703" s="3">
        <f t="shared" si="87"/>
        <v>5326</v>
      </c>
      <c r="L703">
        <f t="shared" si="80"/>
        <v>5.0527777780000003</v>
      </c>
      <c r="M703">
        <f t="shared" si="86"/>
        <v>18.190000000800001</v>
      </c>
    </row>
    <row r="704" spans="1:13" x14ac:dyDescent="0.25">
      <c r="A704" s="9">
        <f>Speed!A704</f>
        <v>45701.288831018515</v>
      </c>
      <c r="B704" s="9">
        <f t="shared" si="81"/>
        <v>45701.288831018515</v>
      </c>
      <c r="C704" s="2">
        <f>Speed!B704</f>
        <v>5.119444444</v>
      </c>
      <c r="D704" s="9">
        <f>Odometer!A704</f>
        <v>45701.289363425924</v>
      </c>
      <c r="E704" s="9">
        <f t="shared" si="82"/>
        <v>45701.289363425924</v>
      </c>
      <c r="F704" s="2">
        <f>Odometer!B704</f>
        <v>428755749</v>
      </c>
      <c r="G704" s="2">
        <f t="shared" si="83"/>
        <v>8</v>
      </c>
      <c r="H704" s="2">
        <f>SUM($G$2:G704)</f>
        <v>5859</v>
      </c>
      <c r="I704" s="10">
        <f t="shared" si="84"/>
        <v>45701.288831018515</v>
      </c>
      <c r="J704" s="10">
        <f t="shared" si="85"/>
        <v>45701.288831018515</v>
      </c>
      <c r="K704" s="3">
        <f t="shared" si="87"/>
        <v>5331</v>
      </c>
      <c r="L704">
        <f t="shared" si="80"/>
        <v>5.119444444</v>
      </c>
      <c r="M704">
        <f t="shared" si="86"/>
        <v>18.4299999984</v>
      </c>
    </row>
    <row r="705" spans="1:13" x14ac:dyDescent="0.25">
      <c r="A705" s="9">
        <f>Speed!A705</f>
        <v>45701.288842592592</v>
      </c>
      <c r="B705" s="9">
        <f t="shared" si="81"/>
        <v>45701.288842592592</v>
      </c>
      <c r="C705" s="2">
        <f>Speed!B705</f>
        <v>5.1916666669999998</v>
      </c>
      <c r="D705" s="9">
        <f>Odometer!A705</f>
        <v>45701.289375</v>
      </c>
      <c r="E705" s="9">
        <f t="shared" si="82"/>
        <v>45701.289375</v>
      </c>
      <c r="F705" s="2">
        <f>Odometer!B705</f>
        <v>428755757</v>
      </c>
      <c r="G705" s="2">
        <f t="shared" si="83"/>
        <v>1</v>
      </c>
      <c r="H705" s="2">
        <f>SUM($G$2:G705)</f>
        <v>5860</v>
      </c>
      <c r="I705" s="10">
        <f t="shared" si="84"/>
        <v>45701.288842592592</v>
      </c>
      <c r="J705" s="10">
        <f t="shared" si="85"/>
        <v>45701.288842592592</v>
      </c>
      <c r="K705" s="3" t="e">
        <f t="shared" si="87"/>
        <v>#N/A</v>
      </c>
      <c r="L705">
        <f t="shared" si="80"/>
        <v>5.1916666669999998</v>
      </c>
      <c r="M705">
        <f t="shared" si="86"/>
        <v>18.690000001200001</v>
      </c>
    </row>
    <row r="706" spans="1:13" x14ac:dyDescent="0.25">
      <c r="A706" s="9">
        <f>Speed!A706</f>
        <v>45701.288854166669</v>
      </c>
      <c r="B706" s="9">
        <f t="shared" si="81"/>
        <v>45701.288854166662</v>
      </c>
      <c r="C706" s="2">
        <f>Speed!B706</f>
        <v>5.2805555560000004</v>
      </c>
      <c r="D706" s="9">
        <f>Odometer!A706</f>
        <v>45701.289375</v>
      </c>
      <c r="E706" s="9">
        <f t="shared" si="82"/>
        <v>45701.289375</v>
      </c>
      <c r="F706" s="2">
        <f>Odometer!B706</f>
        <v>428755758</v>
      </c>
      <c r="G706" s="2">
        <f t="shared" si="83"/>
        <v>11</v>
      </c>
      <c r="H706" s="2">
        <f>SUM($G$2:G706)</f>
        <v>5871</v>
      </c>
      <c r="I706" s="10">
        <f t="shared" si="84"/>
        <v>45701.288854166669</v>
      </c>
      <c r="J706" s="10">
        <f t="shared" si="85"/>
        <v>45701.288854166662</v>
      </c>
      <c r="K706" s="3">
        <f t="shared" si="87"/>
        <v>5342</v>
      </c>
      <c r="L706">
        <f t="shared" ref="L706:L769" si="88">INDEX($C$2:$C$2000, MATCH(I706,$A$2:$A$2000,0))</f>
        <v>5.2805555560000004</v>
      </c>
      <c r="M706">
        <f t="shared" si="86"/>
        <v>19.010000001600002</v>
      </c>
    </row>
    <row r="707" spans="1:13" x14ac:dyDescent="0.25">
      <c r="A707" s="9">
        <f>Speed!A707</f>
        <v>45701.288854166669</v>
      </c>
      <c r="B707" s="9">
        <f t="shared" ref="B707:B770" si="89">MROUND(A707,"00:00:01")</f>
        <v>45701.288854166662</v>
      </c>
      <c r="C707" s="2">
        <f>Speed!B707</f>
        <v>5.4027777779999999</v>
      </c>
      <c r="D707" s="9">
        <f>Odometer!A707</f>
        <v>45701.289386574077</v>
      </c>
      <c r="E707" s="9">
        <f t="shared" ref="E707:E770" si="90">MROUND(D707,"00:00:01")</f>
        <v>45701.28938657407</v>
      </c>
      <c r="F707" s="2">
        <f>Odometer!B707</f>
        <v>428755769</v>
      </c>
      <c r="G707" s="2">
        <f t="shared" ref="G707:G770" si="91">IF(F708-F707&lt;0,0,F708-F707)</f>
        <v>13</v>
      </c>
      <c r="H707" s="2">
        <f>SUM($G$2:G707)</f>
        <v>5884</v>
      </c>
      <c r="I707" s="10">
        <f t="shared" ref="I707:I770" si="92">A707</f>
        <v>45701.288854166669</v>
      </c>
      <c r="J707" s="10">
        <f t="shared" ref="J707:J770" si="93">MROUND(I707,"0:00:01")</f>
        <v>45701.288854166662</v>
      </c>
      <c r="K707" s="3">
        <f t="shared" si="87"/>
        <v>5342</v>
      </c>
      <c r="L707">
        <f t="shared" si="88"/>
        <v>5.2805555560000004</v>
      </c>
      <c r="M707">
        <f t="shared" ref="M707:M770" si="94">L707*3.6</f>
        <v>19.010000001600002</v>
      </c>
    </row>
    <row r="708" spans="1:13" x14ac:dyDescent="0.25">
      <c r="A708" s="9">
        <f>Speed!A708</f>
        <v>45701.288877314815</v>
      </c>
      <c r="B708" s="9">
        <f t="shared" si="89"/>
        <v>45701.288877314815</v>
      </c>
      <c r="C708" s="2">
        <f>Speed!B708</f>
        <v>5.5083333330000004</v>
      </c>
      <c r="D708" s="9">
        <f>Odometer!A708</f>
        <v>45701.289398148147</v>
      </c>
      <c r="E708" s="9">
        <f t="shared" si="90"/>
        <v>45701.289398148147</v>
      </c>
      <c r="F708" s="2">
        <f>Odometer!B708</f>
        <v>428755782</v>
      </c>
      <c r="G708" s="2">
        <f t="shared" si="91"/>
        <v>11</v>
      </c>
      <c r="H708" s="2">
        <f>SUM($G$2:G708)</f>
        <v>5895</v>
      </c>
      <c r="I708" s="10">
        <f t="shared" si="92"/>
        <v>45701.288877314815</v>
      </c>
      <c r="J708" s="10">
        <f t="shared" si="93"/>
        <v>45701.288877314815</v>
      </c>
      <c r="K708" s="3">
        <f t="shared" ref="K708:K771" si="95">IFERROR(INDEX($H$2:$H$2000,MATCH(J708,$E$2:$E$2000,0)),NA())</f>
        <v>5353</v>
      </c>
      <c r="L708">
        <f t="shared" si="88"/>
        <v>5.5083333330000004</v>
      </c>
      <c r="M708">
        <f t="shared" si="94"/>
        <v>19.829999998800002</v>
      </c>
    </row>
    <row r="709" spans="1:13" x14ac:dyDescent="0.25">
      <c r="A709" s="9">
        <f>Speed!A709</f>
        <v>45701.288888888892</v>
      </c>
      <c r="B709" s="9">
        <f t="shared" si="89"/>
        <v>45701.288888888885</v>
      </c>
      <c r="C709" s="2">
        <f>Speed!B709</f>
        <v>5.5972222220000001</v>
      </c>
      <c r="D709" s="9">
        <f>Odometer!A709</f>
        <v>45701.289409722223</v>
      </c>
      <c r="E709" s="9">
        <f t="shared" si="90"/>
        <v>45701.289409722223</v>
      </c>
      <c r="F709" s="2">
        <f>Odometer!B709</f>
        <v>428755793</v>
      </c>
      <c r="G709" s="2">
        <f t="shared" si="91"/>
        <v>11</v>
      </c>
      <c r="H709" s="2">
        <f>SUM($G$2:G709)</f>
        <v>5906</v>
      </c>
      <c r="I709" s="10">
        <f t="shared" si="92"/>
        <v>45701.288888888892</v>
      </c>
      <c r="J709" s="10">
        <f t="shared" si="93"/>
        <v>45701.288888888885</v>
      </c>
      <c r="K709" s="3">
        <f t="shared" si="95"/>
        <v>5358</v>
      </c>
      <c r="L709">
        <f t="shared" si="88"/>
        <v>5.5972222220000001</v>
      </c>
      <c r="M709">
        <f t="shared" si="94"/>
        <v>20.149999999200002</v>
      </c>
    </row>
    <row r="710" spans="1:13" x14ac:dyDescent="0.25">
      <c r="A710" s="9">
        <f>Speed!A710</f>
        <v>45701.288888888892</v>
      </c>
      <c r="B710" s="9">
        <f t="shared" si="89"/>
        <v>45701.288888888885</v>
      </c>
      <c r="C710" s="2">
        <f>Speed!B710</f>
        <v>5.7249999999999996</v>
      </c>
      <c r="D710" s="9">
        <f>Odometer!A710</f>
        <v>45701.289421296293</v>
      </c>
      <c r="E710" s="9">
        <f t="shared" si="90"/>
        <v>45701.289421296293</v>
      </c>
      <c r="F710" s="2">
        <f>Odometer!B710</f>
        <v>428755804</v>
      </c>
      <c r="G710" s="2">
        <f t="shared" si="91"/>
        <v>10</v>
      </c>
      <c r="H710" s="2">
        <f>SUM($G$2:G710)</f>
        <v>5916</v>
      </c>
      <c r="I710" s="10">
        <f t="shared" si="92"/>
        <v>45701.288888888892</v>
      </c>
      <c r="J710" s="10">
        <f t="shared" si="93"/>
        <v>45701.288888888885</v>
      </c>
      <c r="K710" s="3">
        <f t="shared" si="95"/>
        <v>5358</v>
      </c>
      <c r="L710">
        <f t="shared" si="88"/>
        <v>5.5972222220000001</v>
      </c>
      <c r="M710">
        <f t="shared" si="94"/>
        <v>20.149999999200002</v>
      </c>
    </row>
    <row r="711" spans="1:13" x14ac:dyDescent="0.25">
      <c r="A711" s="9">
        <f>Speed!A711</f>
        <v>45701.288912037038</v>
      </c>
      <c r="B711" s="9">
        <f t="shared" si="89"/>
        <v>45701.288912037038</v>
      </c>
      <c r="C711" s="2">
        <f>Speed!B711</f>
        <v>6.05</v>
      </c>
      <c r="D711" s="9">
        <f>Odometer!A711</f>
        <v>45701.28943287037</v>
      </c>
      <c r="E711" s="9">
        <f t="shared" si="90"/>
        <v>45701.28943287037</v>
      </c>
      <c r="F711" s="2">
        <f>Odometer!B711</f>
        <v>428755814</v>
      </c>
      <c r="G711" s="2">
        <f t="shared" si="91"/>
        <v>9</v>
      </c>
      <c r="H711" s="2">
        <f>SUM($G$2:G711)</f>
        <v>5925</v>
      </c>
      <c r="I711" s="10">
        <f t="shared" si="92"/>
        <v>45701.288912037038</v>
      </c>
      <c r="J711" s="10">
        <f t="shared" si="93"/>
        <v>45701.288912037038</v>
      </c>
      <c r="K711" s="3">
        <f t="shared" si="95"/>
        <v>5378</v>
      </c>
      <c r="L711">
        <f t="shared" si="88"/>
        <v>6.05</v>
      </c>
      <c r="M711">
        <f t="shared" si="94"/>
        <v>21.78</v>
      </c>
    </row>
    <row r="712" spans="1:13" x14ac:dyDescent="0.25">
      <c r="A712" s="9">
        <f>Speed!A712</f>
        <v>45701.288912037038</v>
      </c>
      <c r="B712" s="9">
        <f t="shared" si="89"/>
        <v>45701.288912037038</v>
      </c>
      <c r="C712" s="2">
        <f>Speed!B712</f>
        <v>6.9972222220000004</v>
      </c>
      <c r="D712" s="9">
        <f>Odometer!A712</f>
        <v>45701.289444444446</v>
      </c>
      <c r="E712" s="9">
        <f t="shared" si="90"/>
        <v>45701.289444444439</v>
      </c>
      <c r="F712" s="2">
        <f>Odometer!B712</f>
        <v>428755823</v>
      </c>
      <c r="G712" s="2">
        <f t="shared" si="91"/>
        <v>8</v>
      </c>
      <c r="H712" s="2">
        <f>SUM($G$2:G712)</f>
        <v>5933</v>
      </c>
      <c r="I712" s="10">
        <f t="shared" si="92"/>
        <v>45701.288912037038</v>
      </c>
      <c r="J712" s="10">
        <f t="shared" si="93"/>
        <v>45701.288912037038</v>
      </c>
      <c r="K712" s="3">
        <f t="shared" si="95"/>
        <v>5378</v>
      </c>
      <c r="L712">
        <f t="shared" si="88"/>
        <v>6.05</v>
      </c>
      <c r="M712">
        <f t="shared" si="94"/>
        <v>21.78</v>
      </c>
    </row>
    <row r="713" spans="1:13" x14ac:dyDescent="0.25">
      <c r="A713" s="9">
        <f>Speed!A713</f>
        <v>45701.288935185185</v>
      </c>
      <c r="B713" s="9">
        <f t="shared" si="89"/>
        <v>45701.288935185185</v>
      </c>
      <c r="C713" s="2">
        <f>Speed!B713</f>
        <v>7.5888888889999997</v>
      </c>
      <c r="D713" s="9">
        <f>Odometer!A713</f>
        <v>45701.289456018516</v>
      </c>
      <c r="E713" s="9">
        <f t="shared" si="90"/>
        <v>45701.289456018516</v>
      </c>
      <c r="F713" s="2">
        <f>Odometer!B713</f>
        <v>428755831</v>
      </c>
      <c r="G713" s="2">
        <f t="shared" si="91"/>
        <v>7</v>
      </c>
      <c r="H713" s="2">
        <f>SUM($G$2:G713)</f>
        <v>5940</v>
      </c>
      <c r="I713" s="10">
        <f t="shared" si="92"/>
        <v>45701.288935185185</v>
      </c>
      <c r="J713" s="10">
        <f t="shared" si="93"/>
        <v>45701.288935185185</v>
      </c>
      <c r="K713" s="3">
        <f t="shared" si="95"/>
        <v>5386</v>
      </c>
      <c r="L713">
        <f t="shared" si="88"/>
        <v>7.5888888889999997</v>
      </c>
      <c r="M713">
        <f t="shared" si="94"/>
        <v>27.3200000004</v>
      </c>
    </row>
    <row r="714" spans="1:13" x14ac:dyDescent="0.25">
      <c r="A714" s="9">
        <f>Speed!A714</f>
        <v>45701.288946759261</v>
      </c>
      <c r="B714" s="9">
        <f t="shared" si="89"/>
        <v>45701.288946759254</v>
      </c>
      <c r="C714" s="2">
        <f>Speed!B714</f>
        <v>8.1861111110000007</v>
      </c>
      <c r="D714" s="9">
        <f>Odometer!A714</f>
        <v>45701.289467592593</v>
      </c>
      <c r="E714" s="9">
        <f t="shared" si="90"/>
        <v>45701.289467592593</v>
      </c>
      <c r="F714" s="2">
        <f>Odometer!B714</f>
        <v>428755838</v>
      </c>
      <c r="G714" s="2">
        <f t="shared" si="91"/>
        <v>6</v>
      </c>
      <c r="H714" s="2">
        <f>SUM($G$2:G714)</f>
        <v>5946</v>
      </c>
      <c r="I714" s="10">
        <f t="shared" si="92"/>
        <v>45701.288946759261</v>
      </c>
      <c r="J714" s="10">
        <f t="shared" si="93"/>
        <v>45701.288946759254</v>
      </c>
      <c r="K714" s="3">
        <f t="shared" si="95"/>
        <v>5394</v>
      </c>
      <c r="L714">
        <f t="shared" si="88"/>
        <v>8.1861111110000007</v>
      </c>
      <c r="M714">
        <f t="shared" si="94"/>
        <v>29.469999999600002</v>
      </c>
    </row>
    <row r="715" spans="1:13" x14ac:dyDescent="0.25">
      <c r="A715" s="9">
        <f>Speed!A715</f>
        <v>45701.288958333331</v>
      </c>
      <c r="B715" s="9">
        <f t="shared" si="89"/>
        <v>45701.288958333331</v>
      </c>
      <c r="C715" s="2">
        <f>Speed!B715</f>
        <v>8.7722222219999999</v>
      </c>
      <c r="D715" s="9">
        <f>Odometer!A715</f>
        <v>45701.289479166669</v>
      </c>
      <c r="E715" s="9">
        <f t="shared" si="90"/>
        <v>45701.289479166662</v>
      </c>
      <c r="F715" s="2">
        <f>Odometer!B715</f>
        <v>428755844</v>
      </c>
      <c r="G715" s="2">
        <f t="shared" si="91"/>
        <v>7</v>
      </c>
      <c r="H715" s="2">
        <f>SUM($G$2:G715)</f>
        <v>5953</v>
      </c>
      <c r="I715" s="10">
        <f t="shared" si="92"/>
        <v>45701.288958333331</v>
      </c>
      <c r="J715" s="10">
        <f t="shared" si="93"/>
        <v>45701.288958333331</v>
      </c>
      <c r="K715" s="3">
        <f t="shared" si="95"/>
        <v>5403</v>
      </c>
      <c r="L715">
        <f t="shared" si="88"/>
        <v>8.7722222219999999</v>
      </c>
      <c r="M715">
        <f t="shared" si="94"/>
        <v>31.579999999200002</v>
      </c>
    </row>
    <row r="716" spans="1:13" x14ac:dyDescent="0.25">
      <c r="A716" s="9">
        <f>Speed!A716</f>
        <v>45701.288969907408</v>
      </c>
      <c r="B716" s="9">
        <f t="shared" si="89"/>
        <v>45701.288969907408</v>
      </c>
      <c r="C716" s="2">
        <f>Speed!B716</f>
        <v>9.2638888890000004</v>
      </c>
      <c r="D716" s="9">
        <f>Odometer!A716</f>
        <v>45701.289490740739</v>
      </c>
      <c r="E716" s="9">
        <f t="shared" si="90"/>
        <v>45701.289490740739</v>
      </c>
      <c r="F716" s="2">
        <f>Odometer!B716</f>
        <v>428755851</v>
      </c>
      <c r="G716" s="2">
        <f t="shared" si="91"/>
        <v>5</v>
      </c>
      <c r="H716" s="2">
        <f>SUM($G$2:G716)</f>
        <v>5958</v>
      </c>
      <c r="I716" s="10">
        <f t="shared" si="92"/>
        <v>45701.288969907408</v>
      </c>
      <c r="J716" s="10">
        <f t="shared" si="93"/>
        <v>45701.288969907408</v>
      </c>
      <c r="K716" s="3">
        <f t="shared" si="95"/>
        <v>5404</v>
      </c>
      <c r="L716">
        <f t="shared" si="88"/>
        <v>9.2638888890000004</v>
      </c>
      <c r="M716">
        <f t="shared" si="94"/>
        <v>33.350000000400001</v>
      </c>
    </row>
    <row r="717" spans="1:13" x14ac:dyDescent="0.25">
      <c r="A717" s="9">
        <f>Speed!A717</f>
        <v>45701.288969907408</v>
      </c>
      <c r="B717" s="9">
        <f t="shared" si="89"/>
        <v>45701.288969907408</v>
      </c>
      <c r="C717" s="2">
        <f>Speed!B717</f>
        <v>9.2888888890000008</v>
      </c>
      <c r="D717" s="9">
        <f>Odometer!A717</f>
        <v>45701.289502314816</v>
      </c>
      <c r="E717" s="9">
        <f t="shared" si="90"/>
        <v>45701.289502314816</v>
      </c>
      <c r="F717" s="2">
        <f>Odometer!B717</f>
        <v>428755856</v>
      </c>
      <c r="G717" s="2">
        <f t="shared" si="91"/>
        <v>4</v>
      </c>
      <c r="H717" s="2">
        <f>SUM($G$2:G717)</f>
        <v>5962</v>
      </c>
      <c r="I717" s="10">
        <f t="shared" si="92"/>
        <v>45701.288969907408</v>
      </c>
      <c r="J717" s="10">
        <f t="shared" si="93"/>
        <v>45701.288969907408</v>
      </c>
      <c r="K717" s="3">
        <f t="shared" si="95"/>
        <v>5404</v>
      </c>
      <c r="L717">
        <f t="shared" si="88"/>
        <v>9.2638888890000004</v>
      </c>
      <c r="M717">
        <f t="shared" si="94"/>
        <v>33.350000000400001</v>
      </c>
    </row>
    <row r="718" spans="1:13" x14ac:dyDescent="0.25">
      <c r="A718" s="9">
        <f>Speed!A718</f>
        <v>45701.288981481484</v>
      </c>
      <c r="B718" s="9">
        <f t="shared" si="89"/>
        <v>45701.288981481477</v>
      </c>
      <c r="C718" s="2">
        <f>Speed!B718</f>
        <v>9.6861111110000007</v>
      </c>
      <c r="D718" s="9">
        <f>Odometer!A718</f>
        <v>45701.289513888885</v>
      </c>
      <c r="E718" s="9">
        <f t="shared" si="90"/>
        <v>45701.289513888885</v>
      </c>
      <c r="F718" s="2">
        <f>Odometer!B718</f>
        <v>428755860</v>
      </c>
      <c r="G718" s="2">
        <f t="shared" si="91"/>
        <v>3</v>
      </c>
      <c r="H718" s="2">
        <f>SUM($G$2:G718)</f>
        <v>5965</v>
      </c>
      <c r="I718" s="10">
        <f t="shared" si="92"/>
        <v>45701.288981481484</v>
      </c>
      <c r="J718" s="10">
        <f t="shared" si="93"/>
        <v>45701.288981481477</v>
      </c>
      <c r="K718" s="3">
        <f t="shared" si="95"/>
        <v>5419</v>
      </c>
      <c r="L718">
        <f t="shared" si="88"/>
        <v>9.6861111110000007</v>
      </c>
      <c r="M718">
        <f t="shared" si="94"/>
        <v>34.869999999600005</v>
      </c>
    </row>
    <row r="719" spans="1:13" x14ac:dyDescent="0.25">
      <c r="A719" s="9">
        <f>Speed!A719</f>
        <v>45701.288981481484</v>
      </c>
      <c r="B719" s="9">
        <f t="shared" si="89"/>
        <v>45701.288981481477</v>
      </c>
      <c r="C719" s="2">
        <f>Speed!B719</f>
        <v>9.9638888889999997</v>
      </c>
      <c r="D719" s="9">
        <f>Odometer!A719</f>
        <v>45701.289525462962</v>
      </c>
      <c r="E719" s="9">
        <f t="shared" si="90"/>
        <v>45701.289525462962</v>
      </c>
      <c r="F719" s="2">
        <f>Odometer!B719</f>
        <v>428755863</v>
      </c>
      <c r="G719" s="2">
        <f t="shared" si="91"/>
        <v>2</v>
      </c>
      <c r="H719" s="2">
        <f>SUM($G$2:G719)</f>
        <v>5967</v>
      </c>
      <c r="I719" s="10">
        <f t="shared" si="92"/>
        <v>45701.288981481484</v>
      </c>
      <c r="J719" s="10">
        <f t="shared" si="93"/>
        <v>45701.288981481477</v>
      </c>
      <c r="K719" s="3">
        <f t="shared" si="95"/>
        <v>5419</v>
      </c>
      <c r="L719">
        <f t="shared" si="88"/>
        <v>9.6861111110000007</v>
      </c>
      <c r="M719">
        <f t="shared" si="94"/>
        <v>34.869999999600005</v>
      </c>
    </row>
    <row r="720" spans="1:13" x14ac:dyDescent="0.25">
      <c r="A720" s="9">
        <f>Speed!A720</f>
        <v>45701.288981481484</v>
      </c>
      <c r="B720" s="9">
        <f t="shared" si="89"/>
        <v>45701.288981481477</v>
      </c>
      <c r="C720" s="2">
        <f>Speed!B720</f>
        <v>10.06666667</v>
      </c>
      <c r="D720" s="9">
        <f>Odometer!A720</f>
        <v>45701.289537037039</v>
      </c>
      <c r="E720" s="9">
        <f t="shared" si="90"/>
        <v>45701.289537037032</v>
      </c>
      <c r="F720" s="2">
        <f>Odometer!B720</f>
        <v>428755865</v>
      </c>
      <c r="G720" s="2">
        <f t="shared" si="91"/>
        <v>2</v>
      </c>
      <c r="H720" s="2">
        <f>SUM($G$2:G720)</f>
        <v>5969</v>
      </c>
      <c r="I720" s="10">
        <f t="shared" si="92"/>
        <v>45701.288981481484</v>
      </c>
      <c r="J720" s="10">
        <f t="shared" si="93"/>
        <v>45701.288981481477</v>
      </c>
      <c r="K720" s="3">
        <f t="shared" si="95"/>
        <v>5419</v>
      </c>
      <c r="L720">
        <f t="shared" si="88"/>
        <v>9.6861111110000007</v>
      </c>
      <c r="M720">
        <f t="shared" si="94"/>
        <v>34.869999999600005</v>
      </c>
    </row>
    <row r="721" spans="1:13" x14ac:dyDescent="0.25">
      <c r="A721" s="9">
        <f>Speed!A721</f>
        <v>45701.289004629631</v>
      </c>
      <c r="B721" s="9">
        <f t="shared" si="89"/>
        <v>45701.289004629631</v>
      </c>
      <c r="C721" s="2">
        <f>Speed!B721</f>
        <v>10.16666667</v>
      </c>
      <c r="D721" s="9">
        <f>Odometer!A721</f>
        <v>45701.289537037039</v>
      </c>
      <c r="E721" s="9">
        <f t="shared" si="90"/>
        <v>45701.289537037032</v>
      </c>
      <c r="F721" s="2">
        <f>Odometer!B721</f>
        <v>428755867</v>
      </c>
      <c r="G721" s="2">
        <f t="shared" si="91"/>
        <v>1</v>
      </c>
      <c r="H721" s="2">
        <f>SUM($G$2:G721)</f>
        <v>5970</v>
      </c>
      <c r="I721" s="10">
        <f t="shared" si="92"/>
        <v>45701.289004629631</v>
      </c>
      <c r="J721" s="10">
        <f t="shared" si="93"/>
        <v>45701.289004629631</v>
      </c>
      <c r="K721" s="3">
        <f t="shared" si="95"/>
        <v>5443</v>
      </c>
      <c r="L721">
        <f t="shared" si="88"/>
        <v>10.16666667</v>
      </c>
      <c r="M721">
        <f t="shared" si="94"/>
        <v>36.600000012000002</v>
      </c>
    </row>
    <row r="722" spans="1:13" x14ac:dyDescent="0.25">
      <c r="A722" s="9">
        <f>Speed!A722</f>
        <v>45701.2890162037</v>
      </c>
      <c r="B722" s="9">
        <f t="shared" si="89"/>
        <v>45701.2890162037</v>
      </c>
      <c r="C722" s="2">
        <f>Speed!B722</f>
        <v>10.222222220000001</v>
      </c>
      <c r="D722" s="9">
        <f>Odometer!A722</f>
        <v>45701.289872685185</v>
      </c>
      <c r="E722" s="9">
        <f t="shared" si="90"/>
        <v>45701.289872685185</v>
      </c>
      <c r="F722" s="2">
        <f>Odometer!B722</f>
        <v>428755868</v>
      </c>
      <c r="G722" s="2">
        <f t="shared" si="91"/>
        <v>1</v>
      </c>
      <c r="H722" s="2">
        <f>SUM($G$2:G722)</f>
        <v>5971</v>
      </c>
      <c r="I722" s="10">
        <f t="shared" si="92"/>
        <v>45701.2890162037</v>
      </c>
      <c r="J722" s="10">
        <f t="shared" si="93"/>
        <v>45701.2890162037</v>
      </c>
      <c r="K722" s="3">
        <f t="shared" si="95"/>
        <v>5446</v>
      </c>
      <c r="L722">
        <f t="shared" si="88"/>
        <v>10.222222220000001</v>
      </c>
      <c r="M722">
        <f t="shared" si="94"/>
        <v>36.799999992000004</v>
      </c>
    </row>
    <row r="723" spans="1:13" x14ac:dyDescent="0.25">
      <c r="A723" s="9">
        <f>Speed!A723</f>
        <v>45701.2890162037</v>
      </c>
      <c r="B723" s="9">
        <f t="shared" si="89"/>
        <v>45701.2890162037</v>
      </c>
      <c r="C723" s="2">
        <f>Speed!B723</f>
        <v>10.25</v>
      </c>
      <c r="D723" s="9">
        <f>Odometer!A723</f>
        <v>45701.289872685185</v>
      </c>
      <c r="E723" s="9">
        <f t="shared" si="90"/>
        <v>45701.289872685185</v>
      </c>
      <c r="F723" s="2">
        <f>Odometer!B723</f>
        <v>428755869</v>
      </c>
      <c r="G723" s="2">
        <f t="shared" si="91"/>
        <v>1</v>
      </c>
      <c r="H723" s="2">
        <f>SUM($G$2:G723)</f>
        <v>5972</v>
      </c>
      <c r="I723" s="10">
        <f t="shared" si="92"/>
        <v>45701.2890162037</v>
      </c>
      <c r="J723" s="10">
        <f t="shared" si="93"/>
        <v>45701.2890162037</v>
      </c>
      <c r="K723" s="3">
        <f t="shared" si="95"/>
        <v>5446</v>
      </c>
      <c r="L723">
        <f t="shared" si="88"/>
        <v>10.222222220000001</v>
      </c>
      <c r="M723">
        <f t="shared" si="94"/>
        <v>36.799999992000004</v>
      </c>
    </row>
    <row r="724" spans="1:13" x14ac:dyDescent="0.25">
      <c r="A724" s="9">
        <f>Speed!A724</f>
        <v>45701.2890162037</v>
      </c>
      <c r="B724" s="9">
        <f t="shared" si="89"/>
        <v>45701.2890162037</v>
      </c>
      <c r="C724" s="2">
        <f>Speed!B724</f>
        <v>10.26111111</v>
      </c>
      <c r="D724" s="9">
        <f>Odometer!A724</f>
        <v>45701.289895833332</v>
      </c>
      <c r="E724" s="9">
        <f t="shared" si="90"/>
        <v>45701.289895833332</v>
      </c>
      <c r="F724" s="2">
        <f>Odometer!B724</f>
        <v>428755870</v>
      </c>
      <c r="G724" s="2">
        <f t="shared" si="91"/>
        <v>3</v>
      </c>
      <c r="H724" s="2">
        <f>SUM($G$2:G724)</f>
        <v>5975</v>
      </c>
      <c r="I724" s="10">
        <f t="shared" si="92"/>
        <v>45701.2890162037</v>
      </c>
      <c r="J724" s="10">
        <f t="shared" si="93"/>
        <v>45701.2890162037</v>
      </c>
      <c r="K724" s="3">
        <f t="shared" si="95"/>
        <v>5446</v>
      </c>
      <c r="L724">
        <f t="shared" si="88"/>
        <v>10.222222220000001</v>
      </c>
      <c r="M724">
        <f t="shared" si="94"/>
        <v>36.799999992000004</v>
      </c>
    </row>
    <row r="725" spans="1:13" x14ac:dyDescent="0.25">
      <c r="A725" s="9">
        <f>Speed!A725</f>
        <v>45701.289039351854</v>
      </c>
      <c r="B725" s="9">
        <f t="shared" si="89"/>
        <v>45701.289039351846</v>
      </c>
      <c r="C725" s="2">
        <f>Speed!B725</f>
        <v>9.9666666670000001</v>
      </c>
      <c r="D725" s="9">
        <f>Odometer!A725</f>
        <v>45701.289895833332</v>
      </c>
      <c r="E725" s="9">
        <f t="shared" si="90"/>
        <v>45701.289895833332</v>
      </c>
      <c r="F725" s="2">
        <f>Odometer!B725</f>
        <v>428755873</v>
      </c>
      <c r="G725" s="2">
        <f t="shared" si="91"/>
        <v>3</v>
      </c>
      <c r="H725" s="2">
        <f>SUM($G$2:G725)</f>
        <v>5978</v>
      </c>
      <c r="I725" s="10">
        <f t="shared" si="92"/>
        <v>45701.289039351854</v>
      </c>
      <c r="J725" s="10">
        <f t="shared" si="93"/>
        <v>45701.289039351846</v>
      </c>
      <c r="K725" s="3">
        <f t="shared" si="95"/>
        <v>5474</v>
      </c>
      <c r="L725">
        <f t="shared" si="88"/>
        <v>9.9666666670000001</v>
      </c>
      <c r="M725">
        <f t="shared" si="94"/>
        <v>35.880000001200003</v>
      </c>
    </row>
    <row r="726" spans="1:13" x14ac:dyDescent="0.25">
      <c r="A726" s="9">
        <f>Speed!A726</f>
        <v>45701.289050925923</v>
      </c>
      <c r="B726" s="9">
        <f t="shared" si="89"/>
        <v>45701.289050925923</v>
      </c>
      <c r="C726" s="2">
        <f>Speed!B726</f>
        <v>9.8333333330000006</v>
      </c>
      <c r="D726" s="9">
        <f>Odometer!A726</f>
        <v>45701.289918981478</v>
      </c>
      <c r="E726" s="9">
        <f t="shared" si="90"/>
        <v>45701.289918981478</v>
      </c>
      <c r="F726" s="2">
        <f>Odometer!B726</f>
        <v>428755876</v>
      </c>
      <c r="G726" s="2">
        <f t="shared" si="91"/>
        <v>4</v>
      </c>
      <c r="H726" s="2">
        <f>SUM($G$2:G726)</f>
        <v>5982</v>
      </c>
      <c r="I726" s="10">
        <f t="shared" si="92"/>
        <v>45701.289050925923</v>
      </c>
      <c r="J726" s="10">
        <f t="shared" si="93"/>
        <v>45701.289050925923</v>
      </c>
      <c r="K726" s="3">
        <f t="shared" si="95"/>
        <v>5484</v>
      </c>
      <c r="L726">
        <f t="shared" si="88"/>
        <v>9.8333333330000006</v>
      </c>
      <c r="M726">
        <f t="shared" si="94"/>
        <v>35.399999998800006</v>
      </c>
    </row>
    <row r="727" spans="1:13" x14ac:dyDescent="0.25">
      <c r="A727" s="9">
        <f>Speed!A727</f>
        <v>45701.2890625</v>
      </c>
      <c r="B727" s="9">
        <f t="shared" si="89"/>
        <v>45701.2890625</v>
      </c>
      <c r="C727" s="2">
        <f>Speed!B727</f>
        <v>9.8416666670000001</v>
      </c>
      <c r="D727" s="9">
        <f>Odometer!A727</f>
        <v>45701.289930555555</v>
      </c>
      <c r="E727" s="9">
        <f t="shared" si="90"/>
        <v>45701.289930555555</v>
      </c>
      <c r="F727" s="2">
        <f>Odometer!B727</f>
        <v>428755880</v>
      </c>
      <c r="G727" s="2">
        <f t="shared" si="91"/>
        <v>3</v>
      </c>
      <c r="H727" s="2">
        <f>SUM($G$2:G727)</f>
        <v>5985</v>
      </c>
      <c r="I727" s="10">
        <f t="shared" si="92"/>
        <v>45701.2890625</v>
      </c>
      <c r="J727" s="10">
        <f t="shared" si="93"/>
        <v>45701.2890625</v>
      </c>
      <c r="K727" s="3">
        <f t="shared" si="95"/>
        <v>5489</v>
      </c>
      <c r="L727">
        <f t="shared" si="88"/>
        <v>9.8416666670000001</v>
      </c>
      <c r="M727">
        <f t="shared" si="94"/>
        <v>35.4300000012</v>
      </c>
    </row>
    <row r="728" spans="1:13" x14ac:dyDescent="0.25">
      <c r="A728" s="9">
        <f>Speed!A728</f>
        <v>45701.2890625</v>
      </c>
      <c r="B728" s="9">
        <f t="shared" si="89"/>
        <v>45701.2890625</v>
      </c>
      <c r="C728" s="2">
        <f>Speed!B728</f>
        <v>9.8249999999999993</v>
      </c>
      <c r="D728" s="9">
        <f>Odometer!A728</f>
        <v>45701.289942129632</v>
      </c>
      <c r="E728" s="9">
        <f t="shared" si="90"/>
        <v>45701.289942129624</v>
      </c>
      <c r="F728" s="2">
        <f>Odometer!B728</f>
        <v>428755883</v>
      </c>
      <c r="G728" s="2">
        <f t="shared" si="91"/>
        <v>3</v>
      </c>
      <c r="H728" s="2">
        <f>SUM($G$2:G728)</f>
        <v>5988</v>
      </c>
      <c r="I728" s="10">
        <f t="shared" si="92"/>
        <v>45701.2890625</v>
      </c>
      <c r="J728" s="10">
        <f t="shared" si="93"/>
        <v>45701.2890625</v>
      </c>
      <c r="K728" s="3">
        <f t="shared" si="95"/>
        <v>5489</v>
      </c>
      <c r="L728">
        <f t="shared" si="88"/>
        <v>9.8416666670000001</v>
      </c>
      <c r="M728">
        <f t="shared" si="94"/>
        <v>35.4300000012</v>
      </c>
    </row>
    <row r="729" spans="1:13" x14ac:dyDescent="0.25">
      <c r="A729" s="9">
        <f>Speed!A729</f>
        <v>45701.289074074077</v>
      </c>
      <c r="B729" s="9">
        <f t="shared" si="89"/>
        <v>45701.28907407407</v>
      </c>
      <c r="C729" s="2">
        <f>Speed!B729</f>
        <v>9.8333333330000006</v>
      </c>
      <c r="D729" s="9">
        <f>Odometer!A729</f>
        <v>45701.289953703701</v>
      </c>
      <c r="E729" s="9">
        <f t="shared" si="90"/>
        <v>45701.289953703701</v>
      </c>
      <c r="F729" s="2">
        <f>Odometer!B729</f>
        <v>428755886</v>
      </c>
      <c r="G729" s="2">
        <f t="shared" si="91"/>
        <v>4</v>
      </c>
      <c r="H729" s="2">
        <f>SUM($G$2:G729)</f>
        <v>5992</v>
      </c>
      <c r="I729" s="10">
        <f t="shared" si="92"/>
        <v>45701.289074074077</v>
      </c>
      <c r="J729" s="10">
        <f t="shared" si="93"/>
        <v>45701.28907407407</v>
      </c>
      <c r="K729" s="3">
        <f t="shared" si="95"/>
        <v>5503</v>
      </c>
      <c r="L729">
        <f t="shared" si="88"/>
        <v>9.8333333330000006</v>
      </c>
      <c r="M729">
        <f t="shared" si="94"/>
        <v>35.399999998800006</v>
      </c>
    </row>
    <row r="730" spans="1:13" x14ac:dyDescent="0.25">
      <c r="A730" s="9">
        <f>Speed!A730</f>
        <v>45701.289085648146</v>
      </c>
      <c r="B730" s="9">
        <f t="shared" si="89"/>
        <v>45701.289085648146</v>
      </c>
      <c r="C730" s="2">
        <f>Speed!B730</f>
        <v>9.9361111110000007</v>
      </c>
      <c r="D730" s="9">
        <f>Odometer!A730</f>
        <v>45701.289965277778</v>
      </c>
      <c r="E730" s="9">
        <f t="shared" si="90"/>
        <v>45701.289965277778</v>
      </c>
      <c r="F730" s="2">
        <f>Odometer!B730</f>
        <v>428755890</v>
      </c>
      <c r="G730" s="2">
        <f t="shared" si="91"/>
        <v>3</v>
      </c>
      <c r="H730" s="2">
        <f>SUM($G$2:G730)</f>
        <v>5995</v>
      </c>
      <c r="I730" s="10">
        <f t="shared" si="92"/>
        <v>45701.289085648146</v>
      </c>
      <c r="J730" s="10">
        <f t="shared" si="93"/>
        <v>45701.289085648146</v>
      </c>
      <c r="K730" s="3">
        <f t="shared" si="95"/>
        <v>5513</v>
      </c>
      <c r="L730">
        <f t="shared" si="88"/>
        <v>9.9361111110000007</v>
      </c>
      <c r="M730">
        <f t="shared" si="94"/>
        <v>35.769999999600003</v>
      </c>
    </row>
    <row r="731" spans="1:13" x14ac:dyDescent="0.25">
      <c r="A731" s="9">
        <f>Speed!A731</f>
        <v>45701.289097222223</v>
      </c>
      <c r="B731" s="9">
        <f t="shared" si="89"/>
        <v>45701.289097222223</v>
      </c>
      <c r="C731" s="2">
        <f>Speed!B731</f>
        <v>10.019444439999999</v>
      </c>
      <c r="D731" s="9">
        <f>Odometer!A731</f>
        <v>45701.289976851855</v>
      </c>
      <c r="E731" s="9">
        <f t="shared" si="90"/>
        <v>45701.289976851847</v>
      </c>
      <c r="F731" s="2">
        <f>Odometer!B731</f>
        <v>428755893</v>
      </c>
      <c r="G731" s="2">
        <f t="shared" si="91"/>
        <v>4</v>
      </c>
      <c r="H731" s="2">
        <f>SUM($G$2:G731)</f>
        <v>5999</v>
      </c>
      <c r="I731" s="10">
        <f t="shared" si="92"/>
        <v>45701.289097222223</v>
      </c>
      <c r="J731" s="10">
        <f t="shared" si="93"/>
        <v>45701.289097222223</v>
      </c>
      <c r="K731" s="3">
        <f t="shared" si="95"/>
        <v>5522</v>
      </c>
      <c r="L731">
        <f t="shared" si="88"/>
        <v>10.019444439999999</v>
      </c>
      <c r="M731">
        <f t="shared" si="94"/>
        <v>36.069999983999999</v>
      </c>
    </row>
    <row r="732" spans="1:13" x14ac:dyDescent="0.25">
      <c r="A732" s="9">
        <f>Speed!A732</f>
        <v>45701.2891087963</v>
      </c>
      <c r="B732" s="9">
        <f t="shared" si="89"/>
        <v>45701.289108796293</v>
      </c>
      <c r="C732" s="2">
        <f>Speed!B732</f>
        <v>10.08333333</v>
      </c>
      <c r="D732" s="9">
        <f>Odometer!A732</f>
        <v>45701.289988425924</v>
      </c>
      <c r="E732" s="9">
        <f t="shared" si="90"/>
        <v>45701.289988425924</v>
      </c>
      <c r="F732" s="2">
        <f>Odometer!B732</f>
        <v>428755897</v>
      </c>
      <c r="G732" s="2">
        <f t="shared" si="91"/>
        <v>3</v>
      </c>
      <c r="H732" s="2">
        <f>SUM($G$2:G732)</f>
        <v>6002</v>
      </c>
      <c r="I732" s="10">
        <f t="shared" si="92"/>
        <v>45701.2891087963</v>
      </c>
      <c r="J732" s="10">
        <f t="shared" si="93"/>
        <v>45701.289108796293</v>
      </c>
      <c r="K732" s="3">
        <f t="shared" si="95"/>
        <v>5523</v>
      </c>
      <c r="L732">
        <f t="shared" si="88"/>
        <v>10.08333333</v>
      </c>
      <c r="M732">
        <f t="shared" si="94"/>
        <v>36.299999988000003</v>
      </c>
    </row>
    <row r="733" spans="1:13" x14ac:dyDescent="0.25">
      <c r="A733" s="9">
        <f>Speed!A733</f>
        <v>45701.2891087963</v>
      </c>
      <c r="B733" s="9">
        <f t="shared" si="89"/>
        <v>45701.289108796293</v>
      </c>
      <c r="C733" s="2">
        <f>Speed!B733</f>
        <v>10.105555560000001</v>
      </c>
      <c r="D733" s="9">
        <f>Odometer!A733</f>
        <v>45701.29</v>
      </c>
      <c r="E733" s="9">
        <f t="shared" si="90"/>
        <v>45701.29</v>
      </c>
      <c r="F733" s="2">
        <f>Odometer!B733</f>
        <v>428755900</v>
      </c>
      <c r="G733" s="2">
        <f t="shared" si="91"/>
        <v>3</v>
      </c>
      <c r="H733" s="2">
        <f>SUM($G$2:G733)</f>
        <v>6005</v>
      </c>
      <c r="I733" s="10">
        <f t="shared" si="92"/>
        <v>45701.2891087963</v>
      </c>
      <c r="J733" s="10">
        <f t="shared" si="93"/>
        <v>45701.289108796293</v>
      </c>
      <c r="K733" s="3">
        <f t="shared" si="95"/>
        <v>5523</v>
      </c>
      <c r="L733">
        <f t="shared" si="88"/>
        <v>10.08333333</v>
      </c>
      <c r="M733">
        <f t="shared" si="94"/>
        <v>36.299999988000003</v>
      </c>
    </row>
    <row r="734" spans="1:13" x14ac:dyDescent="0.25">
      <c r="A734" s="9">
        <f>Speed!A734</f>
        <v>45701.289120370369</v>
      </c>
      <c r="B734" s="9">
        <f t="shared" si="89"/>
        <v>45701.289120370369</v>
      </c>
      <c r="C734" s="2">
        <f>Speed!B734</f>
        <v>10.23611111</v>
      </c>
      <c r="D734" s="9">
        <f>Odometer!A734</f>
        <v>45701.290011574078</v>
      </c>
      <c r="E734" s="9">
        <f t="shared" si="90"/>
        <v>45701.29001157407</v>
      </c>
      <c r="F734" s="2">
        <f>Odometer!B734</f>
        <v>428755903</v>
      </c>
      <c r="G734" s="2">
        <f t="shared" si="91"/>
        <v>3</v>
      </c>
      <c r="H734" s="2">
        <f>SUM($G$2:G734)</f>
        <v>6008</v>
      </c>
      <c r="I734" s="10">
        <f t="shared" si="92"/>
        <v>45701.289120370369</v>
      </c>
      <c r="J734" s="10">
        <f t="shared" si="93"/>
        <v>45701.289120370369</v>
      </c>
      <c r="K734" s="3" t="e">
        <f t="shared" si="95"/>
        <v>#N/A</v>
      </c>
      <c r="L734">
        <f t="shared" si="88"/>
        <v>10.23611111</v>
      </c>
      <c r="M734">
        <f t="shared" si="94"/>
        <v>36.849999996000001</v>
      </c>
    </row>
    <row r="735" spans="1:13" x14ac:dyDescent="0.25">
      <c r="A735" s="9">
        <f>Speed!A735</f>
        <v>45701.289131944446</v>
      </c>
      <c r="B735" s="9">
        <f t="shared" si="89"/>
        <v>45701.289131944439</v>
      </c>
      <c r="C735" s="2">
        <f>Speed!B735</f>
        <v>10.57777778</v>
      </c>
      <c r="D735" s="9">
        <f>Odometer!A735</f>
        <v>45701.290023148147</v>
      </c>
      <c r="E735" s="9">
        <f t="shared" si="90"/>
        <v>45701.290023148147</v>
      </c>
      <c r="F735" s="2">
        <f>Odometer!B735</f>
        <v>428755906</v>
      </c>
      <c r="G735" s="2">
        <f t="shared" si="91"/>
        <v>3</v>
      </c>
      <c r="H735" s="2">
        <f>SUM($G$2:G735)</f>
        <v>6011</v>
      </c>
      <c r="I735" s="10">
        <f t="shared" si="92"/>
        <v>45701.289131944446</v>
      </c>
      <c r="J735" s="10">
        <f t="shared" si="93"/>
        <v>45701.289131944439</v>
      </c>
      <c r="K735" s="3">
        <f t="shared" si="95"/>
        <v>5555</v>
      </c>
      <c r="L735">
        <f t="shared" si="88"/>
        <v>10.57777778</v>
      </c>
      <c r="M735">
        <f t="shared" si="94"/>
        <v>38.080000007999999</v>
      </c>
    </row>
    <row r="736" spans="1:13" x14ac:dyDescent="0.25">
      <c r="A736" s="9">
        <f>Speed!A736</f>
        <v>45701.289143518516</v>
      </c>
      <c r="B736" s="9">
        <f t="shared" si="89"/>
        <v>45701.289143518516</v>
      </c>
      <c r="C736" s="2">
        <f>Speed!B736</f>
        <v>11.836111109999999</v>
      </c>
      <c r="D736" s="9">
        <f>Odometer!A736</f>
        <v>45701.290034722224</v>
      </c>
      <c r="E736" s="9">
        <f t="shared" si="90"/>
        <v>45701.290034722217</v>
      </c>
      <c r="F736" s="2">
        <f>Odometer!B736</f>
        <v>428755909</v>
      </c>
      <c r="G736" s="2">
        <f t="shared" si="91"/>
        <v>3</v>
      </c>
      <c r="H736" s="2">
        <f>SUM($G$2:G736)</f>
        <v>6014</v>
      </c>
      <c r="I736" s="10">
        <f t="shared" si="92"/>
        <v>45701.289143518516</v>
      </c>
      <c r="J736" s="10">
        <f t="shared" si="93"/>
        <v>45701.289143518516</v>
      </c>
      <c r="K736" s="3">
        <f t="shared" si="95"/>
        <v>5567</v>
      </c>
      <c r="L736">
        <f t="shared" si="88"/>
        <v>11.836111109999999</v>
      </c>
      <c r="M736">
        <f t="shared" si="94"/>
        <v>42.609999995999999</v>
      </c>
    </row>
    <row r="737" spans="1:13" x14ac:dyDescent="0.25">
      <c r="A737" s="9">
        <f>Speed!A737</f>
        <v>45701.289143518516</v>
      </c>
      <c r="B737" s="9">
        <f t="shared" si="89"/>
        <v>45701.289143518516</v>
      </c>
      <c r="C737" s="2">
        <f>Speed!B737</f>
        <v>11.75</v>
      </c>
      <c r="D737" s="9">
        <f>Odometer!A737</f>
        <v>45701.290046296293</v>
      </c>
      <c r="E737" s="9">
        <f t="shared" si="90"/>
        <v>45701.290046296293</v>
      </c>
      <c r="F737" s="2">
        <f>Odometer!B737</f>
        <v>428755912</v>
      </c>
      <c r="G737" s="2">
        <f t="shared" si="91"/>
        <v>5</v>
      </c>
      <c r="H737" s="2">
        <f>SUM($G$2:G737)</f>
        <v>6019</v>
      </c>
      <c r="I737" s="10">
        <f t="shared" si="92"/>
        <v>45701.289143518516</v>
      </c>
      <c r="J737" s="10">
        <f t="shared" si="93"/>
        <v>45701.289143518516</v>
      </c>
      <c r="K737" s="3">
        <f t="shared" si="95"/>
        <v>5567</v>
      </c>
      <c r="L737">
        <f t="shared" si="88"/>
        <v>11.836111109999999</v>
      </c>
      <c r="M737">
        <f t="shared" si="94"/>
        <v>42.609999995999999</v>
      </c>
    </row>
    <row r="738" spans="1:13" x14ac:dyDescent="0.25">
      <c r="A738" s="9">
        <f>Speed!A738</f>
        <v>45701.289155092592</v>
      </c>
      <c r="B738" s="9">
        <f t="shared" si="89"/>
        <v>45701.289155092592</v>
      </c>
      <c r="C738" s="2">
        <f>Speed!B738</f>
        <v>13.01111111</v>
      </c>
      <c r="D738" s="9">
        <f>Odometer!A738</f>
        <v>45701.29005787037</v>
      </c>
      <c r="E738" s="9">
        <f t="shared" si="90"/>
        <v>45701.29005787037</v>
      </c>
      <c r="F738" s="2">
        <f>Odometer!B738</f>
        <v>428755917</v>
      </c>
      <c r="G738" s="2">
        <f t="shared" si="91"/>
        <v>4</v>
      </c>
      <c r="H738" s="2">
        <f>SUM($G$2:G738)</f>
        <v>6023</v>
      </c>
      <c r="I738" s="10">
        <f t="shared" si="92"/>
        <v>45701.289155092592</v>
      </c>
      <c r="J738" s="10">
        <f t="shared" si="93"/>
        <v>45701.289155092592</v>
      </c>
      <c r="K738" s="3">
        <f t="shared" si="95"/>
        <v>5580</v>
      </c>
      <c r="L738">
        <f t="shared" si="88"/>
        <v>13.01111111</v>
      </c>
      <c r="M738">
        <f t="shared" si="94"/>
        <v>46.839999996000003</v>
      </c>
    </row>
    <row r="739" spans="1:13" x14ac:dyDescent="0.25">
      <c r="A739" s="9">
        <f>Speed!A739</f>
        <v>45701.289166666669</v>
      </c>
      <c r="B739" s="9">
        <f t="shared" si="89"/>
        <v>45701.289166666662</v>
      </c>
      <c r="C739" s="2">
        <f>Speed!B739</f>
        <v>14.05833333</v>
      </c>
      <c r="D739" s="9">
        <f>Odometer!A739</f>
        <v>45701.290069444447</v>
      </c>
      <c r="E739" s="9">
        <f t="shared" si="90"/>
        <v>45701.29006944444</v>
      </c>
      <c r="F739" s="2">
        <f>Odometer!B739</f>
        <v>428755921</v>
      </c>
      <c r="G739" s="2">
        <f t="shared" si="91"/>
        <v>2</v>
      </c>
      <c r="H739" s="2">
        <f>SUM($G$2:G739)</f>
        <v>6025</v>
      </c>
      <c r="I739" s="10">
        <f t="shared" si="92"/>
        <v>45701.289166666669</v>
      </c>
      <c r="J739" s="10">
        <f t="shared" si="93"/>
        <v>45701.289166666662</v>
      </c>
      <c r="K739" s="3">
        <f t="shared" si="95"/>
        <v>5596</v>
      </c>
      <c r="L739">
        <f t="shared" si="88"/>
        <v>14.05833333</v>
      </c>
      <c r="M739">
        <f t="shared" si="94"/>
        <v>50.609999987999998</v>
      </c>
    </row>
    <row r="740" spans="1:13" x14ac:dyDescent="0.25">
      <c r="A740" s="9">
        <f>Speed!A740</f>
        <v>45701.289178240739</v>
      </c>
      <c r="B740" s="9">
        <f t="shared" si="89"/>
        <v>45701.289178240739</v>
      </c>
      <c r="C740" s="2">
        <f>Speed!B740</f>
        <v>15</v>
      </c>
      <c r="D740" s="9">
        <f>Odometer!A740</f>
        <v>45701.290069444447</v>
      </c>
      <c r="E740" s="9">
        <f t="shared" si="90"/>
        <v>45701.29006944444</v>
      </c>
      <c r="F740" s="2">
        <f>Odometer!B740</f>
        <v>428755923</v>
      </c>
      <c r="G740" s="2">
        <f t="shared" si="91"/>
        <v>4</v>
      </c>
      <c r="H740" s="2">
        <f>SUM($G$2:G740)</f>
        <v>6029</v>
      </c>
      <c r="I740" s="10">
        <f t="shared" si="92"/>
        <v>45701.289178240739</v>
      </c>
      <c r="J740" s="10">
        <f t="shared" si="93"/>
        <v>45701.289178240739</v>
      </c>
      <c r="K740" s="3">
        <f t="shared" si="95"/>
        <v>5610</v>
      </c>
      <c r="L740">
        <f t="shared" si="88"/>
        <v>15</v>
      </c>
      <c r="M740">
        <f t="shared" si="94"/>
        <v>54</v>
      </c>
    </row>
    <row r="741" spans="1:13" x14ac:dyDescent="0.25">
      <c r="A741" s="9">
        <f>Speed!A741</f>
        <v>45701.289178240739</v>
      </c>
      <c r="B741" s="9">
        <f t="shared" si="89"/>
        <v>45701.289178240739</v>
      </c>
      <c r="C741" s="2">
        <f>Speed!B741</f>
        <v>15.505555559999999</v>
      </c>
      <c r="D741" s="9">
        <f>Odometer!A741</f>
        <v>45701.290081018517</v>
      </c>
      <c r="E741" s="9">
        <f t="shared" si="90"/>
        <v>45701.290081018517</v>
      </c>
      <c r="F741" s="2">
        <f>Odometer!B741</f>
        <v>428755927</v>
      </c>
      <c r="G741" s="2">
        <f t="shared" si="91"/>
        <v>6</v>
      </c>
      <c r="H741" s="2">
        <f>SUM($G$2:G741)</f>
        <v>6035</v>
      </c>
      <c r="I741" s="10">
        <f t="shared" si="92"/>
        <v>45701.289178240739</v>
      </c>
      <c r="J741" s="10">
        <f t="shared" si="93"/>
        <v>45701.289178240739</v>
      </c>
      <c r="K741" s="3">
        <f t="shared" si="95"/>
        <v>5610</v>
      </c>
      <c r="L741">
        <f t="shared" si="88"/>
        <v>15</v>
      </c>
      <c r="M741">
        <f t="shared" si="94"/>
        <v>54</v>
      </c>
    </row>
    <row r="742" spans="1:13" x14ac:dyDescent="0.25">
      <c r="A742" s="9">
        <f>Speed!A742</f>
        <v>45701.289189814815</v>
      </c>
      <c r="B742" s="9">
        <f t="shared" si="89"/>
        <v>45701.289189814815</v>
      </c>
      <c r="C742" s="2">
        <f>Speed!B742</f>
        <v>15.55</v>
      </c>
      <c r="D742" s="9">
        <f>Odometer!A742</f>
        <v>45701.290081018517</v>
      </c>
      <c r="E742" s="9">
        <f t="shared" si="90"/>
        <v>45701.290081018517</v>
      </c>
      <c r="F742" s="2">
        <f>Odometer!B742</f>
        <v>428755933</v>
      </c>
      <c r="G742" s="2">
        <f t="shared" si="91"/>
        <v>1</v>
      </c>
      <c r="H742" s="2">
        <f>SUM($G$2:G742)</f>
        <v>6036</v>
      </c>
      <c r="I742" s="10">
        <f t="shared" si="92"/>
        <v>45701.289189814815</v>
      </c>
      <c r="J742" s="10">
        <f t="shared" si="93"/>
        <v>45701.289189814815</v>
      </c>
      <c r="K742" s="3">
        <f t="shared" si="95"/>
        <v>5625</v>
      </c>
      <c r="L742">
        <f t="shared" si="88"/>
        <v>15.55</v>
      </c>
      <c r="M742">
        <f t="shared" si="94"/>
        <v>55.980000000000004</v>
      </c>
    </row>
    <row r="743" spans="1:13" x14ac:dyDescent="0.25">
      <c r="A743" s="9">
        <f>Speed!A743</f>
        <v>45701.289201388892</v>
      </c>
      <c r="B743" s="9">
        <f t="shared" si="89"/>
        <v>45701.289201388885</v>
      </c>
      <c r="C743" s="2">
        <f>Speed!B743</f>
        <v>15.85</v>
      </c>
      <c r="D743" s="9">
        <f>Odometer!A743</f>
        <v>45701.290092592593</v>
      </c>
      <c r="E743" s="9">
        <f t="shared" si="90"/>
        <v>45701.290092592593</v>
      </c>
      <c r="F743" s="2">
        <f>Odometer!B743</f>
        <v>428755934</v>
      </c>
      <c r="G743" s="2">
        <f t="shared" si="91"/>
        <v>7</v>
      </c>
      <c r="H743" s="2">
        <f>SUM($G$2:G743)</f>
        <v>6043</v>
      </c>
      <c r="I743" s="10">
        <f t="shared" si="92"/>
        <v>45701.289201388892</v>
      </c>
      <c r="J743" s="10">
        <f t="shared" si="93"/>
        <v>45701.289201388885</v>
      </c>
      <c r="K743" s="3">
        <f t="shared" si="95"/>
        <v>5642</v>
      </c>
      <c r="L743">
        <f t="shared" si="88"/>
        <v>15.85</v>
      </c>
      <c r="M743">
        <f t="shared" si="94"/>
        <v>57.06</v>
      </c>
    </row>
    <row r="744" spans="1:13" x14ac:dyDescent="0.25">
      <c r="A744" s="9">
        <f>Speed!A744</f>
        <v>45701.289201388892</v>
      </c>
      <c r="B744" s="9">
        <f t="shared" si="89"/>
        <v>45701.289201388885</v>
      </c>
      <c r="C744" s="2">
        <f>Speed!B744</f>
        <v>16.205555560000001</v>
      </c>
      <c r="D744" s="9">
        <f>Odometer!A744</f>
        <v>45701.29010416667</v>
      </c>
      <c r="E744" s="9">
        <f t="shared" si="90"/>
        <v>45701.290104166663</v>
      </c>
      <c r="F744" s="2">
        <f>Odometer!B744</f>
        <v>428755941</v>
      </c>
      <c r="G744" s="2">
        <f t="shared" si="91"/>
        <v>6</v>
      </c>
      <c r="H744" s="2">
        <f>SUM($G$2:G744)</f>
        <v>6049</v>
      </c>
      <c r="I744" s="10">
        <f t="shared" si="92"/>
        <v>45701.289201388892</v>
      </c>
      <c r="J744" s="10">
        <f t="shared" si="93"/>
        <v>45701.289201388885</v>
      </c>
      <c r="K744" s="3">
        <f t="shared" si="95"/>
        <v>5642</v>
      </c>
      <c r="L744">
        <f t="shared" si="88"/>
        <v>15.85</v>
      </c>
      <c r="M744">
        <f t="shared" si="94"/>
        <v>57.06</v>
      </c>
    </row>
    <row r="745" spans="1:13" x14ac:dyDescent="0.25">
      <c r="A745" s="9">
        <f>Speed!A745</f>
        <v>45701.289212962962</v>
      </c>
      <c r="B745" s="9">
        <f t="shared" si="89"/>
        <v>45701.289212962962</v>
      </c>
      <c r="C745" s="2">
        <f>Speed!B745</f>
        <v>16.21388889</v>
      </c>
      <c r="D745" s="9">
        <f>Odometer!A745</f>
        <v>45701.29011574074</v>
      </c>
      <c r="E745" s="9">
        <f t="shared" si="90"/>
        <v>45701.29011574074</v>
      </c>
      <c r="F745" s="2">
        <f>Odometer!B745</f>
        <v>428755947</v>
      </c>
      <c r="G745" s="2">
        <f t="shared" si="91"/>
        <v>8</v>
      </c>
      <c r="H745" s="2">
        <f>SUM($G$2:G745)</f>
        <v>6057</v>
      </c>
      <c r="I745" s="10">
        <f t="shared" si="92"/>
        <v>45701.289212962962</v>
      </c>
      <c r="J745" s="10">
        <f t="shared" si="93"/>
        <v>45701.289212962962</v>
      </c>
      <c r="K745" s="3">
        <f t="shared" si="95"/>
        <v>5659</v>
      </c>
      <c r="L745">
        <f t="shared" si="88"/>
        <v>16.21388889</v>
      </c>
      <c r="M745">
        <f t="shared" si="94"/>
        <v>58.370000003999998</v>
      </c>
    </row>
    <row r="746" spans="1:13" x14ac:dyDescent="0.25">
      <c r="A746" s="9">
        <f>Speed!A746</f>
        <v>45701.289224537039</v>
      </c>
      <c r="B746" s="9">
        <f t="shared" si="89"/>
        <v>45701.289224537031</v>
      </c>
      <c r="C746" s="2">
        <f>Speed!B746</f>
        <v>16.283333330000001</v>
      </c>
      <c r="D746" s="9">
        <f>Odometer!A746</f>
        <v>45701.290127314816</v>
      </c>
      <c r="E746" s="9">
        <f t="shared" si="90"/>
        <v>45701.290127314809</v>
      </c>
      <c r="F746" s="2">
        <f>Odometer!B746</f>
        <v>428755955</v>
      </c>
      <c r="G746" s="2">
        <f t="shared" si="91"/>
        <v>8</v>
      </c>
      <c r="H746" s="2">
        <f>SUM($G$2:G746)</f>
        <v>6065</v>
      </c>
      <c r="I746" s="10">
        <f t="shared" si="92"/>
        <v>45701.289224537039</v>
      </c>
      <c r="J746" s="10">
        <f t="shared" si="93"/>
        <v>45701.289224537031</v>
      </c>
      <c r="K746" s="3">
        <f t="shared" si="95"/>
        <v>5675</v>
      </c>
      <c r="L746">
        <f t="shared" si="88"/>
        <v>16.283333330000001</v>
      </c>
      <c r="M746">
        <f t="shared" si="94"/>
        <v>58.619999988000004</v>
      </c>
    </row>
    <row r="747" spans="1:13" x14ac:dyDescent="0.25">
      <c r="A747" s="9">
        <f>Speed!A747</f>
        <v>45701.289236111108</v>
      </c>
      <c r="B747" s="9">
        <f t="shared" si="89"/>
        <v>45701.289236111108</v>
      </c>
      <c r="C747" s="2">
        <f>Speed!B747</f>
        <v>16.19166667</v>
      </c>
      <c r="D747" s="9">
        <f>Odometer!A747</f>
        <v>45701.290127314816</v>
      </c>
      <c r="E747" s="9">
        <f t="shared" si="90"/>
        <v>45701.290127314809</v>
      </c>
      <c r="F747" s="2">
        <f>Odometer!B747</f>
        <v>428755963</v>
      </c>
      <c r="G747" s="2">
        <f t="shared" si="91"/>
        <v>9</v>
      </c>
      <c r="H747" s="2">
        <f>SUM($G$2:G747)</f>
        <v>6074</v>
      </c>
      <c r="I747" s="10">
        <f t="shared" si="92"/>
        <v>45701.289236111108</v>
      </c>
      <c r="J747" s="10">
        <f t="shared" si="93"/>
        <v>45701.289236111108</v>
      </c>
      <c r="K747" s="3">
        <f t="shared" si="95"/>
        <v>5691</v>
      </c>
      <c r="L747">
        <f t="shared" si="88"/>
        <v>16.19166667</v>
      </c>
      <c r="M747">
        <f t="shared" si="94"/>
        <v>58.290000012</v>
      </c>
    </row>
    <row r="748" spans="1:13" x14ac:dyDescent="0.25">
      <c r="A748" s="9">
        <f>Speed!A748</f>
        <v>45701.289247685185</v>
      </c>
      <c r="B748" s="9">
        <f t="shared" si="89"/>
        <v>45701.289247685185</v>
      </c>
      <c r="C748" s="2">
        <f>Speed!B748</f>
        <v>16.05277778</v>
      </c>
      <c r="D748" s="9">
        <f>Odometer!A748</f>
        <v>45701.290150462963</v>
      </c>
      <c r="E748" s="9">
        <f t="shared" si="90"/>
        <v>45701.290150462963</v>
      </c>
      <c r="F748" s="2">
        <f>Odometer!B748</f>
        <v>428755972</v>
      </c>
      <c r="G748" s="2">
        <f t="shared" si="91"/>
        <v>7</v>
      </c>
      <c r="H748" s="2">
        <f>SUM($G$2:G748)</f>
        <v>6081</v>
      </c>
      <c r="I748" s="10">
        <f t="shared" si="92"/>
        <v>45701.289247685185</v>
      </c>
      <c r="J748" s="10">
        <f t="shared" si="93"/>
        <v>45701.289247685185</v>
      </c>
      <c r="K748" s="3">
        <f t="shared" si="95"/>
        <v>5692</v>
      </c>
      <c r="L748">
        <f t="shared" si="88"/>
        <v>16.05277778</v>
      </c>
      <c r="M748">
        <f t="shared" si="94"/>
        <v>57.790000008</v>
      </c>
    </row>
    <row r="749" spans="1:13" x14ac:dyDescent="0.25">
      <c r="A749" s="9">
        <f>Speed!A749</f>
        <v>45701.289247685185</v>
      </c>
      <c r="B749" s="9">
        <f t="shared" si="89"/>
        <v>45701.289247685185</v>
      </c>
      <c r="C749" s="2">
        <f>Speed!B749</f>
        <v>15.98611111</v>
      </c>
      <c r="D749" s="9">
        <f>Odometer!A749</f>
        <v>45701.290162037039</v>
      </c>
      <c r="E749" s="9">
        <f t="shared" si="90"/>
        <v>45701.290162037032</v>
      </c>
      <c r="F749" s="2">
        <f>Odometer!B749</f>
        <v>428755979</v>
      </c>
      <c r="G749" s="2">
        <f t="shared" si="91"/>
        <v>9</v>
      </c>
      <c r="H749" s="2">
        <f>SUM($G$2:G749)</f>
        <v>6090</v>
      </c>
      <c r="I749" s="10">
        <f t="shared" si="92"/>
        <v>45701.289247685185</v>
      </c>
      <c r="J749" s="10">
        <f t="shared" si="93"/>
        <v>45701.289247685185</v>
      </c>
      <c r="K749" s="3">
        <f t="shared" si="95"/>
        <v>5692</v>
      </c>
      <c r="L749">
        <f t="shared" si="88"/>
        <v>16.05277778</v>
      </c>
      <c r="M749">
        <f t="shared" si="94"/>
        <v>57.790000008</v>
      </c>
    </row>
    <row r="750" spans="1:13" x14ac:dyDescent="0.25">
      <c r="A750" s="9">
        <f>Speed!A750</f>
        <v>45701.289259259262</v>
      </c>
      <c r="B750" s="9">
        <f t="shared" si="89"/>
        <v>45701.289259259254</v>
      </c>
      <c r="C750" s="2">
        <f>Speed!B750</f>
        <v>15.994444440000001</v>
      </c>
      <c r="D750" s="9">
        <f>Odometer!A750</f>
        <v>45701.290173611109</v>
      </c>
      <c r="E750" s="9">
        <f t="shared" si="90"/>
        <v>45701.290173611109</v>
      </c>
      <c r="F750" s="2">
        <f>Odometer!B750</f>
        <v>428755988</v>
      </c>
      <c r="G750" s="2">
        <f t="shared" si="91"/>
        <v>10</v>
      </c>
      <c r="H750" s="2">
        <f>SUM($G$2:G750)</f>
        <v>6100</v>
      </c>
      <c r="I750" s="10">
        <f t="shared" si="92"/>
        <v>45701.289259259262</v>
      </c>
      <c r="J750" s="10">
        <f t="shared" si="93"/>
        <v>45701.289259259254</v>
      </c>
      <c r="K750" s="3">
        <f t="shared" si="95"/>
        <v>5722</v>
      </c>
      <c r="L750">
        <f t="shared" si="88"/>
        <v>15.994444440000001</v>
      </c>
      <c r="M750">
        <f t="shared" si="94"/>
        <v>57.579999984000004</v>
      </c>
    </row>
    <row r="751" spans="1:13" x14ac:dyDescent="0.25">
      <c r="A751" s="9">
        <f>Speed!A751</f>
        <v>45701.289270833331</v>
      </c>
      <c r="B751" s="9">
        <f t="shared" si="89"/>
        <v>45701.289270833331</v>
      </c>
      <c r="C751" s="2">
        <f>Speed!B751</f>
        <v>15.866666670000001</v>
      </c>
      <c r="D751" s="9">
        <f>Odometer!A751</f>
        <v>45701.290185185186</v>
      </c>
      <c r="E751" s="9">
        <f t="shared" si="90"/>
        <v>45701.290185185186</v>
      </c>
      <c r="F751" s="2">
        <f>Odometer!B751</f>
        <v>428755998</v>
      </c>
      <c r="G751" s="2">
        <f t="shared" si="91"/>
        <v>9</v>
      </c>
      <c r="H751" s="2">
        <f>SUM($G$2:G751)</f>
        <v>6109</v>
      </c>
      <c r="I751" s="10">
        <f t="shared" si="92"/>
        <v>45701.289270833331</v>
      </c>
      <c r="J751" s="10">
        <f t="shared" si="93"/>
        <v>45701.289270833331</v>
      </c>
      <c r="K751" s="3">
        <f t="shared" si="95"/>
        <v>5723</v>
      </c>
      <c r="L751">
        <f t="shared" si="88"/>
        <v>15.866666670000001</v>
      </c>
      <c r="M751">
        <f t="shared" si="94"/>
        <v>57.120000012000006</v>
      </c>
    </row>
    <row r="752" spans="1:13" x14ac:dyDescent="0.25">
      <c r="A752" s="9">
        <f>Speed!A752</f>
        <v>45701.289270833331</v>
      </c>
      <c r="B752" s="9">
        <f t="shared" si="89"/>
        <v>45701.289270833331</v>
      </c>
      <c r="C752" s="2">
        <f>Speed!B752</f>
        <v>15.788888890000001</v>
      </c>
      <c r="D752" s="9">
        <f>Odometer!A752</f>
        <v>45701.290196759262</v>
      </c>
      <c r="E752" s="9">
        <f t="shared" si="90"/>
        <v>45701.290196759255</v>
      </c>
      <c r="F752" s="2">
        <f>Odometer!B752</f>
        <v>428756007</v>
      </c>
      <c r="G752" s="2">
        <f t="shared" si="91"/>
        <v>12</v>
      </c>
      <c r="H752" s="2">
        <f>SUM($G$2:G752)</f>
        <v>6121</v>
      </c>
      <c r="I752" s="10">
        <f t="shared" si="92"/>
        <v>45701.289270833331</v>
      </c>
      <c r="J752" s="10">
        <f t="shared" si="93"/>
        <v>45701.289270833331</v>
      </c>
      <c r="K752" s="3">
        <f t="shared" si="95"/>
        <v>5723</v>
      </c>
      <c r="L752">
        <f t="shared" si="88"/>
        <v>15.866666670000001</v>
      </c>
      <c r="M752">
        <f t="shared" si="94"/>
        <v>57.120000012000006</v>
      </c>
    </row>
    <row r="753" spans="1:13" x14ac:dyDescent="0.25">
      <c r="A753" s="9">
        <f>Speed!A753</f>
        <v>45701.289293981485</v>
      </c>
      <c r="B753" s="9">
        <f t="shared" si="89"/>
        <v>45701.289293981477</v>
      </c>
      <c r="C753" s="2">
        <f>Speed!B753</f>
        <v>15.705555560000001</v>
      </c>
      <c r="D753" s="9">
        <f>Odometer!A753</f>
        <v>45701.290208333332</v>
      </c>
      <c r="E753" s="9">
        <f t="shared" si="90"/>
        <v>45701.290208333332</v>
      </c>
      <c r="F753" s="2">
        <f>Odometer!B753</f>
        <v>428756019</v>
      </c>
      <c r="G753" s="2">
        <f t="shared" si="91"/>
        <v>9</v>
      </c>
      <c r="H753" s="2">
        <f>SUM($G$2:G753)</f>
        <v>6130</v>
      </c>
      <c r="I753" s="10">
        <f t="shared" si="92"/>
        <v>45701.289293981485</v>
      </c>
      <c r="J753" s="10">
        <f t="shared" si="93"/>
        <v>45701.289293981477</v>
      </c>
      <c r="K753" s="3">
        <f t="shared" si="95"/>
        <v>5771</v>
      </c>
      <c r="L753">
        <f t="shared" si="88"/>
        <v>15.705555560000001</v>
      </c>
      <c r="M753">
        <f t="shared" si="94"/>
        <v>56.540000016</v>
      </c>
    </row>
    <row r="754" spans="1:13" x14ac:dyDescent="0.25">
      <c r="A754" s="9">
        <f>Speed!A754</f>
        <v>45701.289305555554</v>
      </c>
      <c r="B754" s="9">
        <f t="shared" si="89"/>
        <v>45701.289305555554</v>
      </c>
      <c r="C754" s="2">
        <f>Speed!B754</f>
        <v>15.597222220000001</v>
      </c>
      <c r="D754" s="9">
        <f>Odometer!A754</f>
        <v>45701.290219907409</v>
      </c>
      <c r="E754" s="9">
        <f t="shared" si="90"/>
        <v>45701.290219907409</v>
      </c>
      <c r="F754" s="2">
        <f>Odometer!B754</f>
        <v>428756028</v>
      </c>
      <c r="G754" s="2">
        <f t="shared" si="91"/>
        <v>12</v>
      </c>
      <c r="H754" s="2">
        <f>SUM($G$2:G754)</f>
        <v>6142</v>
      </c>
      <c r="I754" s="10">
        <f t="shared" si="92"/>
        <v>45701.289305555554</v>
      </c>
      <c r="J754" s="10">
        <f t="shared" si="93"/>
        <v>45701.289305555554</v>
      </c>
      <c r="K754" s="3">
        <f t="shared" si="95"/>
        <v>5785</v>
      </c>
      <c r="L754">
        <f t="shared" si="88"/>
        <v>15.597222220000001</v>
      </c>
      <c r="M754">
        <f t="shared" si="94"/>
        <v>56.149999992000005</v>
      </c>
    </row>
    <row r="755" spans="1:13" x14ac:dyDescent="0.25">
      <c r="A755" s="9">
        <f>Speed!A755</f>
        <v>45701.289317129631</v>
      </c>
      <c r="B755" s="9">
        <f t="shared" si="89"/>
        <v>45701.289317129631</v>
      </c>
      <c r="C755" s="2">
        <f>Speed!B755</f>
        <v>15.51111111</v>
      </c>
      <c r="D755" s="9">
        <f>Odometer!A755</f>
        <v>45701.290219907409</v>
      </c>
      <c r="E755" s="9">
        <f t="shared" si="90"/>
        <v>45701.290219907409</v>
      </c>
      <c r="F755" s="2">
        <f>Odometer!B755</f>
        <v>428756040</v>
      </c>
      <c r="G755" s="2">
        <f t="shared" si="91"/>
        <v>12</v>
      </c>
      <c r="H755" s="2">
        <f>SUM($G$2:G755)</f>
        <v>6154</v>
      </c>
      <c r="I755" s="10">
        <f t="shared" si="92"/>
        <v>45701.289317129631</v>
      </c>
      <c r="J755" s="10">
        <f t="shared" si="93"/>
        <v>45701.289317129631</v>
      </c>
      <c r="K755" s="3">
        <f t="shared" si="95"/>
        <v>5793</v>
      </c>
      <c r="L755">
        <f t="shared" si="88"/>
        <v>15.51111111</v>
      </c>
      <c r="M755">
        <f t="shared" si="94"/>
        <v>55.839999996000003</v>
      </c>
    </row>
    <row r="756" spans="1:13" x14ac:dyDescent="0.25">
      <c r="A756" s="9">
        <f>Speed!A756</f>
        <v>45701.289317129631</v>
      </c>
      <c r="B756" s="9">
        <f t="shared" si="89"/>
        <v>45701.289317129631</v>
      </c>
      <c r="C756" s="2">
        <f>Speed!B756</f>
        <v>15.46666667</v>
      </c>
      <c r="D756" s="9">
        <f>Odometer!A756</f>
        <v>45701.290243055555</v>
      </c>
      <c r="E756" s="9">
        <f t="shared" si="90"/>
        <v>45701.290243055555</v>
      </c>
      <c r="F756" s="2">
        <f>Odometer!B756</f>
        <v>428756052</v>
      </c>
      <c r="G756" s="2">
        <f t="shared" si="91"/>
        <v>11</v>
      </c>
      <c r="H756" s="2">
        <f>SUM($G$2:G756)</f>
        <v>6165</v>
      </c>
      <c r="I756" s="10">
        <f t="shared" si="92"/>
        <v>45701.289317129631</v>
      </c>
      <c r="J756" s="10">
        <f t="shared" si="93"/>
        <v>45701.289317129631</v>
      </c>
      <c r="K756" s="3">
        <f t="shared" si="95"/>
        <v>5793</v>
      </c>
      <c r="L756">
        <f t="shared" si="88"/>
        <v>15.51111111</v>
      </c>
      <c r="M756">
        <f t="shared" si="94"/>
        <v>55.839999996000003</v>
      </c>
    </row>
    <row r="757" spans="1:13" x14ac:dyDescent="0.25">
      <c r="A757" s="9">
        <f>Speed!A757</f>
        <v>45701.289317129631</v>
      </c>
      <c r="B757" s="9">
        <f t="shared" si="89"/>
        <v>45701.289317129631</v>
      </c>
      <c r="C757" s="2">
        <f>Speed!B757</f>
        <v>15.42222222</v>
      </c>
      <c r="D757" s="9">
        <f>Odometer!A757</f>
        <v>45701.290254629632</v>
      </c>
      <c r="E757" s="9">
        <f t="shared" si="90"/>
        <v>45701.290254629625</v>
      </c>
      <c r="F757" s="2">
        <f>Odometer!B757</f>
        <v>428756063</v>
      </c>
      <c r="G757" s="2">
        <f t="shared" si="91"/>
        <v>12</v>
      </c>
      <c r="H757" s="2">
        <f>SUM($G$2:G757)</f>
        <v>6177</v>
      </c>
      <c r="I757" s="10">
        <f t="shared" si="92"/>
        <v>45701.289317129631</v>
      </c>
      <c r="J757" s="10">
        <f t="shared" si="93"/>
        <v>45701.289317129631</v>
      </c>
      <c r="K757" s="3">
        <f t="shared" si="95"/>
        <v>5793</v>
      </c>
      <c r="L757">
        <f t="shared" si="88"/>
        <v>15.51111111</v>
      </c>
      <c r="M757">
        <f t="shared" si="94"/>
        <v>55.839999996000003</v>
      </c>
    </row>
    <row r="758" spans="1:13" x14ac:dyDescent="0.25">
      <c r="A758" s="9">
        <f>Speed!A758</f>
        <v>45701.2893287037</v>
      </c>
      <c r="B758" s="9">
        <f t="shared" si="89"/>
        <v>45701.2893287037</v>
      </c>
      <c r="C758" s="2">
        <f>Speed!B758</f>
        <v>15.377777780000001</v>
      </c>
      <c r="D758" s="9">
        <f>Odometer!A758</f>
        <v>45701.290266203701</v>
      </c>
      <c r="E758" s="9">
        <f t="shared" si="90"/>
        <v>45701.290266203701</v>
      </c>
      <c r="F758" s="2">
        <f>Odometer!B758</f>
        <v>428756075</v>
      </c>
      <c r="G758" s="2">
        <f t="shared" si="91"/>
        <v>12</v>
      </c>
      <c r="H758" s="2">
        <f>SUM($G$2:G758)</f>
        <v>6189</v>
      </c>
      <c r="I758" s="10">
        <f t="shared" si="92"/>
        <v>45701.2893287037</v>
      </c>
      <c r="J758" s="10">
        <f t="shared" si="93"/>
        <v>45701.2893287037</v>
      </c>
      <c r="K758" s="3">
        <f t="shared" si="95"/>
        <v>5816</v>
      </c>
      <c r="L758">
        <f t="shared" si="88"/>
        <v>15.377777780000001</v>
      </c>
      <c r="M758">
        <f t="shared" si="94"/>
        <v>55.360000008</v>
      </c>
    </row>
    <row r="759" spans="1:13" x14ac:dyDescent="0.25">
      <c r="A759" s="9">
        <f>Speed!A759</f>
        <v>45701.289340277777</v>
      </c>
      <c r="B759" s="9">
        <f t="shared" si="89"/>
        <v>45701.289340277777</v>
      </c>
      <c r="C759" s="2">
        <f>Speed!B759</f>
        <v>15.16111111</v>
      </c>
      <c r="D759" s="9">
        <f>Odometer!A759</f>
        <v>45701.290277777778</v>
      </c>
      <c r="E759" s="9">
        <f t="shared" si="90"/>
        <v>45701.290277777778</v>
      </c>
      <c r="F759" s="2">
        <f>Odometer!B759</f>
        <v>428756087</v>
      </c>
      <c r="G759" s="2">
        <f t="shared" si="91"/>
        <v>1</v>
      </c>
      <c r="H759" s="2">
        <f>SUM($G$2:G759)</f>
        <v>6190</v>
      </c>
      <c r="I759" s="10">
        <f t="shared" si="92"/>
        <v>45701.289340277777</v>
      </c>
      <c r="J759" s="10">
        <f t="shared" si="93"/>
        <v>45701.289340277777</v>
      </c>
      <c r="K759" s="3">
        <f t="shared" si="95"/>
        <v>5817</v>
      </c>
      <c r="L759">
        <f t="shared" si="88"/>
        <v>15.16111111</v>
      </c>
      <c r="M759">
        <f t="shared" si="94"/>
        <v>54.579999996000005</v>
      </c>
    </row>
    <row r="760" spans="1:13" x14ac:dyDescent="0.25">
      <c r="A760" s="9">
        <f>Speed!A760</f>
        <v>45701.289340277777</v>
      </c>
      <c r="B760" s="9">
        <f t="shared" si="89"/>
        <v>45701.289340277777</v>
      </c>
      <c r="C760" s="2">
        <f>Speed!B760</f>
        <v>15.130555559999999</v>
      </c>
      <c r="D760" s="9">
        <f>Odometer!A760</f>
        <v>45701.290277777778</v>
      </c>
      <c r="E760" s="9">
        <f t="shared" si="90"/>
        <v>45701.290277777778</v>
      </c>
      <c r="F760" s="2">
        <f>Odometer!B760</f>
        <v>428756088</v>
      </c>
      <c r="G760" s="2">
        <f t="shared" si="91"/>
        <v>1</v>
      </c>
      <c r="H760" s="2">
        <f>SUM($G$2:G760)</f>
        <v>6191</v>
      </c>
      <c r="I760" s="10">
        <f t="shared" si="92"/>
        <v>45701.289340277777</v>
      </c>
      <c r="J760" s="10">
        <f t="shared" si="93"/>
        <v>45701.289340277777</v>
      </c>
      <c r="K760" s="3">
        <f t="shared" si="95"/>
        <v>5817</v>
      </c>
      <c r="L760">
        <f t="shared" si="88"/>
        <v>15.16111111</v>
      </c>
      <c r="M760">
        <f t="shared" si="94"/>
        <v>54.579999996000005</v>
      </c>
    </row>
    <row r="761" spans="1:13" x14ac:dyDescent="0.25">
      <c r="A761" s="9">
        <f>Speed!A761</f>
        <v>45701.289351851854</v>
      </c>
      <c r="B761" s="9">
        <f t="shared" si="89"/>
        <v>45701.289351851847</v>
      </c>
      <c r="C761" s="2">
        <f>Speed!B761</f>
        <v>14.58888889</v>
      </c>
      <c r="D761" s="9">
        <f>Odometer!A761</f>
        <v>45701.290277777778</v>
      </c>
      <c r="E761" s="9">
        <f t="shared" si="90"/>
        <v>45701.290277777778</v>
      </c>
      <c r="F761" s="2">
        <f>Odometer!B761</f>
        <v>428756089</v>
      </c>
      <c r="G761" s="2">
        <f t="shared" si="91"/>
        <v>11</v>
      </c>
      <c r="H761" s="2">
        <f>SUM($G$2:G761)</f>
        <v>6202</v>
      </c>
      <c r="I761" s="10">
        <f t="shared" si="92"/>
        <v>45701.289351851854</v>
      </c>
      <c r="J761" s="10">
        <f t="shared" si="93"/>
        <v>45701.289351851847</v>
      </c>
      <c r="K761" s="3">
        <f t="shared" si="95"/>
        <v>5846</v>
      </c>
      <c r="L761">
        <f t="shared" si="88"/>
        <v>14.58888889</v>
      </c>
      <c r="M761">
        <f t="shared" si="94"/>
        <v>52.520000004000003</v>
      </c>
    </row>
    <row r="762" spans="1:13" x14ac:dyDescent="0.25">
      <c r="A762" s="9">
        <f>Speed!A762</f>
        <v>45701.289363425924</v>
      </c>
      <c r="B762" s="9">
        <f t="shared" si="89"/>
        <v>45701.289363425924</v>
      </c>
      <c r="C762" s="2">
        <f>Speed!B762</f>
        <v>13.936111110000001</v>
      </c>
      <c r="D762" s="9">
        <f>Odometer!A762</f>
        <v>45701.290289351855</v>
      </c>
      <c r="E762" s="9">
        <f t="shared" si="90"/>
        <v>45701.290289351848</v>
      </c>
      <c r="F762" s="2">
        <f>Odometer!B762</f>
        <v>428756100</v>
      </c>
      <c r="G762" s="2">
        <f t="shared" si="91"/>
        <v>14</v>
      </c>
      <c r="H762" s="2">
        <f>SUM($G$2:G762)</f>
        <v>6216</v>
      </c>
      <c r="I762" s="10">
        <f t="shared" si="92"/>
        <v>45701.289363425924</v>
      </c>
      <c r="J762" s="10">
        <f t="shared" si="93"/>
        <v>45701.289363425924</v>
      </c>
      <c r="K762" s="3">
        <f t="shared" si="95"/>
        <v>5851</v>
      </c>
      <c r="L762">
        <f t="shared" si="88"/>
        <v>13.936111110000001</v>
      </c>
      <c r="M762">
        <f t="shared" si="94"/>
        <v>50.169999996000001</v>
      </c>
    </row>
    <row r="763" spans="1:13" x14ac:dyDescent="0.25">
      <c r="A763" s="9">
        <f>Speed!A763</f>
        <v>45701.289363425924</v>
      </c>
      <c r="B763" s="9">
        <f t="shared" si="89"/>
        <v>45701.289363425924</v>
      </c>
      <c r="C763" s="2">
        <f>Speed!B763</f>
        <v>13.644444439999999</v>
      </c>
      <c r="D763" s="9">
        <f>Odometer!A763</f>
        <v>45701.290300925924</v>
      </c>
      <c r="E763" s="9">
        <f t="shared" si="90"/>
        <v>45701.290300925924</v>
      </c>
      <c r="F763" s="2">
        <f>Odometer!B763</f>
        <v>428756114</v>
      </c>
      <c r="G763" s="2">
        <f t="shared" si="91"/>
        <v>11</v>
      </c>
      <c r="H763" s="2">
        <f>SUM($G$2:G763)</f>
        <v>6227</v>
      </c>
      <c r="I763" s="10">
        <f t="shared" si="92"/>
        <v>45701.289363425924</v>
      </c>
      <c r="J763" s="10">
        <f t="shared" si="93"/>
        <v>45701.289363425924</v>
      </c>
      <c r="K763" s="3">
        <f t="shared" si="95"/>
        <v>5851</v>
      </c>
      <c r="L763">
        <f t="shared" si="88"/>
        <v>13.936111110000001</v>
      </c>
      <c r="M763">
        <f t="shared" si="94"/>
        <v>50.169999996000001</v>
      </c>
    </row>
    <row r="764" spans="1:13" x14ac:dyDescent="0.25">
      <c r="A764" s="9">
        <f>Speed!A764</f>
        <v>45701.289375</v>
      </c>
      <c r="B764" s="9">
        <f t="shared" si="89"/>
        <v>45701.289375</v>
      </c>
      <c r="C764" s="2">
        <f>Speed!B764</f>
        <v>13.275</v>
      </c>
      <c r="D764" s="9">
        <f>Odometer!A764</f>
        <v>45701.290312500001</v>
      </c>
      <c r="E764" s="9">
        <f t="shared" si="90"/>
        <v>45701.290312500001</v>
      </c>
      <c r="F764" s="2">
        <f>Odometer!B764</f>
        <v>428756125</v>
      </c>
      <c r="G764" s="2">
        <f t="shared" si="91"/>
        <v>1</v>
      </c>
      <c r="H764" s="2">
        <f>SUM($G$2:G764)</f>
        <v>6228</v>
      </c>
      <c r="I764" s="10">
        <f t="shared" si="92"/>
        <v>45701.289375</v>
      </c>
      <c r="J764" s="10">
        <f t="shared" si="93"/>
        <v>45701.289375</v>
      </c>
      <c r="K764" s="3">
        <f t="shared" si="95"/>
        <v>5860</v>
      </c>
      <c r="L764">
        <f t="shared" si="88"/>
        <v>13.275</v>
      </c>
      <c r="M764">
        <f t="shared" si="94"/>
        <v>47.79</v>
      </c>
    </row>
    <row r="765" spans="1:13" x14ac:dyDescent="0.25">
      <c r="A765" s="9">
        <f>Speed!A765</f>
        <v>45701.289375</v>
      </c>
      <c r="B765" s="9">
        <f t="shared" si="89"/>
        <v>45701.289375</v>
      </c>
      <c r="C765" s="2">
        <f>Speed!B765</f>
        <v>13.222222220000001</v>
      </c>
      <c r="D765" s="9">
        <f>Odometer!A765</f>
        <v>45701.290312500001</v>
      </c>
      <c r="E765" s="9">
        <f t="shared" si="90"/>
        <v>45701.290312500001</v>
      </c>
      <c r="F765" s="2">
        <f>Odometer!B765</f>
        <v>428756126</v>
      </c>
      <c r="G765" s="2">
        <f t="shared" si="91"/>
        <v>13</v>
      </c>
      <c r="H765" s="2">
        <f>SUM($G$2:G765)</f>
        <v>6241</v>
      </c>
      <c r="I765" s="10">
        <f t="shared" si="92"/>
        <v>45701.289375</v>
      </c>
      <c r="J765" s="10">
        <f t="shared" si="93"/>
        <v>45701.289375</v>
      </c>
      <c r="K765" s="3">
        <f t="shared" si="95"/>
        <v>5860</v>
      </c>
      <c r="L765">
        <f t="shared" si="88"/>
        <v>13.275</v>
      </c>
      <c r="M765">
        <f t="shared" si="94"/>
        <v>47.79</v>
      </c>
    </row>
    <row r="766" spans="1:13" x14ac:dyDescent="0.25">
      <c r="A766" s="9">
        <f>Speed!A766</f>
        <v>45701.289386574077</v>
      </c>
      <c r="B766" s="9">
        <f t="shared" si="89"/>
        <v>45701.28938657407</v>
      </c>
      <c r="C766" s="2">
        <f>Speed!B766</f>
        <v>12.51388889</v>
      </c>
      <c r="D766" s="9">
        <f>Odometer!A766</f>
        <v>45701.290324074071</v>
      </c>
      <c r="E766" s="9">
        <f t="shared" si="90"/>
        <v>45701.290324074071</v>
      </c>
      <c r="F766" s="2">
        <f>Odometer!B766</f>
        <v>428756139</v>
      </c>
      <c r="G766" s="2">
        <f t="shared" si="91"/>
        <v>11</v>
      </c>
      <c r="H766" s="2">
        <f>SUM($G$2:G766)</f>
        <v>6252</v>
      </c>
      <c r="I766" s="10">
        <f t="shared" si="92"/>
        <v>45701.289386574077</v>
      </c>
      <c r="J766" s="10">
        <f t="shared" si="93"/>
        <v>45701.28938657407</v>
      </c>
      <c r="K766" s="3">
        <f t="shared" si="95"/>
        <v>5884</v>
      </c>
      <c r="L766">
        <f t="shared" si="88"/>
        <v>12.51388889</v>
      </c>
      <c r="M766">
        <f t="shared" si="94"/>
        <v>45.050000004000005</v>
      </c>
    </row>
    <row r="767" spans="1:13" x14ac:dyDescent="0.25">
      <c r="A767" s="9">
        <f>Speed!A767</f>
        <v>45701.289398148147</v>
      </c>
      <c r="B767" s="9">
        <f t="shared" si="89"/>
        <v>45701.289398148147</v>
      </c>
      <c r="C767" s="2">
        <f>Speed!B767</f>
        <v>11.675000000000001</v>
      </c>
      <c r="D767" s="9">
        <f>Odometer!A767</f>
        <v>45701.290335648147</v>
      </c>
      <c r="E767" s="9">
        <f t="shared" si="90"/>
        <v>45701.290335648147</v>
      </c>
      <c r="F767" s="2">
        <f>Odometer!B767</f>
        <v>428756150</v>
      </c>
      <c r="G767" s="2">
        <f t="shared" si="91"/>
        <v>13</v>
      </c>
      <c r="H767" s="2">
        <f>SUM($G$2:G767)</f>
        <v>6265</v>
      </c>
      <c r="I767" s="10">
        <f t="shared" si="92"/>
        <v>45701.289398148147</v>
      </c>
      <c r="J767" s="10">
        <f t="shared" si="93"/>
        <v>45701.289398148147</v>
      </c>
      <c r="K767" s="3">
        <f t="shared" si="95"/>
        <v>5895</v>
      </c>
      <c r="L767">
        <f t="shared" si="88"/>
        <v>11.675000000000001</v>
      </c>
      <c r="M767">
        <f t="shared" si="94"/>
        <v>42.03</v>
      </c>
    </row>
    <row r="768" spans="1:13" x14ac:dyDescent="0.25">
      <c r="A768" s="9">
        <f>Speed!A768</f>
        <v>45701.289409722223</v>
      </c>
      <c r="B768" s="9">
        <f t="shared" si="89"/>
        <v>45701.289409722223</v>
      </c>
      <c r="C768" s="2">
        <f>Speed!B768</f>
        <v>10.824999999999999</v>
      </c>
      <c r="D768" s="9">
        <f>Odometer!A768</f>
        <v>45701.290347222224</v>
      </c>
      <c r="E768" s="9">
        <f t="shared" si="90"/>
        <v>45701.290347222217</v>
      </c>
      <c r="F768" s="2">
        <f>Odometer!B768</f>
        <v>428756163</v>
      </c>
      <c r="G768" s="2">
        <f t="shared" si="91"/>
        <v>14</v>
      </c>
      <c r="H768" s="2">
        <f>SUM($G$2:G768)</f>
        <v>6279</v>
      </c>
      <c r="I768" s="10">
        <f t="shared" si="92"/>
        <v>45701.289409722223</v>
      </c>
      <c r="J768" s="10">
        <f t="shared" si="93"/>
        <v>45701.289409722223</v>
      </c>
      <c r="K768" s="3">
        <f t="shared" si="95"/>
        <v>5906</v>
      </c>
      <c r="L768">
        <f t="shared" si="88"/>
        <v>10.824999999999999</v>
      </c>
      <c r="M768">
        <f t="shared" si="94"/>
        <v>38.97</v>
      </c>
    </row>
    <row r="769" spans="1:13" x14ac:dyDescent="0.25">
      <c r="A769" s="9">
        <f>Speed!A769</f>
        <v>45701.289421296293</v>
      </c>
      <c r="B769" s="9">
        <f t="shared" si="89"/>
        <v>45701.289421296293</v>
      </c>
      <c r="C769" s="2">
        <f>Speed!B769</f>
        <v>10.002777780000001</v>
      </c>
      <c r="D769" s="9">
        <f>Odometer!A769</f>
        <v>45701.290358796294</v>
      </c>
      <c r="E769" s="9">
        <f t="shared" si="90"/>
        <v>45701.290358796294</v>
      </c>
      <c r="F769" s="2">
        <f>Odometer!B769</f>
        <v>428756177</v>
      </c>
      <c r="G769" s="2">
        <f t="shared" si="91"/>
        <v>11</v>
      </c>
      <c r="H769" s="2">
        <f>SUM($G$2:G769)</f>
        <v>6290</v>
      </c>
      <c r="I769" s="10">
        <f t="shared" si="92"/>
        <v>45701.289421296293</v>
      </c>
      <c r="J769" s="10">
        <f t="shared" si="93"/>
        <v>45701.289421296293</v>
      </c>
      <c r="K769" s="3">
        <f t="shared" si="95"/>
        <v>5916</v>
      </c>
      <c r="L769">
        <f t="shared" si="88"/>
        <v>10.002777780000001</v>
      </c>
      <c r="M769">
        <f t="shared" si="94"/>
        <v>36.010000008000006</v>
      </c>
    </row>
    <row r="770" spans="1:13" x14ac:dyDescent="0.25">
      <c r="A770" s="9">
        <f>Speed!A770</f>
        <v>45701.28943287037</v>
      </c>
      <c r="B770" s="9">
        <f t="shared" si="89"/>
        <v>45701.28943287037</v>
      </c>
      <c r="C770" s="2">
        <f>Speed!B770</f>
        <v>9.3583333329999991</v>
      </c>
      <c r="D770" s="9">
        <f>Odometer!A770</f>
        <v>45701.290370370371</v>
      </c>
      <c r="E770" s="9">
        <f t="shared" si="90"/>
        <v>45701.290370370371</v>
      </c>
      <c r="F770" s="2">
        <f>Odometer!B770</f>
        <v>428756188</v>
      </c>
      <c r="G770" s="2">
        <f t="shared" si="91"/>
        <v>1</v>
      </c>
      <c r="H770" s="2">
        <f>SUM($G$2:G770)</f>
        <v>6291</v>
      </c>
      <c r="I770" s="10">
        <f t="shared" si="92"/>
        <v>45701.28943287037</v>
      </c>
      <c r="J770" s="10">
        <f t="shared" si="93"/>
        <v>45701.28943287037</v>
      </c>
      <c r="K770" s="3">
        <f t="shared" si="95"/>
        <v>5925</v>
      </c>
      <c r="L770">
        <f t="shared" ref="L770:L833" si="96">INDEX($C$2:$C$2000, MATCH(I770,$A$2:$A$2000,0))</f>
        <v>9.3583333329999991</v>
      </c>
      <c r="M770">
        <f t="shared" si="94"/>
        <v>33.689999998799998</v>
      </c>
    </row>
    <row r="771" spans="1:13" x14ac:dyDescent="0.25">
      <c r="A771" s="9">
        <f>Speed!A771</f>
        <v>45701.289444444446</v>
      </c>
      <c r="B771" s="9">
        <f t="shared" ref="B771:B834" si="97">MROUND(A771,"00:00:01")</f>
        <v>45701.289444444439</v>
      </c>
      <c r="C771" s="2">
        <f>Speed!B771</f>
        <v>8.5916666670000001</v>
      </c>
      <c r="D771" s="9">
        <f>Odometer!A771</f>
        <v>45701.290370370371</v>
      </c>
      <c r="E771" s="9">
        <f t="shared" ref="E771:E834" si="98">MROUND(D771,"00:00:01")</f>
        <v>45701.290370370371</v>
      </c>
      <c r="F771" s="2">
        <f>Odometer!B771</f>
        <v>428756189</v>
      </c>
      <c r="G771" s="2">
        <f t="shared" ref="G771:G834" si="99">IF(F772-F771&lt;0,0,F772-F771)</f>
        <v>12</v>
      </c>
      <c r="H771" s="2">
        <f>SUM($G$2:G771)</f>
        <v>6303</v>
      </c>
      <c r="I771" s="10">
        <f t="shared" ref="I771:I834" si="100">A771</f>
        <v>45701.289444444446</v>
      </c>
      <c r="J771" s="10">
        <f t="shared" ref="J771:J834" si="101">MROUND(I771,"0:00:01")</f>
        <v>45701.289444444439</v>
      </c>
      <c r="K771" s="3">
        <f t="shared" si="95"/>
        <v>5933</v>
      </c>
      <c r="L771">
        <f t="shared" si="96"/>
        <v>8.5916666670000001</v>
      </c>
      <c r="M771">
        <f t="shared" ref="M771:M834" si="102">L771*3.6</f>
        <v>30.9300000012</v>
      </c>
    </row>
    <row r="772" spans="1:13" x14ac:dyDescent="0.25">
      <c r="A772" s="9">
        <f>Speed!A772</f>
        <v>45701.289456018516</v>
      </c>
      <c r="B772" s="9">
        <f t="shared" si="97"/>
        <v>45701.289456018516</v>
      </c>
      <c r="C772" s="2">
        <f>Speed!B772</f>
        <v>7.8</v>
      </c>
      <c r="D772" s="9">
        <f>Odometer!A772</f>
        <v>45701.290381944447</v>
      </c>
      <c r="E772" s="9">
        <f t="shared" si="98"/>
        <v>45701.29038194444</v>
      </c>
      <c r="F772" s="2">
        <f>Odometer!B772</f>
        <v>428756201</v>
      </c>
      <c r="G772" s="2">
        <f t="shared" si="99"/>
        <v>7</v>
      </c>
      <c r="H772" s="2">
        <f>SUM($G$2:G772)</f>
        <v>6310</v>
      </c>
      <c r="I772" s="10">
        <f t="shared" si="100"/>
        <v>45701.289456018516</v>
      </c>
      <c r="J772" s="10">
        <f t="shared" si="101"/>
        <v>45701.289456018516</v>
      </c>
      <c r="K772" s="3">
        <f t="shared" ref="K772:K835" si="103">IFERROR(INDEX($H$2:$H$2000,MATCH(J772,$E$2:$E$2000,0)),NA())</f>
        <v>5940</v>
      </c>
      <c r="L772">
        <f t="shared" si="96"/>
        <v>7.8</v>
      </c>
      <c r="M772">
        <f t="shared" si="102"/>
        <v>28.08</v>
      </c>
    </row>
    <row r="773" spans="1:13" x14ac:dyDescent="0.25">
      <c r="A773" s="9">
        <f>Speed!A773</f>
        <v>45701.289467592593</v>
      </c>
      <c r="B773" s="9">
        <f t="shared" si="97"/>
        <v>45701.289467592593</v>
      </c>
      <c r="C773" s="2">
        <f>Speed!B773</f>
        <v>7.0472222220000003</v>
      </c>
      <c r="D773" s="9">
        <f>Odometer!A773</f>
        <v>45701.290381944447</v>
      </c>
      <c r="E773" s="9">
        <f t="shared" si="98"/>
        <v>45701.29038194444</v>
      </c>
      <c r="F773" s="2">
        <f>Odometer!B773</f>
        <v>428756208</v>
      </c>
      <c r="G773" s="2">
        <f t="shared" si="99"/>
        <v>6</v>
      </c>
      <c r="H773" s="2">
        <f>SUM($G$2:G773)</f>
        <v>6316</v>
      </c>
      <c r="I773" s="10">
        <f t="shared" si="100"/>
        <v>45701.289467592593</v>
      </c>
      <c r="J773" s="10">
        <f t="shared" si="101"/>
        <v>45701.289467592593</v>
      </c>
      <c r="K773" s="3">
        <f t="shared" si="103"/>
        <v>5946</v>
      </c>
      <c r="L773">
        <f t="shared" si="96"/>
        <v>7.0472222220000003</v>
      </c>
      <c r="M773">
        <f t="shared" si="102"/>
        <v>25.369999999200001</v>
      </c>
    </row>
    <row r="774" spans="1:13" x14ac:dyDescent="0.25">
      <c r="A774" s="9">
        <f>Speed!A774</f>
        <v>45701.289479166669</v>
      </c>
      <c r="B774" s="9">
        <f t="shared" si="97"/>
        <v>45701.289479166662</v>
      </c>
      <c r="C774" s="2">
        <f>Speed!B774</f>
        <v>6.3277777779999997</v>
      </c>
      <c r="D774" s="9">
        <f>Odometer!A774</f>
        <v>45701.290381944447</v>
      </c>
      <c r="E774" s="9">
        <f t="shared" si="98"/>
        <v>45701.29038194444</v>
      </c>
      <c r="F774" s="2">
        <f>Odometer!B774</f>
        <v>428756214</v>
      </c>
      <c r="G774" s="2">
        <f t="shared" si="99"/>
        <v>1</v>
      </c>
      <c r="H774" s="2">
        <f>SUM($G$2:G774)</f>
        <v>6317</v>
      </c>
      <c r="I774" s="10">
        <f t="shared" si="100"/>
        <v>45701.289479166669</v>
      </c>
      <c r="J774" s="10">
        <f t="shared" si="101"/>
        <v>45701.289479166662</v>
      </c>
      <c r="K774" s="3">
        <f t="shared" si="103"/>
        <v>5953</v>
      </c>
      <c r="L774">
        <f t="shared" si="96"/>
        <v>6.3277777779999997</v>
      </c>
      <c r="M774">
        <f t="shared" si="102"/>
        <v>22.780000000800001</v>
      </c>
    </row>
    <row r="775" spans="1:13" x14ac:dyDescent="0.25">
      <c r="A775" s="9">
        <f>Speed!A775</f>
        <v>45701.289490740739</v>
      </c>
      <c r="B775" s="9">
        <f t="shared" si="97"/>
        <v>45701.289490740739</v>
      </c>
      <c r="C775" s="2">
        <f>Speed!B775</f>
        <v>5.4694444439999996</v>
      </c>
      <c r="D775" s="9">
        <f>Odometer!A775</f>
        <v>45701.290393518517</v>
      </c>
      <c r="E775" s="9">
        <f t="shared" si="98"/>
        <v>45701.290393518517</v>
      </c>
      <c r="F775" s="2">
        <f>Odometer!B775</f>
        <v>428756215</v>
      </c>
      <c r="G775" s="2">
        <f t="shared" si="99"/>
        <v>4</v>
      </c>
      <c r="H775" s="2">
        <f>SUM($G$2:G775)</f>
        <v>6321</v>
      </c>
      <c r="I775" s="10">
        <f t="shared" si="100"/>
        <v>45701.289490740739</v>
      </c>
      <c r="J775" s="10">
        <f t="shared" si="101"/>
        <v>45701.289490740739</v>
      </c>
      <c r="K775" s="3">
        <f t="shared" si="103"/>
        <v>5958</v>
      </c>
      <c r="L775">
        <f t="shared" si="96"/>
        <v>5.4694444439999996</v>
      </c>
      <c r="M775">
        <f t="shared" si="102"/>
        <v>19.689999998399998</v>
      </c>
    </row>
    <row r="776" spans="1:13" x14ac:dyDescent="0.25">
      <c r="A776" s="9">
        <f>Speed!A776</f>
        <v>45701.289502314816</v>
      </c>
      <c r="B776" s="9">
        <f t="shared" si="97"/>
        <v>45701.289502314816</v>
      </c>
      <c r="C776" s="2">
        <f>Speed!B776</f>
        <v>4.625</v>
      </c>
      <c r="D776" s="9">
        <f>Odometer!A776</f>
        <v>45701.290393518517</v>
      </c>
      <c r="E776" s="9">
        <f t="shared" si="98"/>
        <v>45701.290393518517</v>
      </c>
      <c r="F776" s="2">
        <f>Odometer!B776</f>
        <v>428756219</v>
      </c>
      <c r="G776" s="2">
        <f t="shared" si="99"/>
        <v>3</v>
      </c>
      <c r="H776" s="2">
        <f>SUM($G$2:G776)</f>
        <v>6324</v>
      </c>
      <c r="I776" s="10">
        <f t="shared" si="100"/>
        <v>45701.289502314816</v>
      </c>
      <c r="J776" s="10">
        <f t="shared" si="101"/>
        <v>45701.289502314816</v>
      </c>
      <c r="K776" s="3">
        <f t="shared" si="103"/>
        <v>5962</v>
      </c>
      <c r="L776">
        <f t="shared" si="96"/>
        <v>4.625</v>
      </c>
      <c r="M776">
        <f t="shared" si="102"/>
        <v>16.650000000000002</v>
      </c>
    </row>
    <row r="777" spans="1:13" x14ac:dyDescent="0.25">
      <c r="A777" s="9">
        <f>Speed!A777</f>
        <v>45701.289513888885</v>
      </c>
      <c r="B777" s="9">
        <f t="shared" si="97"/>
        <v>45701.289513888885</v>
      </c>
      <c r="C777" s="2">
        <f>Speed!B777</f>
        <v>3.6861111110000002</v>
      </c>
      <c r="D777" s="9">
        <f>Odometer!A777</f>
        <v>45701.290393518517</v>
      </c>
      <c r="E777" s="9">
        <f t="shared" si="98"/>
        <v>45701.290393518517</v>
      </c>
      <c r="F777" s="2">
        <f>Odometer!B777</f>
        <v>428756222</v>
      </c>
      <c r="G777" s="2">
        <f t="shared" si="99"/>
        <v>5</v>
      </c>
      <c r="H777" s="2">
        <f>SUM($G$2:G777)</f>
        <v>6329</v>
      </c>
      <c r="I777" s="10">
        <f t="shared" si="100"/>
        <v>45701.289513888885</v>
      </c>
      <c r="J777" s="10">
        <f t="shared" si="101"/>
        <v>45701.289513888885</v>
      </c>
      <c r="K777" s="3">
        <f t="shared" si="103"/>
        <v>5965</v>
      </c>
      <c r="L777">
        <f t="shared" si="96"/>
        <v>3.6861111110000002</v>
      </c>
      <c r="M777">
        <f t="shared" si="102"/>
        <v>13.269999999600001</v>
      </c>
    </row>
    <row r="778" spans="1:13" x14ac:dyDescent="0.25">
      <c r="A778" s="9">
        <f>Speed!A778</f>
        <v>45701.289525462962</v>
      </c>
      <c r="B778" s="9">
        <f t="shared" si="97"/>
        <v>45701.289525462962</v>
      </c>
      <c r="C778" s="2">
        <f>Speed!B778</f>
        <v>2.6666666669999999</v>
      </c>
      <c r="D778" s="9">
        <f>Odometer!A778</f>
        <v>45701.290405092594</v>
      </c>
      <c r="E778" s="9">
        <f t="shared" si="98"/>
        <v>45701.290405092594</v>
      </c>
      <c r="F778" s="2">
        <f>Odometer!B778</f>
        <v>428756227</v>
      </c>
      <c r="G778" s="2">
        <f t="shared" si="99"/>
        <v>12</v>
      </c>
      <c r="H778" s="2">
        <f>SUM($G$2:G778)</f>
        <v>6341</v>
      </c>
      <c r="I778" s="10">
        <f t="shared" si="100"/>
        <v>45701.289525462962</v>
      </c>
      <c r="J778" s="10">
        <f t="shared" si="101"/>
        <v>45701.289525462962</v>
      </c>
      <c r="K778" s="3">
        <f t="shared" si="103"/>
        <v>5967</v>
      </c>
      <c r="L778">
        <f t="shared" si="96"/>
        <v>2.6666666669999999</v>
      </c>
      <c r="M778">
        <f t="shared" si="102"/>
        <v>9.6000000011999997</v>
      </c>
    </row>
    <row r="779" spans="1:13" x14ac:dyDescent="0.25">
      <c r="A779" s="9">
        <f>Speed!A779</f>
        <v>45701.289537037039</v>
      </c>
      <c r="B779" s="9">
        <f t="shared" si="97"/>
        <v>45701.289537037032</v>
      </c>
      <c r="C779" s="2">
        <f>Speed!B779</f>
        <v>1.7861111110000001</v>
      </c>
      <c r="D779" s="9">
        <f>Odometer!A779</f>
        <v>45701.290416666663</v>
      </c>
      <c r="E779" s="9">
        <f t="shared" si="98"/>
        <v>45701.290416666663</v>
      </c>
      <c r="F779" s="2">
        <f>Odometer!B779</f>
        <v>428756239</v>
      </c>
      <c r="G779" s="2">
        <f t="shared" si="99"/>
        <v>11</v>
      </c>
      <c r="H779" s="2">
        <f>SUM($G$2:G779)</f>
        <v>6352</v>
      </c>
      <c r="I779" s="10">
        <f t="shared" si="100"/>
        <v>45701.289537037039</v>
      </c>
      <c r="J779" s="10">
        <f t="shared" si="101"/>
        <v>45701.289537037032</v>
      </c>
      <c r="K779" s="3">
        <f t="shared" si="103"/>
        <v>5969</v>
      </c>
      <c r="L779">
        <f t="shared" si="96"/>
        <v>1.7861111110000001</v>
      </c>
      <c r="M779">
        <f t="shared" si="102"/>
        <v>6.4299999996000006</v>
      </c>
    </row>
    <row r="780" spans="1:13" x14ac:dyDescent="0.25">
      <c r="A780" s="9">
        <f>Speed!A780</f>
        <v>45701.289537037039</v>
      </c>
      <c r="B780" s="9">
        <f t="shared" si="97"/>
        <v>45701.289537037032</v>
      </c>
      <c r="C780" s="2">
        <f>Speed!B780</f>
        <v>0.91111111099999997</v>
      </c>
      <c r="D780" s="9">
        <f>Odometer!A780</f>
        <v>45701.29042824074</v>
      </c>
      <c r="E780" s="9">
        <f t="shared" si="98"/>
        <v>45701.29042824074</v>
      </c>
      <c r="F780" s="2">
        <f>Odometer!B780</f>
        <v>428756250</v>
      </c>
      <c r="G780" s="2">
        <f t="shared" si="99"/>
        <v>12</v>
      </c>
      <c r="H780" s="2">
        <f>SUM($G$2:G780)</f>
        <v>6364</v>
      </c>
      <c r="I780" s="10">
        <f t="shared" si="100"/>
        <v>45701.289537037039</v>
      </c>
      <c r="J780" s="10">
        <f t="shared" si="101"/>
        <v>45701.289537037032</v>
      </c>
      <c r="K780" s="3">
        <f t="shared" si="103"/>
        <v>5969</v>
      </c>
      <c r="L780">
        <f t="shared" si="96"/>
        <v>1.7861111110000001</v>
      </c>
      <c r="M780">
        <f t="shared" si="102"/>
        <v>6.4299999996000006</v>
      </c>
    </row>
    <row r="781" spans="1:13" x14ac:dyDescent="0.25">
      <c r="A781" s="9">
        <f>Speed!A781</f>
        <v>45701.289560185185</v>
      </c>
      <c r="B781" s="9">
        <f t="shared" si="97"/>
        <v>45701.289560185185</v>
      </c>
      <c r="C781" s="2">
        <f>Speed!B781</f>
        <v>0.17499999999999999</v>
      </c>
      <c r="D781" s="9">
        <f>Odometer!A781</f>
        <v>45701.29042824074</v>
      </c>
      <c r="E781" s="9">
        <f t="shared" si="98"/>
        <v>45701.29042824074</v>
      </c>
      <c r="F781" s="2">
        <f>Odometer!B781</f>
        <v>428756262</v>
      </c>
      <c r="G781" s="2">
        <f t="shared" si="99"/>
        <v>1</v>
      </c>
      <c r="H781" s="2">
        <f>SUM($G$2:G781)</f>
        <v>6365</v>
      </c>
      <c r="I781" s="10">
        <f t="shared" si="100"/>
        <v>45701.289560185185</v>
      </c>
      <c r="J781" s="10">
        <f t="shared" si="101"/>
        <v>45701.289560185185</v>
      </c>
      <c r="K781" s="3" t="e">
        <f t="shared" si="103"/>
        <v>#N/A</v>
      </c>
      <c r="L781">
        <f t="shared" si="96"/>
        <v>0.17499999999999999</v>
      </c>
      <c r="M781">
        <f t="shared" si="102"/>
        <v>0.63</v>
      </c>
    </row>
    <row r="782" spans="1:13" x14ac:dyDescent="0.25">
      <c r="A782" s="9">
        <f>Speed!A782</f>
        <v>45701.289560185185</v>
      </c>
      <c r="B782" s="9">
        <f t="shared" si="97"/>
        <v>45701.289560185185</v>
      </c>
      <c r="C782" s="2">
        <f>Speed!B782</f>
        <v>0.2</v>
      </c>
      <c r="D782" s="9">
        <f>Odometer!A782</f>
        <v>45701.290439814817</v>
      </c>
      <c r="E782" s="9">
        <f t="shared" si="98"/>
        <v>45701.290439814809</v>
      </c>
      <c r="F782" s="2">
        <f>Odometer!B782</f>
        <v>428756263</v>
      </c>
      <c r="G782" s="2">
        <f t="shared" si="99"/>
        <v>10</v>
      </c>
      <c r="H782" s="2">
        <f>SUM($G$2:G782)</f>
        <v>6375</v>
      </c>
      <c r="I782" s="10">
        <f t="shared" si="100"/>
        <v>45701.289560185185</v>
      </c>
      <c r="J782" s="10">
        <f t="shared" si="101"/>
        <v>45701.289560185185</v>
      </c>
      <c r="K782" s="3" t="e">
        <f t="shared" si="103"/>
        <v>#N/A</v>
      </c>
      <c r="L782">
        <f t="shared" si="96"/>
        <v>0.17499999999999999</v>
      </c>
      <c r="M782">
        <f t="shared" si="102"/>
        <v>0.63</v>
      </c>
    </row>
    <row r="783" spans="1:13" x14ac:dyDescent="0.25">
      <c r="A783" s="9">
        <f>Speed!A783</f>
        <v>45701.289571759262</v>
      </c>
      <c r="B783" s="9">
        <f t="shared" si="97"/>
        <v>45701.289571759255</v>
      </c>
      <c r="C783" s="2">
        <f>Speed!B783</f>
        <v>0.15833333299999999</v>
      </c>
      <c r="D783" s="9">
        <f>Odometer!A783</f>
        <v>45701.290451388886</v>
      </c>
      <c r="E783" s="9">
        <f t="shared" si="98"/>
        <v>45701.290451388886</v>
      </c>
      <c r="F783" s="2">
        <f>Odometer!B783</f>
        <v>428756273</v>
      </c>
      <c r="G783" s="2">
        <f t="shared" si="99"/>
        <v>1</v>
      </c>
      <c r="H783" s="2">
        <f>SUM($G$2:G783)</f>
        <v>6376</v>
      </c>
      <c r="I783" s="10">
        <f t="shared" si="100"/>
        <v>45701.289571759262</v>
      </c>
      <c r="J783" s="10">
        <f t="shared" si="101"/>
        <v>45701.289571759255</v>
      </c>
      <c r="K783" s="3" t="e">
        <f t="shared" si="103"/>
        <v>#N/A</v>
      </c>
      <c r="L783">
        <f t="shared" si="96"/>
        <v>0.15833333299999999</v>
      </c>
      <c r="M783">
        <f t="shared" si="102"/>
        <v>0.56999999879999996</v>
      </c>
    </row>
    <row r="784" spans="1:13" x14ac:dyDescent="0.25">
      <c r="A784" s="9">
        <f>Speed!A784</f>
        <v>45701.289571759262</v>
      </c>
      <c r="B784" s="9">
        <f t="shared" si="97"/>
        <v>45701.289571759255</v>
      </c>
      <c r="C784" s="2">
        <f>Speed!B784</f>
        <v>6.3888889000000004E-2</v>
      </c>
      <c r="D784" s="9">
        <f>Odometer!A784</f>
        <v>45701.290451388886</v>
      </c>
      <c r="E784" s="9">
        <f t="shared" si="98"/>
        <v>45701.290451388886</v>
      </c>
      <c r="F784" s="2">
        <f>Odometer!B784</f>
        <v>428756274</v>
      </c>
      <c r="G784" s="2">
        <f t="shared" si="99"/>
        <v>10</v>
      </c>
      <c r="H784" s="2">
        <f>SUM($G$2:G784)</f>
        <v>6386</v>
      </c>
      <c r="I784" s="10">
        <f t="shared" si="100"/>
        <v>45701.289571759262</v>
      </c>
      <c r="J784" s="10">
        <f t="shared" si="101"/>
        <v>45701.289571759255</v>
      </c>
      <c r="K784" s="3" t="e">
        <f t="shared" si="103"/>
        <v>#N/A</v>
      </c>
      <c r="L784">
        <f t="shared" si="96"/>
        <v>0.15833333299999999</v>
      </c>
      <c r="M784">
        <f t="shared" si="102"/>
        <v>0.56999999879999996</v>
      </c>
    </row>
    <row r="785" spans="1:13" x14ac:dyDescent="0.25">
      <c r="A785" s="9">
        <f>Speed!A785</f>
        <v>45701.289583333331</v>
      </c>
      <c r="B785" s="9">
        <f t="shared" si="97"/>
        <v>45701.289583333331</v>
      </c>
      <c r="C785" s="2">
        <f>Speed!B785</f>
        <v>0</v>
      </c>
      <c r="D785" s="9">
        <f>Odometer!A785</f>
        <v>45701.290451388886</v>
      </c>
      <c r="E785" s="9">
        <f t="shared" si="98"/>
        <v>45701.290451388886</v>
      </c>
      <c r="F785" s="2">
        <f>Odometer!B785</f>
        <v>428756284</v>
      </c>
      <c r="G785" s="2">
        <f t="shared" si="99"/>
        <v>11</v>
      </c>
      <c r="H785" s="2">
        <f>SUM($G$2:G785)</f>
        <v>6397</v>
      </c>
      <c r="I785" s="10">
        <f t="shared" si="100"/>
        <v>45701.289583333331</v>
      </c>
      <c r="J785" s="10">
        <f t="shared" si="101"/>
        <v>45701.289583333331</v>
      </c>
      <c r="K785" s="3" t="e">
        <f t="shared" si="103"/>
        <v>#N/A</v>
      </c>
      <c r="L785">
        <f t="shared" si="96"/>
        <v>0</v>
      </c>
      <c r="M785">
        <f t="shared" si="102"/>
        <v>0</v>
      </c>
    </row>
    <row r="786" spans="1:13" x14ac:dyDescent="0.25">
      <c r="A786" s="9">
        <f>Speed!A786</f>
        <v>45701.289872685185</v>
      </c>
      <c r="B786" s="9">
        <f t="shared" si="97"/>
        <v>45701.289872685185</v>
      </c>
      <c r="C786" s="2">
        <f>Speed!B786</f>
        <v>0.73611111100000004</v>
      </c>
      <c r="D786" s="9">
        <f>Odometer!A786</f>
        <v>45701.29047453704</v>
      </c>
      <c r="E786" s="9">
        <f t="shared" si="98"/>
        <v>45701.290474537032</v>
      </c>
      <c r="F786" s="2">
        <f>Odometer!B786</f>
        <v>428756295</v>
      </c>
      <c r="G786" s="2">
        <f t="shared" si="99"/>
        <v>11</v>
      </c>
      <c r="H786" s="2">
        <f>SUM($G$2:G786)</f>
        <v>6408</v>
      </c>
      <c r="I786" s="10">
        <f t="shared" si="100"/>
        <v>45701.289872685185</v>
      </c>
      <c r="J786" s="10">
        <f t="shared" si="101"/>
        <v>45701.289872685185</v>
      </c>
      <c r="K786" s="3">
        <f t="shared" si="103"/>
        <v>5971</v>
      </c>
      <c r="L786">
        <f t="shared" si="96"/>
        <v>0.73611111100000004</v>
      </c>
      <c r="M786">
        <f t="shared" si="102"/>
        <v>2.6499999996000003</v>
      </c>
    </row>
    <row r="787" spans="1:13" x14ac:dyDescent="0.25">
      <c r="A787" s="9">
        <f>Speed!A787</f>
        <v>45701.289872685185</v>
      </c>
      <c r="B787" s="9">
        <f t="shared" si="97"/>
        <v>45701.289872685185</v>
      </c>
      <c r="C787" s="2">
        <f>Speed!B787</f>
        <v>0.688888889</v>
      </c>
      <c r="D787" s="9">
        <f>Odometer!A787</f>
        <v>45701.290486111109</v>
      </c>
      <c r="E787" s="9">
        <f t="shared" si="98"/>
        <v>45701.290486111109</v>
      </c>
      <c r="F787" s="2">
        <f>Odometer!B787</f>
        <v>428756306</v>
      </c>
      <c r="G787" s="2">
        <f t="shared" si="99"/>
        <v>9</v>
      </c>
      <c r="H787" s="2">
        <f>SUM($G$2:G787)</f>
        <v>6417</v>
      </c>
      <c r="I787" s="10">
        <f t="shared" si="100"/>
        <v>45701.289872685185</v>
      </c>
      <c r="J787" s="10">
        <f t="shared" si="101"/>
        <v>45701.289872685185</v>
      </c>
      <c r="K787" s="3">
        <f t="shared" si="103"/>
        <v>5971</v>
      </c>
      <c r="L787">
        <f t="shared" si="96"/>
        <v>0.73611111100000004</v>
      </c>
      <c r="M787">
        <f t="shared" si="102"/>
        <v>2.6499999996000003</v>
      </c>
    </row>
    <row r="788" spans="1:13" x14ac:dyDescent="0.25">
      <c r="A788" s="9">
        <f>Speed!A788</f>
        <v>45701.289872685185</v>
      </c>
      <c r="B788" s="9">
        <f t="shared" si="97"/>
        <v>45701.289872685185</v>
      </c>
      <c r="C788" s="2">
        <f>Speed!B788</f>
        <v>1.377777778</v>
      </c>
      <c r="D788" s="9">
        <f>Odometer!A788</f>
        <v>45701.290497685186</v>
      </c>
      <c r="E788" s="9">
        <f t="shared" si="98"/>
        <v>45701.290497685186</v>
      </c>
      <c r="F788" s="2">
        <f>Odometer!B788</f>
        <v>428756315</v>
      </c>
      <c r="G788" s="2">
        <f t="shared" si="99"/>
        <v>10</v>
      </c>
      <c r="H788" s="2">
        <f>SUM($G$2:G788)</f>
        <v>6427</v>
      </c>
      <c r="I788" s="10">
        <f t="shared" si="100"/>
        <v>45701.289872685185</v>
      </c>
      <c r="J788" s="10">
        <f t="shared" si="101"/>
        <v>45701.289872685185</v>
      </c>
      <c r="K788" s="3">
        <f t="shared" si="103"/>
        <v>5971</v>
      </c>
      <c r="L788">
        <f t="shared" si="96"/>
        <v>0.73611111100000004</v>
      </c>
      <c r="M788">
        <f t="shared" si="102"/>
        <v>2.6499999996000003</v>
      </c>
    </row>
    <row r="789" spans="1:13" x14ac:dyDescent="0.25">
      <c r="A789" s="9">
        <f>Speed!A789</f>
        <v>45701.289895833332</v>
      </c>
      <c r="B789" s="9">
        <f t="shared" si="97"/>
        <v>45701.289895833332</v>
      </c>
      <c r="C789" s="2">
        <f>Speed!B789</f>
        <v>2.0944444440000001</v>
      </c>
      <c r="D789" s="9">
        <f>Odometer!A789</f>
        <v>45701.290509259263</v>
      </c>
      <c r="E789" s="9">
        <f t="shared" si="98"/>
        <v>45701.290509259255</v>
      </c>
      <c r="F789" s="2">
        <f>Odometer!B789</f>
        <v>428756325</v>
      </c>
      <c r="G789" s="2">
        <f t="shared" si="99"/>
        <v>9</v>
      </c>
      <c r="H789" s="2">
        <f>SUM($G$2:G789)</f>
        <v>6436</v>
      </c>
      <c r="I789" s="10">
        <f t="shared" si="100"/>
        <v>45701.289895833332</v>
      </c>
      <c r="J789" s="10">
        <f t="shared" si="101"/>
        <v>45701.289895833332</v>
      </c>
      <c r="K789" s="3">
        <f t="shared" si="103"/>
        <v>5975</v>
      </c>
      <c r="L789">
        <f t="shared" si="96"/>
        <v>2.0944444440000001</v>
      </c>
      <c r="M789">
        <f t="shared" si="102"/>
        <v>7.5399999984000008</v>
      </c>
    </row>
    <row r="790" spans="1:13" x14ac:dyDescent="0.25">
      <c r="A790" s="9">
        <f>Speed!A790</f>
        <v>45701.289907407408</v>
      </c>
      <c r="B790" s="9">
        <f t="shared" si="97"/>
        <v>45701.289907407408</v>
      </c>
      <c r="C790" s="2">
        <f>Speed!B790</f>
        <v>2.7416666670000001</v>
      </c>
      <c r="D790" s="9">
        <f>Odometer!A790</f>
        <v>45701.290520833332</v>
      </c>
      <c r="E790" s="9">
        <f t="shared" si="98"/>
        <v>45701.290520833332</v>
      </c>
      <c r="F790" s="2">
        <f>Odometer!B790</f>
        <v>428756334</v>
      </c>
      <c r="G790" s="2">
        <f t="shared" si="99"/>
        <v>9</v>
      </c>
      <c r="H790" s="2">
        <f>SUM($G$2:G790)</f>
        <v>6445</v>
      </c>
      <c r="I790" s="10">
        <f t="shared" si="100"/>
        <v>45701.289907407408</v>
      </c>
      <c r="J790" s="10">
        <f t="shared" si="101"/>
        <v>45701.289907407408</v>
      </c>
      <c r="K790" s="3" t="e">
        <f t="shared" si="103"/>
        <v>#N/A</v>
      </c>
      <c r="L790">
        <f t="shared" si="96"/>
        <v>2.7416666670000001</v>
      </c>
      <c r="M790">
        <f t="shared" si="102"/>
        <v>9.8700000012000011</v>
      </c>
    </row>
    <row r="791" spans="1:13" x14ac:dyDescent="0.25">
      <c r="A791" s="9">
        <f>Speed!A791</f>
        <v>45701.289907407408</v>
      </c>
      <c r="B791" s="9">
        <f t="shared" si="97"/>
        <v>45701.289907407408</v>
      </c>
      <c r="C791" s="2">
        <f>Speed!B791</f>
        <v>2.85</v>
      </c>
      <c r="D791" s="9">
        <f>Odometer!A791</f>
        <v>45701.290532407409</v>
      </c>
      <c r="E791" s="9">
        <f t="shared" si="98"/>
        <v>45701.290532407402</v>
      </c>
      <c r="F791" s="2">
        <f>Odometer!B791</f>
        <v>428756343</v>
      </c>
      <c r="G791" s="2">
        <f t="shared" si="99"/>
        <v>9</v>
      </c>
      <c r="H791" s="2">
        <f>SUM($G$2:G791)</f>
        <v>6454</v>
      </c>
      <c r="I791" s="10">
        <f t="shared" si="100"/>
        <v>45701.289907407408</v>
      </c>
      <c r="J791" s="10">
        <f t="shared" si="101"/>
        <v>45701.289907407408</v>
      </c>
      <c r="K791" s="3" t="e">
        <f t="shared" si="103"/>
        <v>#N/A</v>
      </c>
      <c r="L791">
        <f t="shared" si="96"/>
        <v>2.7416666670000001</v>
      </c>
      <c r="M791">
        <f t="shared" si="102"/>
        <v>9.8700000012000011</v>
      </c>
    </row>
    <row r="792" spans="1:13" x14ac:dyDescent="0.25">
      <c r="A792" s="9">
        <f>Speed!A792</f>
        <v>45701.289918981478</v>
      </c>
      <c r="B792" s="9">
        <f t="shared" si="97"/>
        <v>45701.289918981478</v>
      </c>
      <c r="C792" s="2">
        <f>Speed!B792</f>
        <v>3.377777778</v>
      </c>
      <c r="D792" s="9">
        <f>Odometer!A792</f>
        <v>45701.290543981479</v>
      </c>
      <c r="E792" s="9">
        <f t="shared" si="98"/>
        <v>45701.290543981479</v>
      </c>
      <c r="F792" s="2">
        <f>Odometer!B792</f>
        <v>428756352</v>
      </c>
      <c r="G792" s="2">
        <f t="shared" si="99"/>
        <v>7</v>
      </c>
      <c r="H792" s="2">
        <f>SUM($G$2:G792)</f>
        <v>6461</v>
      </c>
      <c r="I792" s="10">
        <f t="shared" si="100"/>
        <v>45701.289918981478</v>
      </c>
      <c r="J792" s="10">
        <f t="shared" si="101"/>
        <v>45701.289918981478</v>
      </c>
      <c r="K792" s="3">
        <f t="shared" si="103"/>
        <v>5982</v>
      </c>
      <c r="L792">
        <f t="shared" si="96"/>
        <v>3.377777778</v>
      </c>
      <c r="M792">
        <f t="shared" si="102"/>
        <v>12.1600000008</v>
      </c>
    </row>
    <row r="793" spans="1:13" x14ac:dyDescent="0.25">
      <c r="A793" s="9">
        <f>Speed!A793</f>
        <v>45701.289930555555</v>
      </c>
      <c r="B793" s="9">
        <f t="shared" si="97"/>
        <v>45701.289930555555</v>
      </c>
      <c r="C793" s="2">
        <f>Speed!B793</f>
        <v>3.4472222220000002</v>
      </c>
      <c r="D793" s="9">
        <f>Odometer!A793</f>
        <v>45701.290555555555</v>
      </c>
      <c r="E793" s="9">
        <f t="shared" si="98"/>
        <v>45701.290555555555</v>
      </c>
      <c r="F793" s="2">
        <f>Odometer!B793</f>
        <v>428756359</v>
      </c>
      <c r="G793" s="2">
        <f t="shared" si="99"/>
        <v>8</v>
      </c>
      <c r="H793" s="2">
        <f>SUM($G$2:G793)</f>
        <v>6469</v>
      </c>
      <c r="I793" s="10">
        <f t="shared" si="100"/>
        <v>45701.289930555555</v>
      </c>
      <c r="J793" s="10">
        <f t="shared" si="101"/>
        <v>45701.289930555555</v>
      </c>
      <c r="K793" s="3">
        <f t="shared" si="103"/>
        <v>5985</v>
      </c>
      <c r="L793">
        <f t="shared" si="96"/>
        <v>3.4472222220000002</v>
      </c>
      <c r="M793">
        <f t="shared" si="102"/>
        <v>12.4099999992</v>
      </c>
    </row>
    <row r="794" spans="1:13" x14ac:dyDescent="0.25">
      <c r="A794" s="9">
        <f>Speed!A794</f>
        <v>45701.289942129632</v>
      </c>
      <c r="B794" s="9">
        <f t="shared" si="97"/>
        <v>45701.289942129624</v>
      </c>
      <c r="C794" s="2">
        <f>Speed!B794</f>
        <v>3.358333333</v>
      </c>
      <c r="D794" s="9">
        <f>Odometer!A794</f>
        <v>45701.290567129632</v>
      </c>
      <c r="E794" s="9">
        <f t="shared" si="98"/>
        <v>45701.290567129625</v>
      </c>
      <c r="F794" s="2">
        <f>Odometer!B794</f>
        <v>428756367</v>
      </c>
      <c r="G794" s="2">
        <f t="shared" si="99"/>
        <v>6</v>
      </c>
      <c r="H794" s="2">
        <f>SUM($G$2:G794)</f>
        <v>6475</v>
      </c>
      <c r="I794" s="10">
        <f t="shared" si="100"/>
        <v>45701.289942129632</v>
      </c>
      <c r="J794" s="10">
        <f t="shared" si="101"/>
        <v>45701.289942129624</v>
      </c>
      <c r="K794" s="3">
        <f t="shared" si="103"/>
        <v>5988</v>
      </c>
      <c r="L794">
        <f t="shared" si="96"/>
        <v>3.358333333</v>
      </c>
      <c r="M794">
        <f t="shared" si="102"/>
        <v>12.0899999988</v>
      </c>
    </row>
    <row r="795" spans="1:13" x14ac:dyDescent="0.25">
      <c r="A795" s="9">
        <f>Speed!A795</f>
        <v>45701.289953703701</v>
      </c>
      <c r="B795" s="9">
        <f t="shared" si="97"/>
        <v>45701.289953703701</v>
      </c>
      <c r="C795" s="2">
        <f>Speed!B795</f>
        <v>3.4583333330000001</v>
      </c>
      <c r="D795" s="9">
        <f>Odometer!A795</f>
        <v>45701.290578703702</v>
      </c>
      <c r="E795" s="9">
        <f t="shared" si="98"/>
        <v>45701.290578703702</v>
      </c>
      <c r="F795" s="2">
        <f>Odometer!B795</f>
        <v>428756373</v>
      </c>
      <c r="G795" s="2">
        <f t="shared" si="99"/>
        <v>7</v>
      </c>
      <c r="H795" s="2">
        <f>SUM($G$2:G795)</f>
        <v>6482</v>
      </c>
      <c r="I795" s="10">
        <f t="shared" si="100"/>
        <v>45701.289953703701</v>
      </c>
      <c r="J795" s="10">
        <f t="shared" si="101"/>
        <v>45701.289953703701</v>
      </c>
      <c r="K795" s="3">
        <f t="shared" si="103"/>
        <v>5992</v>
      </c>
      <c r="L795">
        <f t="shared" si="96"/>
        <v>3.4583333330000001</v>
      </c>
      <c r="M795">
        <f t="shared" si="102"/>
        <v>12.449999998800001</v>
      </c>
    </row>
    <row r="796" spans="1:13" x14ac:dyDescent="0.25">
      <c r="A796" s="9">
        <f>Speed!A796</f>
        <v>45701.289965277778</v>
      </c>
      <c r="B796" s="9">
        <f t="shared" si="97"/>
        <v>45701.289965277778</v>
      </c>
      <c r="C796" s="2">
        <f>Speed!B796</f>
        <v>3.4694444440000001</v>
      </c>
      <c r="D796" s="9">
        <f>Odometer!A796</f>
        <v>45701.290590277778</v>
      </c>
      <c r="E796" s="9">
        <f t="shared" si="98"/>
        <v>45701.290590277778</v>
      </c>
      <c r="F796" s="2">
        <f>Odometer!B796</f>
        <v>428756380</v>
      </c>
      <c r="G796" s="2">
        <f t="shared" si="99"/>
        <v>5</v>
      </c>
      <c r="H796" s="2">
        <f>SUM($G$2:G796)</f>
        <v>6487</v>
      </c>
      <c r="I796" s="10">
        <f t="shared" si="100"/>
        <v>45701.289965277778</v>
      </c>
      <c r="J796" s="10">
        <f t="shared" si="101"/>
        <v>45701.289965277778</v>
      </c>
      <c r="K796" s="3">
        <f t="shared" si="103"/>
        <v>5995</v>
      </c>
      <c r="L796">
        <f t="shared" si="96"/>
        <v>3.4694444440000001</v>
      </c>
      <c r="M796">
        <f t="shared" si="102"/>
        <v>12.4899999984</v>
      </c>
    </row>
    <row r="797" spans="1:13" x14ac:dyDescent="0.25">
      <c r="A797" s="9">
        <f>Speed!A797</f>
        <v>45701.289976851855</v>
      </c>
      <c r="B797" s="9">
        <f t="shared" si="97"/>
        <v>45701.289976851847</v>
      </c>
      <c r="C797" s="2">
        <f>Speed!B797</f>
        <v>3.3444444440000001</v>
      </c>
      <c r="D797" s="9">
        <f>Odometer!A797</f>
        <v>45701.290601851855</v>
      </c>
      <c r="E797" s="9">
        <f t="shared" si="98"/>
        <v>45701.290601851848</v>
      </c>
      <c r="F797" s="2">
        <f>Odometer!B797</f>
        <v>428756385</v>
      </c>
      <c r="G797" s="2">
        <f t="shared" si="99"/>
        <v>5</v>
      </c>
      <c r="H797" s="2">
        <f>SUM($G$2:G797)</f>
        <v>6492</v>
      </c>
      <c r="I797" s="10">
        <f t="shared" si="100"/>
        <v>45701.289976851855</v>
      </c>
      <c r="J797" s="10">
        <f t="shared" si="101"/>
        <v>45701.289976851847</v>
      </c>
      <c r="K797" s="3">
        <f t="shared" si="103"/>
        <v>5999</v>
      </c>
      <c r="L797">
        <f t="shared" si="96"/>
        <v>3.3444444440000001</v>
      </c>
      <c r="M797">
        <f t="shared" si="102"/>
        <v>12.039999998400001</v>
      </c>
    </row>
    <row r="798" spans="1:13" x14ac:dyDescent="0.25">
      <c r="A798" s="9">
        <f>Speed!A798</f>
        <v>45701.289988425924</v>
      </c>
      <c r="B798" s="9">
        <f t="shared" si="97"/>
        <v>45701.289988425924</v>
      </c>
      <c r="C798" s="2">
        <f>Speed!B798</f>
        <v>3.2222222220000001</v>
      </c>
      <c r="D798" s="9">
        <f>Odometer!A798</f>
        <v>45701.290613425925</v>
      </c>
      <c r="E798" s="9">
        <f t="shared" si="98"/>
        <v>45701.290613425925</v>
      </c>
      <c r="F798" s="2">
        <f>Odometer!B798</f>
        <v>428756390</v>
      </c>
      <c r="G798" s="2">
        <f t="shared" si="99"/>
        <v>2</v>
      </c>
      <c r="H798" s="2">
        <f>SUM($G$2:G798)</f>
        <v>6494</v>
      </c>
      <c r="I798" s="10">
        <f t="shared" si="100"/>
        <v>45701.289988425924</v>
      </c>
      <c r="J798" s="10">
        <f t="shared" si="101"/>
        <v>45701.289988425924</v>
      </c>
      <c r="K798" s="3">
        <f t="shared" si="103"/>
        <v>6002</v>
      </c>
      <c r="L798">
        <f t="shared" si="96"/>
        <v>3.2222222220000001</v>
      </c>
      <c r="M798">
        <f t="shared" si="102"/>
        <v>11.599999999200001</v>
      </c>
    </row>
    <row r="799" spans="1:13" x14ac:dyDescent="0.25">
      <c r="A799" s="9">
        <f>Speed!A799</f>
        <v>45701.29</v>
      </c>
      <c r="B799" s="9">
        <f t="shared" si="97"/>
        <v>45701.29</v>
      </c>
      <c r="C799" s="2">
        <f>Speed!B799</f>
        <v>3.0916666670000001</v>
      </c>
      <c r="D799" s="9">
        <f>Odometer!A799</f>
        <v>45701.290613425925</v>
      </c>
      <c r="E799" s="9">
        <f t="shared" si="98"/>
        <v>45701.290613425925</v>
      </c>
      <c r="F799" s="2">
        <f>Odometer!B799</f>
        <v>428756392</v>
      </c>
      <c r="G799" s="2">
        <f t="shared" si="99"/>
        <v>2</v>
      </c>
      <c r="H799" s="2">
        <f>SUM($G$2:G799)</f>
        <v>6496</v>
      </c>
      <c r="I799" s="10">
        <f t="shared" si="100"/>
        <v>45701.29</v>
      </c>
      <c r="J799" s="10">
        <f t="shared" si="101"/>
        <v>45701.29</v>
      </c>
      <c r="K799" s="3">
        <f t="shared" si="103"/>
        <v>6005</v>
      </c>
      <c r="L799">
        <f t="shared" si="96"/>
        <v>3.0916666670000001</v>
      </c>
      <c r="M799">
        <f t="shared" si="102"/>
        <v>11.130000001200001</v>
      </c>
    </row>
    <row r="800" spans="1:13" x14ac:dyDescent="0.25">
      <c r="A800" s="9">
        <f>Speed!A800</f>
        <v>45701.29</v>
      </c>
      <c r="B800" s="9">
        <f t="shared" si="97"/>
        <v>45701.29</v>
      </c>
      <c r="C800" s="2">
        <f>Speed!B800</f>
        <v>3.1055555560000001</v>
      </c>
      <c r="D800" s="9">
        <f>Odometer!A800</f>
        <v>45701.290625000001</v>
      </c>
      <c r="E800" s="9">
        <f t="shared" si="98"/>
        <v>45701.290624999994</v>
      </c>
      <c r="F800" s="2">
        <f>Odometer!B800</f>
        <v>428756394</v>
      </c>
      <c r="G800" s="2">
        <f t="shared" si="99"/>
        <v>1</v>
      </c>
      <c r="H800" s="2">
        <f>SUM($G$2:G800)</f>
        <v>6497</v>
      </c>
      <c r="I800" s="10">
        <f t="shared" si="100"/>
        <v>45701.29</v>
      </c>
      <c r="J800" s="10">
        <f t="shared" si="101"/>
        <v>45701.29</v>
      </c>
      <c r="K800" s="3">
        <f t="shared" si="103"/>
        <v>6005</v>
      </c>
      <c r="L800">
        <f t="shared" si="96"/>
        <v>3.0916666670000001</v>
      </c>
      <c r="M800">
        <f t="shared" si="102"/>
        <v>11.130000001200001</v>
      </c>
    </row>
    <row r="801" spans="1:13" x14ac:dyDescent="0.25">
      <c r="A801" s="9">
        <f>Speed!A801</f>
        <v>45701.290011574078</v>
      </c>
      <c r="B801" s="9">
        <f t="shared" si="97"/>
        <v>45701.29001157407</v>
      </c>
      <c r="C801" s="2">
        <f>Speed!B801</f>
        <v>2.9750000000000001</v>
      </c>
      <c r="D801" s="9">
        <f>Odometer!A801</f>
        <v>45701.290625000001</v>
      </c>
      <c r="E801" s="9">
        <f t="shared" si="98"/>
        <v>45701.290624999994</v>
      </c>
      <c r="F801" s="2">
        <f>Odometer!B801</f>
        <v>428756395</v>
      </c>
      <c r="G801" s="2">
        <f t="shared" si="99"/>
        <v>2</v>
      </c>
      <c r="H801" s="2">
        <f>SUM($G$2:G801)</f>
        <v>6499</v>
      </c>
      <c r="I801" s="10">
        <f t="shared" si="100"/>
        <v>45701.290011574078</v>
      </c>
      <c r="J801" s="10">
        <f t="shared" si="101"/>
        <v>45701.29001157407</v>
      </c>
      <c r="K801" s="3">
        <f t="shared" si="103"/>
        <v>6008</v>
      </c>
      <c r="L801">
        <f t="shared" si="96"/>
        <v>2.9750000000000001</v>
      </c>
      <c r="M801">
        <f t="shared" si="102"/>
        <v>10.71</v>
      </c>
    </row>
    <row r="802" spans="1:13" x14ac:dyDescent="0.25">
      <c r="A802" s="9">
        <f>Speed!A802</f>
        <v>45701.290023148147</v>
      </c>
      <c r="B802" s="9">
        <f t="shared" si="97"/>
        <v>45701.290023148147</v>
      </c>
      <c r="C802" s="2">
        <f>Speed!B802</f>
        <v>2.8472222220000001</v>
      </c>
      <c r="D802" s="9">
        <f>Odometer!A802</f>
        <v>45701.290636574071</v>
      </c>
      <c r="E802" s="9">
        <f t="shared" si="98"/>
        <v>45701.290636574071</v>
      </c>
      <c r="F802" s="2">
        <f>Odometer!B802</f>
        <v>428756397</v>
      </c>
      <c r="G802" s="2">
        <f t="shared" si="99"/>
        <v>1</v>
      </c>
      <c r="H802" s="2">
        <f>SUM($G$2:G802)</f>
        <v>6500</v>
      </c>
      <c r="I802" s="10">
        <f t="shared" si="100"/>
        <v>45701.290023148147</v>
      </c>
      <c r="J802" s="10">
        <f t="shared" si="101"/>
        <v>45701.290023148147</v>
      </c>
      <c r="K802" s="3">
        <f t="shared" si="103"/>
        <v>6011</v>
      </c>
      <c r="L802">
        <f t="shared" si="96"/>
        <v>2.8472222220000001</v>
      </c>
      <c r="M802">
        <f t="shared" si="102"/>
        <v>10.2499999992</v>
      </c>
    </row>
    <row r="803" spans="1:13" x14ac:dyDescent="0.25">
      <c r="A803" s="9">
        <f>Speed!A803</f>
        <v>45701.290034722224</v>
      </c>
      <c r="B803" s="9">
        <f t="shared" si="97"/>
        <v>45701.290034722217</v>
      </c>
      <c r="C803" s="2">
        <f>Speed!B803</f>
        <v>3.2027777780000002</v>
      </c>
      <c r="D803" s="9">
        <f>Odometer!A803</f>
        <v>45701.290636574071</v>
      </c>
      <c r="E803" s="9">
        <f t="shared" si="98"/>
        <v>45701.290636574071</v>
      </c>
      <c r="F803" s="2">
        <f>Odometer!B803</f>
        <v>428756398</v>
      </c>
      <c r="G803" s="2">
        <f t="shared" si="99"/>
        <v>3</v>
      </c>
      <c r="H803" s="2">
        <f>SUM($G$2:G803)</f>
        <v>6503</v>
      </c>
      <c r="I803" s="10">
        <f t="shared" si="100"/>
        <v>45701.290034722224</v>
      </c>
      <c r="J803" s="10">
        <f t="shared" si="101"/>
        <v>45701.290034722217</v>
      </c>
      <c r="K803" s="3">
        <f t="shared" si="103"/>
        <v>6014</v>
      </c>
      <c r="L803">
        <f t="shared" si="96"/>
        <v>3.2027777780000002</v>
      </c>
      <c r="M803">
        <f t="shared" si="102"/>
        <v>11.530000000800001</v>
      </c>
    </row>
    <row r="804" spans="1:13" x14ac:dyDescent="0.25">
      <c r="A804" s="9">
        <f>Speed!A804</f>
        <v>45701.290046296293</v>
      </c>
      <c r="B804" s="9">
        <f t="shared" si="97"/>
        <v>45701.290046296293</v>
      </c>
      <c r="C804" s="2">
        <f>Speed!B804</f>
        <v>3.9555555560000002</v>
      </c>
      <c r="D804" s="9">
        <f>Odometer!A804</f>
        <v>45701.290648148148</v>
      </c>
      <c r="E804" s="9">
        <f t="shared" si="98"/>
        <v>45701.290648148148</v>
      </c>
      <c r="F804" s="2">
        <f>Odometer!B804</f>
        <v>428756401</v>
      </c>
      <c r="G804" s="2">
        <f t="shared" si="99"/>
        <v>3</v>
      </c>
      <c r="H804" s="2">
        <f>SUM($G$2:G804)</f>
        <v>6506</v>
      </c>
      <c r="I804" s="10">
        <f t="shared" si="100"/>
        <v>45701.290046296293</v>
      </c>
      <c r="J804" s="10">
        <f t="shared" si="101"/>
        <v>45701.290046296293</v>
      </c>
      <c r="K804" s="3">
        <f t="shared" si="103"/>
        <v>6019</v>
      </c>
      <c r="L804">
        <f t="shared" si="96"/>
        <v>3.9555555560000002</v>
      </c>
      <c r="M804">
        <f t="shared" si="102"/>
        <v>14.2400000016</v>
      </c>
    </row>
    <row r="805" spans="1:13" x14ac:dyDescent="0.25">
      <c r="A805" s="9">
        <f>Speed!A805</f>
        <v>45701.29005787037</v>
      </c>
      <c r="B805" s="9">
        <f t="shared" si="97"/>
        <v>45701.29005787037</v>
      </c>
      <c r="C805" s="2">
        <f>Speed!B805</f>
        <v>4.6888888890000002</v>
      </c>
      <c r="D805" s="9">
        <f>Odometer!A805</f>
        <v>45701.290659722225</v>
      </c>
      <c r="E805" s="9">
        <f t="shared" si="98"/>
        <v>45701.290659722217</v>
      </c>
      <c r="F805" s="2">
        <f>Odometer!B805</f>
        <v>428756404</v>
      </c>
      <c r="G805" s="2">
        <f t="shared" si="99"/>
        <v>4</v>
      </c>
      <c r="H805" s="2">
        <f>SUM($G$2:G805)</f>
        <v>6510</v>
      </c>
      <c r="I805" s="10">
        <f t="shared" si="100"/>
        <v>45701.29005787037</v>
      </c>
      <c r="J805" s="10">
        <f t="shared" si="101"/>
        <v>45701.29005787037</v>
      </c>
      <c r="K805" s="3">
        <f t="shared" si="103"/>
        <v>6023</v>
      </c>
      <c r="L805">
        <f t="shared" si="96"/>
        <v>4.6888888890000002</v>
      </c>
      <c r="M805">
        <f t="shared" si="102"/>
        <v>16.880000000400003</v>
      </c>
    </row>
    <row r="806" spans="1:13" x14ac:dyDescent="0.25">
      <c r="A806" s="9">
        <f>Speed!A806</f>
        <v>45701.290069444447</v>
      </c>
      <c r="B806" s="9">
        <f t="shared" si="97"/>
        <v>45701.29006944444</v>
      </c>
      <c r="C806" s="2">
        <f>Speed!B806</f>
        <v>5.3361111110000001</v>
      </c>
      <c r="D806" s="9">
        <f>Odometer!A806</f>
        <v>45701.290671296294</v>
      </c>
      <c r="E806" s="9">
        <f t="shared" si="98"/>
        <v>45701.290671296294</v>
      </c>
      <c r="F806" s="2">
        <f>Odometer!B806</f>
        <v>428756408</v>
      </c>
      <c r="G806" s="2">
        <f t="shared" si="99"/>
        <v>3</v>
      </c>
      <c r="H806" s="2">
        <f>SUM($G$2:G806)</f>
        <v>6513</v>
      </c>
      <c r="I806" s="10">
        <f t="shared" si="100"/>
        <v>45701.290069444447</v>
      </c>
      <c r="J806" s="10">
        <f t="shared" si="101"/>
        <v>45701.29006944444</v>
      </c>
      <c r="K806" s="3">
        <f t="shared" si="103"/>
        <v>6025</v>
      </c>
      <c r="L806">
        <f t="shared" si="96"/>
        <v>5.3361111110000001</v>
      </c>
      <c r="M806">
        <f t="shared" si="102"/>
        <v>19.209999999600001</v>
      </c>
    </row>
    <row r="807" spans="1:13" x14ac:dyDescent="0.25">
      <c r="A807" s="9">
        <f>Speed!A807</f>
        <v>45701.290069444447</v>
      </c>
      <c r="B807" s="9">
        <f t="shared" si="97"/>
        <v>45701.29006944444</v>
      </c>
      <c r="C807" s="2">
        <f>Speed!B807</f>
        <v>5.5583333330000002</v>
      </c>
      <c r="D807" s="9">
        <f>Odometer!A807</f>
        <v>45701.290671296294</v>
      </c>
      <c r="E807" s="9">
        <f t="shared" si="98"/>
        <v>45701.290671296294</v>
      </c>
      <c r="F807" s="2">
        <f>Odometer!B807</f>
        <v>428756411</v>
      </c>
      <c r="G807" s="2">
        <f t="shared" si="99"/>
        <v>4</v>
      </c>
      <c r="H807" s="2">
        <f>SUM($G$2:G807)</f>
        <v>6517</v>
      </c>
      <c r="I807" s="10">
        <f t="shared" si="100"/>
        <v>45701.290069444447</v>
      </c>
      <c r="J807" s="10">
        <f t="shared" si="101"/>
        <v>45701.29006944444</v>
      </c>
      <c r="K807" s="3">
        <f t="shared" si="103"/>
        <v>6025</v>
      </c>
      <c r="L807">
        <f t="shared" si="96"/>
        <v>5.3361111110000001</v>
      </c>
      <c r="M807">
        <f t="shared" si="102"/>
        <v>19.209999999600001</v>
      </c>
    </row>
    <row r="808" spans="1:13" x14ac:dyDescent="0.25">
      <c r="A808" s="9">
        <f>Speed!A808</f>
        <v>45701.290081018517</v>
      </c>
      <c r="B808" s="9">
        <f t="shared" si="97"/>
        <v>45701.290081018517</v>
      </c>
      <c r="C808" s="2">
        <f>Speed!B808</f>
        <v>6.0527777780000003</v>
      </c>
      <c r="D808" s="9">
        <f>Odometer!A808</f>
        <v>45701.290694444448</v>
      </c>
      <c r="E808" s="9">
        <f t="shared" si="98"/>
        <v>45701.29069444444</v>
      </c>
      <c r="F808" s="2">
        <f>Odometer!B808</f>
        <v>428756415</v>
      </c>
      <c r="G808" s="2">
        <f t="shared" si="99"/>
        <v>1</v>
      </c>
      <c r="H808" s="2">
        <f>SUM($G$2:G808)</f>
        <v>6518</v>
      </c>
      <c r="I808" s="10">
        <f t="shared" si="100"/>
        <v>45701.290081018517</v>
      </c>
      <c r="J808" s="10">
        <f t="shared" si="101"/>
        <v>45701.290081018517</v>
      </c>
      <c r="K808" s="3">
        <f t="shared" si="103"/>
        <v>6035</v>
      </c>
      <c r="L808">
        <f t="shared" si="96"/>
        <v>6.0527777780000003</v>
      </c>
      <c r="M808">
        <f t="shared" si="102"/>
        <v>21.790000000800003</v>
      </c>
    </row>
    <row r="809" spans="1:13" x14ac:dyDescent="0.25">
      <c r="A809" s="9">
        <f>Speed!A809</f>
        <v>45701.290081018517</v>
      </c>
      <c r="B809" s="9">
        <f t="shared" si="97"/>
        <v>45701.290081018517</v>
      </c>
      <c r="C809" s="2">
        <f>Speed!B809</f>
        <v>6.5611111109999998</v>
      </c>
      <c r="D809" s="9">
        <f>Odometer!A809</f>
        <v>45701.290694444448</v>
      </c>
      <c r="E809" s="9">
        <f t="shared" si="98"/>
        <v>45701.29069444444</v>
      </c>
      <c r="F809" s="2">
        <f>Odometer!B809</f>
        <v>428756416</v>
      </c>
      <c r="G809" s="2">
        <f t="shared" si="99"/>
        <v>4</v>
      </c>
      <c r="H809" s="2">
        <f>SUM($G$2:G809)</f>
        <v>6522</v>
      </c>
      <c r="I809" s="10">
        <f t="shared" si="100"/>
        <v>45701.290081018517</v>
      </c>
      <c r="J809" s="10">
        <f t="shared" si="101"/>
        <v>45701.290081018517</v>
      </c>
      <c r="K809" s="3">
        <f t="shared" si="103"/>
        <v>6035</v>
      </c>
      <c r="L809">
        <f t="shared" si="96"/>
        <v>6.0527777780000003</v>
      </c>
      <c r="M809">
        <f t="shared" si="102"/>
        <v>21.790000000800003</v>
      </c>
    </row>
    <row r="810" spans="1:13" x14ac:dyDescent="0.25">
      <c r="A810" s="9">
        <f>Speed!A810</f>
        <v>45701.290092592593</v>
      </c>
      <c r="B810" s="9">
        <f t="shared" si="97"/>
        <v>45701.290092592593</v>
      </c>
      <c r="C810" s="2">
        <f>Speed!B810</f>
        <v>6.6222222220000004</v>
      </c>
      <c r="D810" s="9">
        <f>Odometer!A810</f>
        <v>45701.290706018517</v>
      </c>
      <c r="E810" s="9">
        <f t="shared" si="98"/>
        <v>45701.290706018517</v>
      </c>
      <c r="F810" s="2">
        <f>Odometer!B810</f>
        <v>428756420</v>
      </c>
      <c r="G810" s="2">
        <f t="shared" si="99"/>
        <v>4</v>
      </c>
      <c r="H810" s="2">
        <f>SUM($G$2:G810)</f>
        <v>6526</v>
      </c>
      <c r="I810" s="10">
        <f t="shared" si="100"/>
        <v>45701.290092592593</v>
      </c>
      <c r="J810" s="10">
        <f t="shared" si="101"/>
        <v>45701.290092592593</v>
      </c>
      <c r="K810" s="3">
        <f t="shared" si="103"/>
        <v>6043</v>
      </c>
      <c r="L810">
        <f t="shared" si="96"/>
        <v>6.6222222220000004</v>
      </c>
      <c r="M810">
        <f t="shared" si="102"/>
        <v>23.839999999200003</v>
      </c>
    </row>
    <row r="811" spans="1:13" x14ac:dyDescent="0.25">
      <c r="A811" s="9">
        <f>Speed!A811</f>
        <v>45701.29010416667</v>
      </c>
      <c r="B811" s="9">
        <f t="shared" si="97"/>
        <v>45701.290104166663</v>
      </c>
      <c r="C811" s="2">
        <f>Speed!B811</f>
        <v>7.005555556</v>
      </c>
      <c r="D811" s="9">
        <f>Odometer!A811</f>
        <v>45701.290717592594</v>
      </c>
      <c r="E811" s="9">
        <f t="shared" si="98"/>
        <v>45701.290717592594</v>
      </c>
      <c r="F811" s="2">
        <f>Odometer!B811</f>
        <v>428756424</v>
      </c>
      <c r="G811" s="2">
        <f t="shared" si="99"/>
        <v>3</v>
      </c>
      <c r="H811" s="2">
        <f>SUM($G$2:G811)</f>
        <v>6529</v>
      </c>
      <c r="I811" s="10">
        <f t="shared" si="100"/>
        <v>45701.29010416667</v>
      </c>
      <c r="J811" s="10">
        <f t="shared" si="101"/>
        <v>45701.290104166663</v>
      </c>
      <c r="K811" s="3">
        <f t="shared" si="103"/>
        <v>6049</v>
      </c>
      <c r="L811">
        <f t="shared" si="96"/>
        <v>7.005555556</v>
      </c>
      <c r="M811">
        <f t="shared" si="102"/>
        <v>25.220000001599999</v>
      </c>
    </row>
    <row r="812" spans="1:13" x14ac:dyDescent="0.25">
      <c r="A812" s="9">
        <f>Speed!A812</f>
        <v>45701.29011574074</v>
      </c>
      <c r="B812" s="9">
        <f t="shared" si="97"/>
        <v>45701.29011574074</v>
      </c>
      <c r="C812" s="2">
        <f>Speed!B812</f>
        <v>7.4</v>
      </c>
      <c r="D812" s="9">
        <f>Odometer!A812</f>
        <v>45701.290717592594</v>
      </c>
      <c r="E812" s="9">
        <f t="shared" si="98"/>
        <v>45701.290717592594</v>
      </c>
      <c r="F812" s="2">
        <f>Odometer!B812</f>
        <v>428756427</v>
      </c>
      <c r="G812" s="2">
        <f t="shared" si="99"/>
        <v>1</v>
      </c>
      <c r="H812" s="2">
        <f>SUM($G$2:G812)</f>
        <v>6530</v>
      </c>
      <c r="I812" s="10">
        <f t="shared" si="100"/>
        <v>45701.29011574074</v>
      </c>
      <c r="J812" s="10">
        <f t="shared" si="101"/>
        <v>45701.29011574074</v>
      </c>
      <c r="K812" s="3">
        <f t="shared" si="103"/>
        <v>6057</v>
      </c>
      <c r="L812">
        <f t="shared" si="96"/>
        <v>7.4</v>
      </c>
      <c r="M812">
        <f t="shared" si="102"/>
        <v>26.64</v>
      </c>
    </row>
    <row r="813" spans="1:13" x14ac:dyDescent="0.25">
      <c r="A813" s="9">
        <f>Speed!A813</f>
        <v>45701.290127314816</v>
      </c>
      <c r="B813" s="9">
        <f t="shared" si="97"/>
        <v>45701.290127314809</v>
      </c>
      <c r="C813" s="2">
        <f>Speed!B813</f>
        <v>7.755555556</v>
      </c>
      <c r="D813" s="9">
        <f>Odometer!A813</f>
        <v>45701.290729166663</v>
      </c>
      <c r="E813" s="9">
        <f t="shared" si="98"/>
        <v>45701.290729166663</v>
      </c>
      <c r="F813" s="2">
        <f>Odometer!B813</f>
        <v>428756428</v>
      </c>
      <c r="G813" s="2">
        <f t="shared" si="99"/>
        <v>4</v>
      </c>
      <c r="H813" s="2">
        <f>SUM($G$2:G813)</f>
        <v>6534</v>
      </c>
      <c r="I813" s="10">
        <f t="shared" si="100"/>
        <v>45701.290127314816</v>
      </c>
      <c r="J813" s="10">
        <f t="shared" si="101"/>
        <v>45701.290127314809</v>
      </c>
      <c r="K813" s="3">
        <f t="shared" si="103"/>
        <v>6065</v>
      </c>
      <c r="L813">
        <f t="shared" si="96"/>
        <v>7.755555556</v>
      </c>
      <c r="M813">
        <f t="shared" si="102"/>
        <v>27.920000001600002</v>
      </c>
    </row>
    <row r="814" spans="1:13" x14ac:dyDescent="0.25">
      <c r="A814" s="9">
        <f>Speed!A814</f>
        <v>45701.290138888886</v>
      </c>
      <c r="B814" s="9">
        <f t="shared" si="97"/>
        <v>45701.290138888886</v>
      </c>
      <c r="C814" s="2">
        <f>Speed!B814</f>
        <v>7.9444444440000002</v>
      </c>
      <c r="D814" s="9">
        <f>Odometer!A814</f>
        <v>45701.29074074074</v>
      </c>
      <c r="E814" s="9">
        <f t="shared" si="98"/>
        <v>45701.29074074074</v>
      </c>
      <c r="F814" s="2">
        <f>Odometer!B814</f>
        <v>428756432</v>
      </c>
      <c r="G814" s="2">
        <f t="shared" si="99"/>
        <v>4</v>
      </c>
      <c r="H814" s="2">
        <f>SUM($G$2:G814)</f>
        <v>6538</v>
      </c>
      <c r="I814" s="10">
        <f t="shared" si="100"/>
        <v>45701.290138888886</v>
      </c>
      <c r="J814" s="10">
        <f t="shared" si="101"/>
        <v>45701.290138888886</v>
      </c>
      <c r="K814" s="3" t="e">
        <f t="shared" si="103"/>
        <v>#N/A</v>
      </c>
      <c r="L814">
        <f t="shared" si="96"/>
        <v>7.9444444440000002</v>
      </c>
      <c r="M814">
        <f t="shared" si="102"/>
        <v>28.599999998400001</v>
      </c>
    </row>
    <row r="815" spans="1:13" x14ac:dyDescent="0.25">
      <c r="A815" s="9">
        <f>Speed!A815</f>
        <v>45701.290150462963</v>
      </c>
      <c r="B815" s="9">
        <f t="shared" si="97"/>
        <v>45701.290150462963</v>
      </c>
      <c r="C815" s="2">
        <f>Speed!B815</f>
        <v>8.2416666670000005</v>
      </c>
      <c r="D815" s="9">
        <f>Odometer!A815</f>
        <v>45701.29074074074</v>
      </c>
      <c r="E815" s="9">
        <f t="shared" si="98"/>
        <v>45701.29074074074</v>
      </c>
      <c r="F815" s="2">
        <f>Odometer!B815</f>
        <v>428756436</v>
      </c>
      <c r="G815" s="2">
        <f t="shared" si="99"/>
        <v>3</v>
      </c>
      <c r="H815" s="2">
        <f>SUM($G$2:G815)</f>
        <v>6541</v>
      </c>
      <c r="I815" s="10">
        <f t="shared" si="100"/>
        <v>45701.290150462963</v>
      </c>
      <c r="J815" s="10">
        <f t="shared" si="101"/>
        <v>45701.290150462963</v>
      </c>
      <c r="K815" s="3">
        <f t="shared" si="103"/>
        <v>6081</v>
      </c>
      <c r="L815">
        <f t="shared" si="96"/>
        <v>8.2416666670000005</v>
      </c>
      <c r="M815">
        <f t="shared" si="102"/>
        <v>29.670000001200002</v>
      </c>
    </row>
    <row r="816" spans="1:13" x14ac:dyDescent="0.25">
      <c r="A816" s="9">
        <f>Speed!A816</f>
        <v>45701.290162037039</v>
      </c>
      <c r="B816" s="9">
        <f t="shared" si="97"/>
        <v>45701.290162037032</v>
      </c>
      <c r="C816" s="2">
        <f>Speed!B816</f>
        <v>8.6083333329999991</v>
      </c>
      <c r="D816" s="9">
        <f>Odometer!A816</f>
        <v>45701.290763888886</v>
      </c>
      <c r="E816" s="9">
        <f t="shared" si="98"/>
        <v>45701.290763888886</v>
      </c>
      <c r="F816" s="2">
        <f>Odometer!B816</f>
        <v>428756439</v>
      </c>
      <c r="G816" s="2">
        <f t="shared" si="99"/>
        <v>4</v>
      </c>
      <c r="H816" s="2">
        <f>SUM($G$2:G816)</f>
        <v>6545</v>
      </c>
      <c r="I816" s="10">
        <f t="shared" si="100"/>
        <v>45701.290162037039</v>
      </c>
      <c r="J816" s="10">
        <f t="shared" si="101"/>
        <v>45701.290162037032</v>
      </c>
      <c r="K816" s="3">
        <f t="shared" si="103"/>
        <v>6090</v>
      </c>
      <c r="L816">
        <f t="shared" si="96"/>
        <v>8.6083333329999991</v>
      </c>
      <c r="M816">
        <f t="shared" si="102"/>
        <v>30.989999998799998</v>
      </c>
    </row>
    <row r="817" spans="1:13" x14ac:dyDescent="0.25">
      <c r="A817" s="9">
        <f>Speed!A817</f>
        <v>45701.290173611109</v>
      </c>
      <c r="B817" s="9">
        <f t="shared" si="97"/>
        <v>45701.290173611109</v>
      </c>
      <c r="C817" s="2">
        <f>Speed!B817</f>
        <v>9.1055555560000005</v>
      </c>
      <c r="D817" s="9">
        <f>Odometer!A817</f>
        <v>45701.290775462963</v>
      </c>
      <c r="E817" s="9">
        <f t="shared" si="98"/>
        <v>45701.290775462963</v>
      </c>
      <c r="F817" s="2">
        <f>Odometer!B817</f>
        <v>428756443</v>
      </c>
      <c r="G817" s="2">
        <f t="shared" si="99"/>
        <v>4</v>
      </c>
      <c r="H817" s="2">
        <f>SUM($G$2:G817)</f>
        <v>6549</v>
      </c>
      <c r="I817" s="10">
        <f t="shared" si="100"/>
        <v>45701.290173611109</v>
      </c>
      <c r="J817" s="10">
        <f t="shared" si="101"/>
        <v>45701.290173611109</v>
      </c>
      <c r="K817" s="3">
        <f t="shared" si="103"/>
        <v>6100</v>
      </c>
      <c r="L817">
        <f t="shared" si="96"/>
        <v>9.1055555560000005</v>
      </c>
      <c r="M817">
        <f t="shared" si="102"/>
        <v>32.780000001600001</v>
      </c>
    </row>
    <row r="818" spans="1:13" x14ac:dyDescent="0.25">
      <c r="A818" s="9">
        <f>Speed!A818</f>
        <v>45701.290185185186</v>
      </c>
      <c r="B818" s="9">
        <f t="shared" si="97"/>
        <v>45701.290185185186</v>
      </c>
      <c r="C818" s="2">
        <f>Speed!B818</f>
        <v>9.6333333329999995</v>
      </c>
      <c r="D818" s="9">
        <f>Odometer!A818</f>
        <v>45701.29078703704</v>
      </c>
      <c r="E818" s="9">
        <f t="shared" si="98"/>
        <v>45701.290787037033</v>
      </c>
      <c r="F818" s="2">
        <f>Odometer!B818</f>
        <v>428756447</v>
      </c>
      <c r="G818" s="2">
        <f t="shared" si="99"/>
        <v>4</v>
      </c>
      <c r="H818" s="2">
        <f>SUM($G$2:G818)</f>
        <v>6553</v>
      </c>
      <c r="I818" s="10">
        <f t="shared" si="100"/>
        <v>45701.290185185186</v>
      </c>
      <c r="J818" s="10">
        <f t="shared" si="101"/>
        <v>45701.290185185186</v>
      </c>
      <c r="K818" s="3">
        <f t="shared" si="103"/>
        <v>6109</v>
      </c>
      <c r="L818">
        <f t="shared" si="96"/>
        <v>9.6333333329999995</v>
      </c>
      <c r="M818">
        <f t="shared" si="102"/>
        <v>34.6799999988</v>
      </c>
    </row>
    <row r="819" spans="1:13" x14ac:dyDescent="0.25">
      <c r="A819" s="9">
        <f>Speed!A819</f>
        <v>45701.290196759262</v>
      </c>
      <c r="B819" s="9">
        <f t="shared" si="97"/>
        <v>45701.290196759255</v>
      </c>
      <c r="C819" s="2">
        <f>Speed!B819</f>
        <v>10.19722222</v>
      </c>
      <c r="D819" s="9">
        <f>Odometer!A819</f>
        <v>45701.290798611109</v>
      </c>
      <c r="E819" s="9">
        <f t="shared" si="98"/>
        <v>45701.290798611109</v>
      </c>
      <c r="F819" s="2">
        <f>Odometer!B819</f>
        <v>428756451</v>
      </c>
      <c r="G819" s="2">
        <f t="shared" si="99"/>
        <v>3</v>
      </c>
      <c r="H819" s="2">
        <f>SUM($G$2:G819)</f>
        <v>6556</v>
      </c>
      <c r="I819" s="10">
        <f t="shared" si="100"/>
        <v>45701.290196759262</v>
      </c>
      <c r="J819" s="10">
        <f t="shared" si="101"/>
        <v>45701.290196759255</v>
      </c>
      <c r="K819" s="3">
        <f t="shared" si="103"/>
        <v>6121</v>
      </c>
      <c r="L819">
        <f t="shared" si="96"/>
        <v>10.19722222</v>
      </c>
      <c r="M819">
        <f t="shared" si="102"/>
        <v>36.709999992</v>
      </c>
    </row>
    <row r="820" spans="1:13" x14ac:dyDescent="0.25">
      <c r="A820" s="9">
        <f>Speed!A820</f>
        <v>45701.290208333332</v>
      </c>
      <c r="B820" s="9">
        <f t="shared" si="97"/>
        <v>45701.290208333332</v>
      </c>
      <c r="C820" s="2">
        <f>Speed!B820</f>
        <v>10.544444439999999</v>
      </c>
      <c r="D820" s="9">
        <f>Odometer!A820</f>
        <v>45701.290810185186</v>
      </c>
      <c r="E820" s="9">
        <f t="shared" si="98"/>
        <v>45701.290810185186</v>
      </c>
      <c r="F820" s="2">
        <f>Odometer!B820</f>
        <v>428756454</v>
      </c>
      <c r="G820" s="2">
        <f t="shared" si="99"/>
        <v>3</v>
      </c>
      <c r="H820" s="2">
        <f>SUM($G$2:G820)</f>
        <v>6559</v>
      </c>
      <c r="I820" s="10">
        <f t="shared" si="100"/>
        <v>45701.290208333332</v>
      </c>
      <c r="J820" s="10">
        <f t="shared" si="101"/>
        <v>45701.290208333332</v>
      </c>
      <c r="K820" s="3">
        <f t="shared" si="103"/>
        <v>6130</v>
      </c>
      <c r="L820">
        <f t="shared" si="96"/>
        <v>10.544444439999999</v>
      </c>
      <c r="M820">
        <f t="shared" si="102"/>
        <v>37.959999984</v>
      </c>
    </row>
    <row r="821" spans="1:13" x14ac:dyDescent="0.25">
      <c r="A821" s="9">
        <f>Speed!A821</f>
        <v>45701.290219907409</v>
      </c>
      <c r="B821" s="9">
        <f t="shared" si="97"/>
        <v>45701.290219907409</v>
      </c>
      <c r="C821" s="2">
        <f>Speed!B821</f>
        <v>10.858333330000001</v>
      </c>
      <c r="D821" s="9">
        <f>Odometer!A821</f>
        <v>45701.290821759256</v>
      </c>
      <c r="E821" s="9">
        <f t="shared" si="98"/>
        <v>45701.290821759256</v>
      </c>
      <c r="F821" s="2">
        <f>Odometer!B821</f>
        <v>428756457</v>
      </c>
      <c r="G821" s="2">
        <f t="shared" si="99"/>
        <v>3</v>
      </c>
      <c r="H821" s="2">
        <f>SUM($G$2:G821)</f>
        <v>6562</v>
      </c>
      <c r="I821" s="10">
        <f t="shared" si="100"/>
        <v>45701.290219907409</v>
      </c>
      <c r="J821" s="10">
        <f t="shared" si="101"/>
        <v>45701.290219907409</v>
      </c>
      <c r="K821" s="3">
        <f t="shared" si="103"/>
        <v>6142</v>
      </c>
      <c r="L821">
        <f t="shared" si="96"/>
        <v>10.858333330000001</v>
      </c>
      <c r="M821">
        <f t="shared" si="102"/>
        <v>39.089999988000002</v>
      </c>
    </row>
    <row r="822" spans="1:13" x14ac:dyDescent="0.25">
      <c r="A822" s="9">
        <f>Speed!A822</f>
        <v>45701.290219907409</v>
      </c>
      <c r="B822" s="9">
        <f t="shared" si="97"/>
        <v>45701.290219907409</v>
      </c>
      <c r="C822" s="2">
        <f>Speed!B822</f>
        <v>11.31666667</v>
      </c>
      <c r="D822" s="9">
        <f>Odometer!A822</f>
        <v>45701.290821759256</v>
      </c>
      <c r="E822" s="9">
        <f t="shared" si="98"/>
        <v>45701.290821759256</v>
      </c>
      <c r="F822" s="2">
        <f>Odometer!B822</f>
        <v>428756460</v>
      </c>
      <c r="G822" s="2">
        <f t="shared" si="99"/>
        <v>4</v>
      </c>
      <c r="H822" s="2">
        <f>SUM($G$2:G822)</f>
        <v>6566</v>
      </c>
      <c r="I822" s="10">
        <f t="shared" si="100"/>
        <v>45701.290219907409</v>
      </c>
      <c r="J822" s="10">
        <f t="shared" si="101"/>
        <v>45701.290219907409</v>
      </c>
      <c r="K822" s="3">
        <f t="shared" si="103"/>
        <v>6142</v>
      </c>
      <c r="L822">
        <f t="shared" si="96"/>
        <v>10.858333330000001</v>
      </c>
      <c r="M822">
        <f t="shared" si="102"/>
        <v>39.089999988000002</v>
      </c>
    </row>
    <row r="823" spans="1:13" x14ac:dyDescent="0.25">
      <c r="A823" s="9">
        <f>Speed!A823</f>
        <v>45701.290243055555</v>
      </c>
      <c r="B823" s="9">
        <f t="shared" si="97"/>
        <v>45701.290243055555</v>
      </c>
      <c r="C823" s="2">
        <f>Speed!B823</f>
        <v>11.688888889999999</v>
      </c>
      <c r="D823" s="9">
        <f>Odometer!A823</f>
        <v>45701.290844907409</v>
      </c>
      <c r="E823" s="9">
        <f t="shared" si="98"/>
        <v>45701.290844907402</v>
      </c>
      <c r="F823" s="2">
        <f>Odometer!B823</f>
        <v>428756464</v>
      </c>
      <c r="G823" s="2">
        <f t="shared" si="99"/>
        <v>4</v>
      </c>
      <c r="H823" s="2">
        <f>SUM($G$2:G823)</f>
        <v>6570</v>
      </c>
      <c r="I823" s="10">
        <f t="shared" si="100"/>
        <v>45701.290243055555</v>
      </c>
      <c r="J823" s="10">
        <f t="shared" si="101"/>
        <v>45701.290243055555</v>
      </c>
      <c r="K823" s="3">
        <f t="shared" si="103"/>
        <v>6165</v>
      </c>
      <c r="L823">
        <f t="shared" si="96"/>
        <v>11.688888889999999</v>
      </c>
      <c r="M823">
        <f t="shared" si="102"/>
        <v>42.080000003999999</v>
      </c>
    </row>
    <row r="824" spans="1:13" x14ac:dyDescent="0.25">
      <c r="A824" s="9">
        <f>Speed!A824</f>
        <v>45701.290254629632</v>
      </c>
      <c r="B824" s="9">
        <f t="shared" si="97"/>
        <v>45701.290254629625</v>
      </c>
      <c r="C824" s="2">
        <f>Speed!B824</f>
        <v>12</v>
      </c>
      <c r="D824" s="9">
        <f>Odometer!A824</f>
        <v>45701.290856481479</v>
      </c>
      <c r="E824" s="9">
        <f t="shared" si="98"/>
        <v>45701.290856481479</v>
      </c>
      <c r="F824" s="2">
        <f>Odometer!B824</f>
        <v>428756468</v>
      </c>
      <c r="G824" s="2">
        <f t="shared" si="99"/>
        <v>3</v>
      </c>
      <c r="H824" s="2">
        <f>SUM($G$2:G824)</f>
        <v>6573</v>
      </c>
      <c r="I824" s="10">
        <f t="shared" si="100"/>
        <v>45701.290254629632</v>
      </c>
      <c r="J824" s="10">
        <f t="shared" si="101"/>
        <v>45701.290254629625</v>
      </c>
      <c r="K824" s="3">
        <f t="shared" si="103"/>
        <v>6177</v>
      </c>
      <c r="L824">
        <f t="shared" si="96"/>
        <v>12</v>
      </c>
      <c r="M824">
        <f t="shared" si="102"/>
        <v>43.2</v>
      </c>
    </row>
    <row r="825" spans="1:13" x14ac:dyDescent="0.25">
      <c r="A825" s="9">
        <f>Speed!A825</f>
        <v>45701.290266203701</v>
      </c>
      <c r="B825" s="9">
        <f t="shared" si="97"/>
        <v>45701.290266203701</v>
      </c>
      <c r="C825" s="2">
        <f>Speed!B825</f>
        <v>12.20833333</v>
      </c>
      <c r="D825" s="9">
        <f>Odometer!A825</f>
        <v>45701.290868055556</v>
      </c>
      <c r="E825" s="9">
        <f t="shared" si="98"/>
        <v>45701.290868055556</v>
      </c>
      <c r="F825" s="2">
        <f>Odometer!B825</f>
        <v>428756471</v>
      </c>
      <c r="G825" s="2">
        <f t="shared" si="99"/>
        <v>5</v>
      </c>
      <c r="H825" s="2">
        <f>SUM($G$2:G825)</f>
        <v>6578</v>
      </c>
      <c r="I825" s="10">
        <f t="shared" si="100"/>
        <v>45701.290266203701</v>
      </c>
      <c r="J825" s="10">
        <f t="shared" si="101"/>
        <v>45701.290266203701</v>
      </c>
      <c r="K825" s="3">
        <f t="shared" si="103"/>
        <v>6189</v>
      </c>
      <c r="L825">
        <f t="shared" si="96"/>
        <v>12.20833333</v>
      </c>
      <c r="M825">
        <f t="shared" si="102"/>
        <v>43.949999988000002</v>
      </c>
    </row>
    <row r="826" spans="1:13" x14ac:dyDescent="0.25">
      <c r="A826" s="9">
        <f>Speed!A826</f>
        <v>45701.290277777778</v>
      </c>
      <c r="B826" s="9">
        <f t="shared" si="97"/>
        <v>45701.290277777778</v>
      </c>
      <c r="C826" s="2">
        <f>Speed!B826</f>
        <v>12.45277778</v>
      </c>
      <c r="D826" s="9">
        <f>Odometer!A826</f>
        <v>45701.290879629632</v>
      </c>
      <c r="E826" s="9">
        <f t="shared" si="98"/>
        <v>45701.290879629625</v>
      </c>
      <c r="F826" s="2">
        <f>Odometer!B826</f>
        <v>428756476</v>
      </c>
      <c r="G826" s="2">
        <f t="shared" si="99"/>
        <v>4</v>
      </c>
      <c r="H826" s="2">
        <f>SUM($G$2:G826)</f>
        <v>6582</v>
      </c>
      <c r="I826" s="10">
        <f t="shared" si="100"/>
        <v>45701.290277777778</v>
      </c>
      <c r="J826" s="10">
        <f t="shared" si="101"/>
        <v>45701.290277777778</v>
      </c>
      <c r="K826" s="3">
        <f t="shared" si="103"/>
        <v>6190</v>
      </c>
      <c r="L826">
        <f t="shared" si="96"/>
        <v>12.45277778</v>
      </c>
      <c r="M826">
        <f t="shared" si="102"/>
        <v>44.830000007999999</v>
      </c>
    </row>
    <row r="827" spans="1:13" x14ac:dyDescent="0.25">
      <c r="A827" s="9">
        <f>Speed!A827</f>
        <v>45701.290277777778</v>
      </c>
      <c r="B827" s="9">
        <f t="shared" si="97"/>
        <v>45701.290277777778</v>
      </c>
      <c r="C827" s="2">
        <f>Speed!B827</f>
        <v>12.461111109999999</v>
      </c>
      <c r="D827" s="9">
        <f>Odometer!A827</f>
        <v>45701.290891203702</v>
      </c>
      <c r="E827" s="9">
        <f t="shared" si="98"/>
        <v>45701.290891203702</v>
      </c>
      <c r="F827" s="2">
        <f>Odometer!B827</f>
        <v>428756480</v>
      </c>
      <c r="G827" s="2">
        <f t="shared" si="99"/>
        <v>4</v>
      </c>
      <c r="H827" s="2">
        <f>SUM($G$2:G827)</f>
        <v>6586</v>
      </c>
      <c r="I827" s="10">
        <f t="shared" si="100"/>
        <v>45701.290277777778</v>
      </c>
      <c r="J827" s="10">
        <f t="shared" si="101"/>
        <v>45701.290277777778</v>
      </c>
      <c r="K827" s="3">
        <f t="shared" si="103"/>
        <v>6190</v>
      </c>
      <c r="L827">
        <f t="shared" si="96"/>
        <v>12.45277778</v>
      </c>
      <c r="M827">
        <f t="shared" si="102"/>
        <v>44.830000007999999</v>
      </c>
    </row>
    <row r="828" spans="1:13" x14ac:dyDescent="0.25">
      <c r="A828" s="9">
        <f>Speed!A828</f>
        <v>45701.290277777778</v>
      </c>
      <c r="B828" s="9">
        <f t="shared" si="97"/>
        <v>45701.290277777778</v>
      </c>
      <c r="C828" s="2">
        <f>Speed!B828</f>
        <v>12.48611111</v>
      </c>
      <c r="D828" s="9">
        <f>Odometer!A828</f>
        <v>45701.290902777779</v>
      </c>
      <c r="E828" s="9">
        <f t="shared" si="98"/>
        <v>45701.290902777779</v>
      </c>
      <c r="F828" s="2">
        <f>Odometer!B828</f>
        <v>428756484</v>
      </c>
      <c r="G828" s="2">
        <f t="shared" si="99"/>
        <v>4</v>
      </c>
      <c r="H828" s="2">
        <f>SUM($G$2:G828)</f>
        <v>6590</v>
      </c>
      <c r="I828" s="10">
        <f t="shared" si="100"/>
        <v>45701.290277777778</v>
      </c>
      <c r="J828" s="10">
        <f t="shared" si="101"/>
        <v>45701.290277777778</v>
      </c>
      <c r="K828" s="3">
        <f t="shared" si="103"/>
        <v>6190</v>
      </c>
      <c r="L828">
        <f t="shared" si="96"/>
        <v>12.45277778</v>
      </c>
      <c r="M828">
        <f t="shared" si="102"/>
        <v>44.830000007999999</v>
      </c>
    </row>
    <row r="829" spans="1:13" x14ac:dyDescent="0.25">
      <c r="A829" s="9">
        <f>Speed!A829</f>
        <v>45701.290289351855</v>
      </c>
      <c r="B829" s="9">
        <f t="shared" si="97"/>
        <v>45701.290289351848</v>
      </c>
      <c r="C829" s="2">
        <f>Speed!B829</f>
        <v>12.68055556</v>
      </c>
      <c r="D829" s="9">
        <f>Odometer!A829</f>
        <v>45701.290914351855</v>
      </c>
      <c r="E829" s="9">
        <f t="shared" si="98"/>
        <v>45701.290914351848</v>
      </c>
      <c r="F829" s="2">
        <f>Odometer!B829</f>
        <v>428756488</v>
      </c>
      <c r="G829" s="2">
        <f t="shared" si="99"/>
        <v>1</v>
      </c>
      <c r="H829" s="2">
        <f>SUM($G$2:G829)</f>
        <v>6591</v>
      </c>
      <c r="I829" s="10">
        <f t="shared" si="100"/>
        <v>45701.290289351855</v>
      </c>
      <c r="J829" s="10">
        <f t="shared" si="101"/>
        <v>45701.290289351848</v>
      </c>
      <c r="K829" s="3">
        <f t="shared" si="103"/>
        <v>6216</v>
      </c>
      <c r="L829">
        <f t="shared" si="96"/>
        <v>12.68055556</v>
      </c>
      <c r="M829">
        <f t="shared" si="102"/>
        <v>45.650000016</v>
      </c>
    </row>
    <row r="830" spans="1:13" x14ac:dyDescent="0.25">
      <c r="A830" s="9">
        <f>Speed!A830</f>
        <v>45701.290300925924</v>
      </c>
      <c r="B830" s="9">
        <f t="shared" si="97"/>
        <v>45701.290300925924</v>
      </c>
      <c r="C830" s="2">
        <f>Speed!B830</f>
        <v>12.758333329999999</v>
      </c>
      <c r="D830" s="9">
        <f>Odometer!A830</f>
        <v>45701.290914351855</v>
      </c>
      <c r="E830" s="9">
        <f t="shared" si="98"/>
        <v>45701.290914351848</v>
      </c>
      <c r="F830" s="2">
        <f>Odometer!B830</f>
        <v>428756489</v>
      </c>
      <c r="G830" s="2">
        <f t="shared" si="99"/>
        <v>3</v>
      </c>
      <c r="H830" s="2">
        <f>SUM($G$2:G830)</f>
        <v>6594</v>
      </c>
      <c r="I830" s="10">
        <f t="shared" si="100"/>
        <v>45701.290300925924</v>
      </c>
      <c r="J830" s="10">
        <f t="shared" si="101"/>
        <v>45701.290300925924</v>
      </c>
      <c r="K830" s="3">
        <f t="shared" si="103"/>
        <v>6227</v>
      </c>
      <c r="L830">
        <f t="shared" si="96"/>
        <v>12.758333329999999</v>
      </c>
      <c r="M830">
        <f t="shared" si="102"/>
        <v>45.929999987999999</v>
      </c>
    </row>
    <row r="831" spans="1:13" x14ac:dyDescent="0.25">
      <c r="A831" s="9">
        <f>Speed!A831</f>
        <v>45701.290312500001</v>
      </c>
      <c r="B831" s="9">
        <f t="shared" si="97"/>
        <v>45701.290312500001</v>
      </c>
      <c r="C831" s="2">
        <f>Speed!B831</f>
        <v>12.78333333</v>
      </c>
      <c r="D831" s="9">
        <f>Odometer!A831</f>
        <v>45701.290914351855</v>
      </c>
      <c r="E831" s="9">
        <f t="shared" si="98"/>
        <v>45701.290914351848</v>
      </c>
      <c r="F831" s="2">
        <f>Odometer!B831</f>
        <v>428756492</v>
      </c>
      <c r="G831" s="2">
        <f t="shared" si="99"/>
        <v>4</v>
      </c>
      <c r="H831" s="2">
        <f>SUM($G$2:G831)</f>
        <v>6598</v>
      </c>
      <c r="I831" s="10">
        <f t="shared" si="100"/>
        <v>45701.290312500001</v>
      </c>
      <c r="J831" s="10">
        <f t="shared" si="101"/>
        <v>45701.290312500001</v>
      </c>
      <c r="K831" s="3">
        <f t="shared" si="103"/>
        <v>6228</v>
      </c>
      <c r="L831">
        <f t="shared" si="96"/>
        <v>12.78333333</v>
      </c>
      <c r="M831">
        <f t="shared" si="102"/>
        <v>46.019999988000002</v>
      </c>
    </row>
    <row r="832" spans="1:13" x14ac:dyDescent="0.25">
      <c r="A832" s="9">
        <f>Speed!A832</f>
        <v>45701.290312500001</v>
      </c>
      <c r="B832" s="9">
        <f t="shared" si="97"/>
        <v>45701.290312500001</v>
      </c>
      <c r="C832" s="2">
        <f>Speed!B832</f>
        <v>12.775</v>
      </c>
      <c r="D832" s="9">
        <f>Odometer!A832</f>
        <v>45701.290937500002</v>
      </c>
      <c r="E832" s="9">
        <f t="shared" si="98"/>
        <v>45701.290937499994</v>
      </c>
      <c r="F832" s="2">
        <f>Odometer!B832</f>
        <v>428756496</v>
      </c>
      <c r="G832" s="2">
        <f t="shared" si="99"/>
        <v>4</v>
      </c>
      <c r="H832" s="2">
        <f>SUM($G$2:G832)</f>
        <v>6602</v>
      </c>
      <c r="I832" s="10">
        <f t="shared" si="100"/>
        <v>45701.290312500001</v>
      </c>
      <c r="J832" s="10">
        <f t="shared" si="101"/>
        <v>45701.290312500001</v>
      </c>
      <c r="K832" s="3">
        <f t="shared" si="103"/>
        <v>6228</v>
      </c>
      <c r="L832">
        <f t="shared" si="96"/>
        <v>12.78333333</v>
      </c>
      <c r="M832">
        <f t="shared" si="102"/>
        <v>46.019999988000002</v>
      </c>
    </row>
    <row r="833" spans="1:13" x14ac:dyDescent="0.25">
      <c r="A833" s="9">
        <f>Speed!A833</f>
        <v>45701.290324074071</v>
      </c>
      <c r="B833" s="9">
        <f t="shared" si="97"/>
        <v>45701.290324074071</v>
      </c>
      <c r="C833" s="2">
        <f>Speed!B833</f>
        <v>12.73611111</v>
      </c>
      <c r="D833" s="9">
        <f>Odometer!A833</f>
        <v>45701.290949074071</v>
      </c>
      <c r="E833" s="9">
        <f t="shared" si="98"/>
        <v>45701.290949074071</v>
      </c>
      <c r="F833" s="2">
        <f>Odometer!B833</f>
        <v>428756500</v>
      </c>
      <c r="G833" s="2">
        <f t="shared" si="99"/>
        <v>4</v>
      </c>
      <c r="H833" s="2">
        <f>SUM($G$2:G833)</f>
        <v>6606</v>
      </c>
      <c r="I833" s="10">
        <f t="shared" si="100"/>
        <v>45701.290324074071</v>
      </c>
      <c r="J833" s="10">
        <f t="shared" si="101"/>
        <v>45701.290324074071</v>
      </c>
      <c r="K833" s="3">
        <f t="shared" si="103"/>
        <v>6252</v>
      </c>
      <c r="L833">
        <f t="shared" si="96"/>
        <v>12.73611111</v>
      </c>
      <c r="M833">
        <f t="shared" si="102"/>
        <v>45.849999996000001</v>
      </c>
    </row>
    <row r="834" spans="1:13" x14ac:dyDescent="0.25">
      <c r="A834" s="9">
        <f>Speed!A834</f>
        <v>45701.290335648147</v>
      </c>
      <c r="B834" s="9">
        <f t="shared" si="97"/>
        <v>45701.290335648147</v>
      </c>
      <c r="C834" s="2">
        <f>Speed!B834</f>
        <v>12.71944444</v>
      </c>
      <c r="D834" s="9">
        <f>Odometer!A834</f>
        <v>45701.290960648148</v>
      </c>
      <c r="E834" s="9">
        <f t="shared" si="98"/>
        <v>45701.290960648148</v>
      </c>
      <c r="F834" s="2">
        <f>Odometer!B834</f>
        <v>428756504</v>
      </c>
      <c r="G834" s="2">
        <f t="shared" si="99"/>
        <v>5</v>
      </c>
      <c r="H834" s="2">
        <f>SUM($G$2:G834)</f>
        <v>6611</v>
      </c>
      <c r="I834" s="10">
        <f t="shared" si="100"/>
        <v>45701.290335648147</v>
      </c>
      <c r="J834" s="10">
        <f t="shared" si="101"/>
        <v>45701.290335648147</v>
      </c>
      <c r="K834" s="3">
        <f t="shared" si="103"/>
        <v>6265</v>
      </c>
      <c r="L834">
        <f t="shared" ref="L834:L897" si="104">INDEX($C$2:$C$2000, MATCH(I834,$A$2:$A$2000,0))</f>
        <v>12.71944444</v>
      </c>
      <c r="M834">
        <f t="shared" si="102"/>
        <v>45.789999984000005</v>
      </c>
    </row>
    <row r="835" spans="1:13" x14ac:dyDescent="0.25">
      <c r="A835" s="9">
        <f>Speed!A835</f>
        <v>45701.290347222224</v>
      </c>
      <c r="B835" s="9">
        <f t="shared" ref="B835:B898" si="105">MROUND(A835,"00:00:01")</f>
        <v>45701.290347222217</v>
      </c>
      <c r="C835" s="2">
        <f>Speed!B835</f>
        <v>12.67222222</v>
      </c>
      <c r="D835" s="9">
        <f>Odometer!A835</f>
        <v>45701.290972222225</v>
      </c>
      <c r="E835" s="9">
        <f t="shared" ref="E835:E898" si="106">MROUND(D835,"00:00:01")</f>
        <v>45701.290972222218</v>
      </c>
      <c r="F835" s="2">
        <f>Odometer!B835</f>
        <v>428756509</v>
      </c>
      <c r="G835" s="2">
        <f t="shared" ref="G835:G898" si="107">IF(F836-F835&lt;0,0,F836-F835)</f>
        <v>5</v>
      </c>
      <c r="H835" s="2">
        <f>SUM($G$2:G835)</f>
        <v>6616</v>
      </c>
      <c r="I835" s="10">
        <f t="shared" ref="I835:I898" si="108">A835</f>
        <v>45701.290347222224</v>
      </c>
      <c r="J835" s="10">
        <f t="shared" ref="J835:J898" si="109">MROUND(I835,"0:00:01")</f>
        <v>45701.290347222217</v>
      </c>
      <c r="K835" s="3">
        <f t="shared" si="103"/>
        <v>6279</v>
      </c>
      <c r="L835">
        <f t="shared" si="104"/>
        <v>12.67222222</v>
      </c>
      <c r="M835">
        <f t="shared" ref="M835:M898" si="110">L835*3.6</f>
        <v>45.619999992000004</v>
      </c>
    </row>
    <row r="836" spans="1:13" x14ac:dyDescent="0.25">
      <c r="A836" s="9">
        <f>Speed!A836</f>
        <v>45701.290358796294</v>
      </c>
      <c r="B836" s="9">
        <f t="shared" si="105"/>
        <v>45701.290358796294</v>
      </c>
      <c r="C836" s="2">
        <f>Speed!B836</f>
        <v>12.619444440000001</v>
      </c>
      <c r="D836" s="9">
        <f>Odometer!A836</f>
        <v>45701.290983796294</v>
      </c>
      <c r="E836" s="9">
        <f t="shared" si="106"/>
        <v>45701.290983796294</v>
      </c>
      <c r="F836" s="2">
        <f>Odometer!B836</f>
        <v>428756514</v>
      </c>
      <c r="G836" s="2">
        <f t="shared" si="107"/>
        <v>5</v>
      </c>
      <c r="H836" s="2">
        <f>SUM($G$2:G836)</f>
        <v>6621</v>
      </c>
      <c r="I836" s="10">
        <f t="shared" si="108"/>
        <v>45701.290358796294</v>
      </c>
      <c r="J836" s="10">
        <f t="shared" si="109"/>
        <v>45701.290358796294</v>
      </c>
      <c r="K836" s="3">
        <f t="shared" ref="K836:K899" si="111">IFERROR(INDEX($H$2:$H$2000,MATCH(J836,$E$2:$E$2000,0)),NA())</f>
        <v>6290</v>
      </c>
      <c r="L836">
        <f t="shared" si="104"/>
        <v>12.619444440000001</v>
      </c>
      <c r="M836">
        <f t="shared" si="110"/>
        <v>45.429999984000005</v>
      </c>
    </row>
    <row r="837" spans="1:13" x14ac:dyDescent="0.25">
      <c r="A837" s="9">
        <f>Speed!A837</f>
        <v>45701.290370370371</v>
      </c>
      <c r="B837" s="9">
        <f t="shared" si="105"/>
        <v>45701.290370370371</v>
      </c>
      <c r="C837" s="2">
        <f>Speed!B837</f>
        <v>12.580555560000001</v>
      </c>
      <c r="D837" s="9">
        <f>Odometer!A837</f>
        <v>45701.290995370371</v>
      </c>
      <c r="E837" s="9">
        <f t="shared" si="106"/>
        <v>45701.290995370371</v>
      </c>
      <c r="F837" s="2">
        <f>Odometer!B837</f>
        <v>428756519</v>
      </c>
      <c r="G837" s="2">
        <f t="shared" si="107"/>
        <v>5</v>
      </c>
      <c r="H837" s="2">
        <f>SUM($G$2:G837)</f>
        <v>6626</v>
      </c>
      <c r="I837" s="10">
        <f t="shared" si="108"/>
        <v>45701.290370370371</v>
      </c>
      <c r="J837" s="10">
        <f t="shared" si="109"/>
        <v>45701.290370370371</v>
      </c>
      <c r="K837" s="3">
        <f t="shared" si="111"/>
        <v>6291</v>
      </c>
      <c r="L837">
        <f t="shared" si="104"/>
        <v>12.580555560000001</v>
      </c>
      <c r="M837">
        <f t="shared" si="110"/>
        <v>45.290000016</v>
      </c>
    </row>
    <row r="838" spans="1:13" x14ac:dyDescent="0.25">
      <c r="A838" s="9">
        <f>Speed!A838</f>
        <v>45701.290370370371</v>
      </c>
      <c r="B838" s="9">
        <f t="shared" si="105"/>
        <v>45701.290370370371</v>
      </c>
      <c r="C838" s="2">
        <f>Speed!B838</f>
        <v>12.57222222</v>
      </c>
      <c r="D838" s="9">
        <f>Odometer!A838</f>
        <v>45701.291006944448</v>
      </c>
      <c r="E838" s="9">
        <f t="shared" si="106"/>
        <v>45701.291006944441</v>
      </c>
      <c r="F838" s="2">
        <f>Odometer!B838</f>
        <v>428756524</v>
      </c>
      <c r="G838" s="2">
        <f t="shared" si="107"/>
        <v>6</v>
      </c>
      <c r="H838" s="2">
        <f>SUM($G$2:G838)</f>
        <v>6632</v>
      </c>
      <c r="I838" s="10">
        <f t="shared" si="108"/>
        <v>45701.290370370371</v>
      </c>
      <c r="J838" s="10">
        <f t="shared" si="109"/>
        <v>45701.290370370371</v>
      </c>
      <c r="K838" s="3">
        <f t="shared" si="111"/>
        <v>6291</v>
      </c>
      <c r="L838">
        <f t="shared" si="104"/>
        <v>12.580555560000001</v>
      </c>
      <c r="M838">
        <f t="shared" si="110"/>
        <v>45.290000016</v>
      </c>
    </row>
    <row r="839" spans="1:13" x14ac:dyDescent="0.25">
      <c r="A839" s="9">
        <f>Speed!A839</f>
        <v>45701.290381944447</v>
      </c>
      <c r="B839" s="9">
        <f t="shared" si="105"/>
        <v>45701.29038194444</v>
      </c>
      <c r="C839" s="2">
        <f>Speed!B839</f>
        <v>12.53611111</v>
      </c>
      <c r="D839" s="9">
        <f>Odometer!A839</f>
        <v>45701.291018518517</v>
      </c>
      <c r="E839" s="9">
        <f t="shared" si="106"/>
        <v>45701.291018518517</v>
      </c>
      <c r="F839" s="2">
        <f>Odometer!B839</f>
        <v>428756530</v>
      </c>
      <c r="G839" s="2">
        <f t="shared" si="107"/>
        <v>5</v>
      </c>
      <c r="H839" s="2">
        <f>SUM($G$2:G839)</f>
        <v>6637</v>
      </c>
      <c r="I839" s="10">
        <f t="shared" si="108"/>
        <v>45701.290381944447</v>
      </c>
      <c r="J839" s="10">
        <f t="shared" si="109"/>
        <v>45701.29038194444</v>
      </c>
      <c r="K839" s="3">
        <f t="shared" si="111"/>
        <v>6310</v>
      </c>
      <c r="L839">
        <f t="shared" si="104"/>
        <v>12.53611111</v>
      </c>
      <c r="M839">
        <f t="shared" si="110"/>
        <v>45.129999996000002</v>
      </c>
    </row>
    <row r="840" spans="1:13" x14ac:dyDescent="0.25">
      <c r="A840" s="9">
        <f>Speed!A840</f>
        <v>45701.290381944447</v>
      </c>
      <c r="B840" s="9">
        <f t="shared" si="105"/>
        <v>45701.29038194444</v>
      </c>
      <c r="C840" s="2">
        <f>Speed!B840</f>
        <v>12.48888889</v>
      </c>
      <c r="D840" s="9">
        <f>Odometer!A840</f>
        <v>45701.291030092594</v>
      </c>
      <c r="E840" s="9">
        <f t="shared" si="106"/>
        <v>45701.291030092587</v>
      </c>
      <c r="F840" s="2">
        <f>Odometer!B840</f>
        <v>428756535</v>
      </c>
      <c r="G840" s="2">
        <f t="shared" si="107"/>
        <v>6</v>
      </c>
      <c r="H840" s="2">
        <f>SUM($G$2:G840)</f>
        <v>6643</v>
      </c>
      <c r="I840" s="10">
        <f t="shared" si="108"/>
        <v>45701.290381944447</v>
      </c>
      <c r="J840" s="10">
        <f t="shared" si="109"/>
        <v>45701.29038194444</v>
      </c>
      <c r="K840" s="3">
        <f t="shared" si="111"/>
        <v>6310</v>
      </c>
      <c r="L840">
        <f t="shared" si="104"/>
        <v>12.53611111</v>
      </c>
      <c r="M840">
        <f t="shared" si="110"/>
        <v>45.129999996000002</v>
      </c>
    </row>
    <row r="841" spans="1:13" x14ac:dyDescent="0.25">
      <c r="A841" s="9">
        <f>Speed!A841</f>
        <v>45701.290381944447</v>
      </c>
      <c r="B841" s="9">
        <f t="shared" si="105"/>
        <v>45701.29038194444</v>
      </c>
      <c r="C841" s="2">
        <f>Speed!B841</f>
        <v>12.46944444</v>
      </c>
      <c r="D841" s="9">
        <f>Odometer!A841</f>
        <v>45701.291041666664</v>
      </c>
      <c r="E841" s="9">
        <f t="shared" si="106"/>
        <v>45701.291041666664</v>
      </c>
      <c r="F841" s="2">
        <f>Odometer!B841</f>
        <v>428756541</v>
      </c>
      <c r="G841" s="2">
        <f t="shared" si="107"/>
        <v>5</v>
      </c>
      <c r="H841" s="2">
        <f>SUM($G$2:G841)</f>
        <v>6648</v>
      </c>
      <c r="I841" s="10">
        <f t="shared" si="108"/>
        <v>45701.290381944447</v>
      </c>
      <c r="J841" s="10">
        <f t="shared" si="109"/>
        <v>45701.29038194444</v>
      </c>
      <c r="K841" s="3">
        <f t="shared" si="111"/>
        <v>6310</v>
      </c>
      <c r="L841">
        <f t="shared" si="104"/>
        <v>12.53611111</v>
      </c>
      <c r="M841">
        <f t="shared" si="110"/>
        <v>45.129999996000002</v>
      </c>
    </row>
    <row r="842" spans="1:13" x14ac:dyDescent="0.25">
      <c r="A842" s="9">
        <f>Speed!A842</f>
        <v>45701.290393518517</v>
      </c>
      <c r="B842" s="9">
        <f t="shared" si="105"/>
        <v>45701.290393518517</v>
      </c>
      <c r="C842" s="2">
        <f>Speed!B842</f>
        <v>12.46388889</v>
      </c>
      <c r="D842" s="9">
        <f>Odometer!A842</f>
        <v>45701.29105324074</v>
      </c>
      <c r="E842" s="9">
        <f t="shared" si="106"/>
        <v>45701.29105324074</v>
      </c>
      <c r="F842" s="2">
        <f>Odometer!B842</f>
        <v>428756546</v>
      </c>
      <c r="G842" s="2">
        <f t="shared" si="107"/>
        <v>6</v>
      </c>
      <c r="H842" s="2">
        <f>SUM($G$2:G842)</f>
        <v>6654</v>
      </c>
      <c r="I842" s="10">
        <f t="shared" si="108"/>
        <v>45701.290393518517</v>
      </c>
      <c r="J842" s="10">
        <f t="shared" si="109"/>
        <v>45701.290393518517</v>
      </c>
      <c r="K842" s="3">
        <f t="shared" si="111"/>
        <v>6321</v>
      </c>
      <c r="L842">
        <f t="shared" si="104"/>
        <v>12.46388889</v>
      </c>
      <c r="M842">
        <f t="shared" si="110"/>
        <v>44.870000003999998</v>
      </c>
    </row>
    <row r="843" spans="1:13" x14ac:dyDescent="0.25">
      <c r="A843" s="9">
        <f>Speed!A843</f>
        <v>45701.290393518517</v>
      </c>
      <c r="B843" s="9">
        <f t="shared" si="105"/>
        <v>45701.290393518517</v>
      </c>
      <c r="C843" s="2">
        <f>Speed!B843</f>
        <v>12.455555560000001</v>
      </c>
      <c r="D843" s="9">
        <f>Odometer!A843</f>
        <v>45701.291064814817</v>
      </c>
      <c r="E843" s="9">
        <f t="shared" si="106"/>
        <v>45701.29106481481</v>
      </c>
      <c r="F843" s="2">
        <f>Odometer!B843</f>
        <v>428756552</v>
      </c>
      <c r="G843" s="2">
        <f t="shared" si="107"/>
        <v>6</v>
      </c>
      <c r="H843" s="2">
        <f>SUM($G$2:G843)</f>
        <v>6660</v>
      </c>
      <c r="I843" s="10">
        <f t="shared" si="108"/>
        <v>45701.290393518517</v>
      </c>
      <c r="J843" s="10">
        <f t="shared" si="109"/>
        <v>45701.290393518517</v>
      </c>
      <c r="K843" s="3">
        <f t="shared" si="111"/>
        <v>6321</v>
      </c>
      <c r="L843">
        <f t="shared" si="104"/>
        <v>12.46388889</v>
      </c>
      <c r="M843">
        <f t="shared" si="110"/>
        <v>44.870000003999998</v>
      </c>
    </row>
    <row r="844" spans="1:13" x14ac:dyDescent="0.25">
      <c r="A844" s="9">
        <f>Speed!A844</f>
        <v>45701.290393518517</v>
      </c>
      <c r="B844" s="9">
        <f t="shared" si="105"/>
        <v>45701.290393518517</v>
      </c>
      <c r="C844" s="2">
        <f>Speed!B844</f>
        <v>12.42777778</v>
      </c>
      <c r="D844" s="9">
        <f>Odometer!A844</f>
        <v>45701.291076388887</v>
      </c>
      <c r="E844" s="9">
        <f t="shared" si="106"/>
        <v>45701.291076388887</v>
      </c>
      <c r="F844" s="2">
        <f>Odometer!B844</f>
        <v>428756558</v>
      </c>
      <c r="G844" s="2">
        <f t="shared" si="107"/>
        <v>5</v>
      </c>
      <c r="H844" s="2">
        <f>SUM($G$2:G844)</f>
        <v>6665</v>
      </c>
      <c r="I844" s="10">
        <f t="shared" si="108"/>
        <v>45701.290393518517</v>
      </c>
      <c r="J844" s="10">
        <f t="shared" si="109"/>
        <v>45701.290393518517</v>
      </c>
      <c r="K844" s="3">
        <f t="shared" si="111"/>
        <v>6321</v>
      </c>
      <c r="L844">
        <f t="shared" si="104"/>
        <v>12.46388889</v>
      </c>
      <c r="M844">
        <f t="shared" si="110"/>
        <v>44.870000003999998</v>
      </c>
    </row>
    <row r="845" spans="1:13" x14ac:dyDescent="0.25">
      <c r="A845" s="9">
        <f>Speed!A845</f>
        <v>45701.290405092594</v>
      </c>
      <c r="B845" s="9">
        <f t="shared" si="105"/>
        <v>45701.290405092594</v>
      </c>
      <c r="C845" s="2">
        <f>Speed!B845</f>
        <v>12.358333330000001</v>
      </c>
      <c r="D845" s="9">
        <f>Odometer!A845</f>
        <v>45701.291087962964</v>
      </c>
      <c r="E845" s="9">
        <f t="shared" si="106"/>
        <v>45701.291087962964</v>
      </c>
      <c r="F845" s="2">
        <f>Odometer!B845</f>
        <v>428756563</v>
      </c>
      <c r="G845" s="2">
        <f t="shared" si="107"/>
        <v>5</v>
      </c>
      <c r="H845" s="2">
        <f>SUM($G$2:G845)</f>
        <v>6670</v>
      </c>
      <c r="I845" s="10">
        <f t="shared" si="108"/>
        <v>45701.290405092594</v>
      </c>
      <c r="J845" s="10">
        <f t="shared" si="109"/>
        <v>45701.290405092594</v>
      </c>
      <c r="K845" s="3">
        <f t="shared" si="111"/>
        <v>6341</v>
      </c>
      <c r="L845">
        <f t="shared" si="104"/>
        <v>12.358333330000001</v>
      </c>
      <c r="M845">
        <f t="shared" si="110"/>
        <v>44.489999988000001</v>
      </c>
    </row>
    <row r="846" spans="1:13" x14ac:dyDescent="0.25">
      <c r="A846" s="9">
        <f>Speed!A846</f>
        <v>45701.290416666663</v>
      </c>
      <c r="B846" s="9">
        <f t="shared" si="105"/>
        <v>45701.290416666663</v>
      </c>
      <c r="C846" s="2">
        <f>Speed!B846</f>
        <v>12.125</v>
      </c>
      <c r="D846" s="9">
        <f>Odometer!A846</f>
        <v>45701.29109953704</v>
      </c>
      <c r="E846" s="9">
        <f t="shared" si="106"/>
        <v>45701.291099537033</v>
      </c>
      <c r="F846" s="2">
        <f>Odometer!B846</f>
        <v>428756568</v>
      </c>
      <c r="G846" s="2">
        <f t="shared" si="107"/>
        <v>6</v>
      </c>
      <c r="H846" s="2">
        <f>SUM($G$2:G846)</f>
        <v>6676</v>
      </c>
      <c r="I846" s="10">
        <f t="shared" si="108"/>
        <v>45701.290416666663</v>
      </c>
      <c r="J846" s="10">
        <f t="shared" si="109"/>
        <v>45701.290416666663</v>
      </c>
      <c r="K846" s="3">
        <f t="shared" si="111"/>
        <v>6352</v>
      </c>
      <c r="L846">
        <f t="shared" si="104"/>
        <v>12.125</v>
      </c>
      <c r="M846">
        <f t="shared" si="110"/>
        <v>43.65</v>
      </c>
    </row>
    <row r="847" spans="1:13" x14ac:dyDescent="0.25">
      <c r="A847" s="9">
        <f>Speed!A847</f>
        <v>45701.29042824074</v>
      </c>
      <c r="B847" s="9">
        <f t="shared" si="105"/>
        <v>45701.29042824074</v>
      </c>
      <c r="C847" s="2">
        <f>Speed!B847</f>
        <v>11.69444444</v>
      </c>
      <c r="D847" s="9">
        <f>Odometer!A847</f>
        <v>45701.29111111111</v>
      </c>
      <c r="E847" s="9">
        <f t="shared" si="106"/>
        <v>45701.29111111111</v>
      </c>
      <c r="F847" s="2">
        <f>Odometer!B847</f>
        <v>428756574</v>
      </c>
      <c r="G847" s="2">
        <f t="shared" si="107"/>
        <v>5</v>
      </c>
      <c r="H847" s="2">
        <f>SUM($G$2:G847)</f>
        <v>6681</v>
      </c>
      <c r="I847" s="10">
        <f t="shared" si="108"/>
        <v>45701.29042824074</v>
      </c>
      <c r="J847" s="10">
        <f t="shared" si="109"/>
        <v>45701.29042824074</v>
      </c>
      <c r="K847" s="3">
        <f t="shared" si="111"/>
        <v>6364</v>
      </c>
      <c r="L847">
        <f t="shared" si="104"/>
        <v>11.69444444</v>
      </c>
      <c r="M847">
        <f t="shared" si="110"/>
        <v>42.099999984</v>
      </c>
    </row>
    <row r="848" spans="1:13" x14ac:dyDescent="0.25">
      <c r="A848" s="9">
        <f>Speed!A848</f>
        <v>45701.29042824074</v>
      </c>
      <c r="B848" s="9">
        <f t="shared" si="105"/>
        <v>45701.29042824074</v>
      </c>
      <c r="C848" s="2">
        <f>Speed!B848</f>
        <v>11.20833333</v>
      </c>
      <c r="D848" s="9">
        <f>Odometer!A848</f>
        <v>45701.291122685187</v>
      </c>
      <c r="E848" s="9">
        <f t="shared" si="106"/>
        <v>45701.291122685179</v>
      </c>
      <c r="F848" s="2">
        <f>Odometer!B848</f>
        <v>428756579</v>
      </c>
      <c r="G848" s="2">
        <f t="shared" si="107"/>
        <v>6</v>
      </c>
      <c r="H848" s="2">
        <f>SUM($G$2:G848)</f>
        <v>6687</v>
      </c>
      <c r="I848" s="10">
        <f t="shared" si="108"/>
        <v>45701.29042824074</v>
      </c>
      <c r="J848" s="10">
        <f t="shared" si="109"/>
        <v>45701.29042824074</v>
      </c>
      <c r="K848" s="3">
        <f t="shared" si="111"/>
        <v>6364</v>
      </c>
      <c r="L848">
        <f t="shared" si="104"/>
        <v>11.69444444</v>
      </c>
      <c r="M848">
        <f t="shared" si="110"/>
        <v>42.099999984</v>
      </c>
    </row>
    <row r="849" spans="1:13" x14ac:dyDescent="0.25">
      <c r="A849" s="9">
        <f>Speed!A849</f>
        <v>45701.290439814817</v>
      </c>
      <c r="B849" s="9">
        <f t="shared" si="105"/>
        <v>45701.290439814809</v>
      </c>
      <c r="C849" s="2">
        <f>Speed!B849</f>
        <v>11.188888889999999</v>
      </c>
      <c r="D849" s="9">
        <f>Odometer!A849</f>
        <v>45701.291134259256</v>
      </c>
      <c r="E849" s="9">
        <f t="shared" si="106"/>
        <v>45701.291134259256</v>
      </c>
      <c r="F849" s="2">
        <f>Odometer!B849</f>
        <v>428756585</v>
      </c>
      <c r="G849" s="2">
        <f t="shared" si="107"/>
        <v>6</v>
      </c>
      <c r="H849" s="2">
        <f>SUM($G$2:G849)</f>
        <v>6693</v>
      </c>
      <c r="I849" s="10">
        <f t="shared" si="108"/>
        <v>45701.290439814817</v>
      </c>
      <c r="J849" s="10">
        <f t="shared" si="109"/>
        <v>45701.290439814809</v>
      </c>
      <c r="K849" s="3">
        <f t="shared" si="111"/>
        <v>6375</v>
      </c>
      <c r="L849">
        <f t="shared" si="104"/>
        <v>11.188888889999999</v>
      </c>
      <c r="M849">
        <f t="shared" si="110"/>
        <v>40.280000004000001</v>
      </c>
    </row>
    <row r="850" spans="1:13" x14ac:dyDescent="0.25">
      <c r="A850" s="9">
        <f>Speed!A850</f>
        <v>45701.290451388886</v>
      </c>
      <c r="B850" s="9">
        <f t="shared" si="105"/>
        <v>45701.290451388886</v>
      </c>
      <c r="C850" s="2">
        <f>Speed!B850</f>
        <v>10.98611111</v>
      </c>
      <c r="D850" s="9">
        <f>Odometer!A850</f>
        <v>45701.291145833333</v>
      </c>
      <c r="E850" s="9">
        <f t="shared" si="106"/>
        <v>45701.291145833333</v>
      </c>
      <c r="F850" s="2">
        <f>Odometer!B850</f>
        <v>428756591</v>
      </c>
      <c r="G850" s="2">
        <f t="shared" si="107"/>
        <v>5</v>
      </c>
      <c r="H850" s="2">
        <f>SUM($G$2:G850)</f>
        <v>6698</v>
      </c>
      <c r="I850" s="10">
        <f t="shared" si="108"/>
        <v>45701.290451388886</v>
      </c>
      <c r="J850" s="10">
        <f t="shared" si="109"/>
        <v>45701.290451388886</v>
      </c>
      <c r="K850" s="3">
        <f t="shared" si="111"/>
        <v>6376</v>
      </c>
      <c r="L850">
        <f t="shared" si="104"/>
        <v>10.98611111</v>
      </c>
      <c r="M850">
        <f t="shared" si="110"/>
        <v>39.549999995999997</v>
      </c>
    </row>
    <row r="851" spans="1:13" x14ac:dyDescent="0.25">
      <c r="A851" s="9">
        <f>Speed!A851</f>
        <v>45701.290451388886</v>
      </c>
      <c r="B851" s="9">
        <f t="shared" si="105"/>
        <v>45701.290451388886</v>
      </c>
      <c r="C851" s="2">
        <f>Speed!B851</f>
        <v>10.96944444</v>
      </c>
      <c r="D851" s="9">
        <f>Odometer!A851</f>
        <v>45701.291145833333</v>
      </c>
      <c r="E851" s="9">
        <f t="shared" si="106"/>
        <v>45701.291145833333</v>
      </c>
      <c r="F851" s="2">
        <f>Odometer!B851</f>
        <v>428756596</v>
      </c>
      <c r="G851" s="2">
        <f t="shared" si="107"/>
        <v>6</v>
      </c>
      <c r="H851" s="2">
        <f>SUM($G$2:G851)</f>
        <v>6704</v>
      </c>
      <c r="I851" s="10">
        <f t="shared" si="108"/>
        <v>45701.290451388886</v>
      </c>
      <c r="J851" s="10">
        <f t="shared" si="109"/>
        <v>45701.290451388886</v>
      </c>
      <c r="K851" s="3">
        <f t="shared" si="111"/>
        <v>6376</v>
      </c>
      <c r="L851">
        <f t="shared" si="104"/>
        <v>10.98611111</v>
      </c>
      <c r="M851">
        <f t="shared" si="110"/>
        <v>39.549999995999997</v>
      </c>
    </row>
    <row r="852" spans="1:13" x14ac:dyDescent="0.25">
      <c r="A852" s="9">
        <f>Speed!A852</f>
        <v>45701.290462962963</v>
      </c>
      <c r="B852" s="9">
        <f t="shared" si="105"/>
        <v>45701.290462962963</v>
      </c>
      <c r="C852" s="2">
        <f>Speed!B852</f>
        <v>10.80277778</v>
      </c>
      <c r="D852" s="9">
        <f>Odometer!A852</f>
        <v>45701.291168981479</v>
      </c>
      <c r="E852" s="9">
        <f t="shared" si="106"/>
        <v>45701.291168981479</v>
      </c>
      <c r="F852" s="2">
        <f>Odometer!B852</f>
        <v>428756602</v>
      </c>
      <c r="G852" s="2">
        <f t="shared" si="107"/>
        <v>5</v>
      </c>
      <c r="H852" s="2">
        <f>SUM($G$2:G852)</f>
        <v>6709</v>
      </c>
      <c r="I852" s="10">
        <f t="shared" si="108"/>
        <v>45701.290462962963</v>
      </c>
      <c r="J852" s="10">
        <f t="shared" si="109"/>
        <v>45701.290462962963</v>
      </c>
      <c r="K852" s="3" t="e">
        <f t="shared" si="111"/>
        <v>#N/A</v>
      </c>
      <c r="L852">
        <f t="shared" si="104"/>
        <v>10.80277778</v>
      </c>
      <c r="M852">
        <f t="shared" si="110"/>
        <v>38.890000008000001</v>
      </c>
    </row>
    <row r="853" spans="1:13" x14ac:dyDescent="0.25">
      <c r="A853" s="9">
        <f>Speed!A853</f>
        <v>45701.29047453704</v>
      </c>
      <c r="B853" s="9">
        <f t="shared" si="105"/>
        <v>45701.290474537032</v>
      </c>
      <c r="C853" s="2">
        <f>Speed!B853</f>
        <v>10.574999999999999</v>
      </c>
      <c r="D853" s="9">
        <f>Odometer!A853</f>
        <v>45701.291180555556</v>
      </c>
      <c r="E853" s="9">
        <f t="shared" si="106"/>
        <v>45701.291180555556</v>
      </c>
      <c r="F853" s="2">
        <f>Odometer!B853</f>
        <v>428756607</v>
      </c>
      <c r="G853" s="2">
        <f t="shared" si="107"/>
        <v>6</v>
      </c>
      <c r="H853" s="2">
        <f>SUM($G$2:G853)</f>
        <v>6715</v>
      </c>
      <c r="I853" s="10">
        <f t="shared" si="108"/>
        <v>45701.29047453704</v>
      </c>
      <c r="J853" s="10">
        <f t="shared" si="109"/>
        <v>45701.290474537032</v>
      </c>
      <c r="K853" s="3">
        <f t="shared" si="111"/>
        <v>6408</v>
      </c>
      <c r="L853">
        <f t="shared" si="104"/>
        <v>10.574999999999999</v>
      </c>
      <c r="M853">
        <f t="shared" si="110"/>
        <v>38.07</v>
      </c>
    </row>
    <row r="854" spans="1:13" x14ac:dyDescent="0.25">
      <c r="A854" s="9">
        <f>Speed!A854</f>
        <v>45701.290486111109</v>
      </c>
      <c r="B854" s="9">
        <f t="shared" si="105"/>
        <v>45701.290486111109</v>
      </c>
      <c r="C854" s="2">
        <f>Speed!B854</f>
        <v>10.3</v>
      </c>
      <c r="D854" s="9">
        <f>Odometer!A854</f>
        <v>45701.291180555556</v>
      </c>
      <c r="E854" s="9">
        <f t="shared" si="106"/>
        <v>45701.291180555556</v>
      </c>
      <c r="F854" s="2">
        <f>Odometer!B854</f>
        <v>428756613</v>
      </c>
      <c r="G854" s="2">
        <f t="shared" si="107"/>
        <v>1</v>
      </c>
      <c r="H854" s="2">
        <f>SUM($G$2:G854)</f>
        <v>6716</v>
      </c>
      <c r="I854" s="10">
        <f t="shared" si="108"/>
        <v>45701.290486111109</v>
      </c>
      <c r="J854" s="10">
        <f t="shared" si="109"/>
        <v>45701.290486111109</v>
      </c>
      <c r="K854" s="3">
        <f t="shared" si="111"/>
        <v>6417</v>
      </c>
      <c r="L854">
        <f t="shared" si="104"/>
        <v>10.3</v>
      </c>
      <c r="M854">
        <f t="shared" si="110"/>
        <v>37.080000000000005</v>
      </c>
    </row>
    <row r="855" spans="1:13" x14ac:dyDescent="0.25">
      <c r="A855" s="9">
        <f>Speed!A855</f>
        <v>45701.290497685186</v>
      </c>
      <c r="B855" s="9">
        <f t="shared" si="105"/>
        <v>45701.290497685186</v>
      </c>
      <c r="C855" s="2">
        <f>Speed!B855</f>
        <v>10.04722222</v>
      </c>
      <c r="D855" s="9">
        <f>Odometer!A855</f>
        <v>45701.291192129633</v>
      </c>
      <c r="E855" s="9">
        <f t="shared" si="106"/>
        <v>45701.291192129625</v>
      </c>
      <c r="F855" s="2">
        <f>Odometer!B855</f>
        <v>428756614</v>
      </c>
      <c r="G855" s="2">
        <f t="shared" si="107"/>
        <v>6</v>
      </c>
      <c r="H855" s="2">
        <f>SUM($G$2:G855)</f>
        <v>6722</v>
      </c>
      <c r="I855" s="10">
        <f t="shared" si="108"/>
        <v>45701.290497685186</v>
      </c>
      <c r="J855" s="10">
        <f t="shared" si="109"/>
        <v>45701.290497685186</v>
      </c>
      <c r="K855" s="3">
        <f t="shared" si="111"/>
        <v>6427</v>
      </c>
      <c r="L855">
        <f t="shared" si="104"/>
        <v>10.04722222</v>
      </c>
      <c r="M855">
        <f t="shared" si="110"/>
        <v>36.169999992000001</v>
      </c>
    </row>
    <row r="856" spans="1:13" x14ac:dyDescent="0.25">
      <c r="A856" s="9">
        <f>Speed!A856</f>
        <v>45701.290509259263</v>
      </c>
      <c r="B856" s="9">
        <f t="shared" si="105"/>
        <v>45701.290509259255</v>
      </c>
      <c r="C856" s="2">
        <f>Speed!B856</f>
        <v>9.4055555559999995</v>
      </c>
      <c r="D856" s="9">
        <f>Odometer!A856</f>
        <v>45701.291203703702</v>
      </c>
      <c r="E856" s="9">
        <f t="shared" si="106"/>
        <v>45701.291203703702</v>
      </c>
      <c r="F856" s="2">
        <f>Odometer!B856</f>
        <v>428756620</v>
      </c>
      <c r="G856" s="2">
        <f t="shared" si="107"/>
        <v>6</v>
      </c>
      <c r="H856" s="2">
        <f>SUM($G$2:G856)</f>
        <v>6728</v>
      </c>
      <c r="I856" s="10">
        <f t="shared" si="108"/>
        <v>45701.290509259263</v>
      </c>
      <c r="J856" s="10">
        <f t="shared" si="109"/>
        <v>45701.290509259255</v>
      </c>
      <c r="K856" s="3">
        <f t="shared" si="111"/>
        <v>6436</v>
      </c>
      <c r="L856">
        <f t="shared" si="104"/>
        <v>9.4055555559999995</v>
      </c>
      <c r="M856">
        <f t="shared" si="110"/>
        <v>33.8600000016</v>
      </c>
    </row>
    <row r="857" spans="1:13" x14ac:dyDescent="0.25">
      <c r="A857" s="9">
        <f>Speed!A857</f>
        <v>45701.290520833332</v>
      </c>
      <c r="B857" s="9">
        <f t="shared" si="105"/>
        <v>45701.290520833332</v>
      </c>
      <c r="C857" s="2">
        <f>Speed!B857</f>
        <v>8.8388888889999997</v>
      </c>
      <c r="D857" s="9">
        <f>Odometer!A857</f>
        <v>45701.291215277779</v>
      </c>
      <c r="E857" s="9">
        <f t="shared" si="106"/>
        <v>45701.291215277779</v>
      </c>
      <c r="F857" s="2">
        <f>Odometer!B857</f>
        <v>428756626</v>
      </c>
      <c r="G857" s="2">
        <f t="shared" si="107"/>
        <v>1</v>
      </c>
      <c r="H857" s="2">
        <f>SUM($G$2:G857)</f>
        <v>6729</v>
      </c>
      <c r="I857" s="10">
        <f t="shared" si="108"/>
        <v>45701.290520833332</v>
      </c>
      <c r="J857" s="10">
        <f t="shared" si="109"/>
        <v>45701.290520833332</v>
      </c>
      <c r="K857" s="3">
        <f t="shared" si="111"/>
        <v>6445</v>
      </c>
      <c r="L857">
        <f t="shared" si="104"/>
        <v>8.8388888889999997</v>
      </c>
      <c r="M857">
        <f t="shared" si="110"/>
        <v>31.8200000004</v>
      </c>
    </row>
    <row r="858" spans="1:13" x14ac:dyDescent="0.25">
      <c r="A858" s="9">
        <f>Speed!A858</f>
        <v>45701.290532407409</v>
      </c>
      <c r="B858" s="9">
        <f t="shared" si="105"/>
        <v>45701.290532407402</v>
      </c>
      <c r="C858" s="2">
        <f>Speed!B858</f>
        <v>8.5250000000000004</v>
      </c>
      <c r="D858" s="9">
        <f>Odometer!A858</f>
        <v>45701.291215277779</v>
      </c>
      <c r="E858" s="9">
        <f t="shared" si="106"/>
        <v>45701.291215277779</v>
      </c>
      <c r="F858" s="2">
        <f>Odometer!B858</f>
        <v>428756627</v>
      </c>
      <c r="G858" s="2">
        <f t="shared" si="107"/>
        <v>4</v>
      </c>
      <c r="H858" s="2">
        <f>SUM($G$2:G858)</f>
        <v>6733</v>
      </c>
      <c r="I858" s="10">
        <f t="shared" si="108"/>
        <v>45701.290532407409</v>
      </c>
      <c r="J858" s="10">
        <f t="shared" si="109"/>
        <v>45701.290532407402</v>
      </c>
      <c r="K858" s="3">
        <f t="shared" si="111"/>
        <v>6454</v>
      </c>
      <c r="L858">
        <f t="shared" si="104"/>
        <v>8.5250000000000004</v>
      </c>
      <c r="M858">
        <f t="shared" si="110"/>
        <v>30.69</v>
      </c>
    </row>
    <row r="859" spans="1:13" x14ac:dyDescent="0.25">
      <c r="A859" s="9">
        <f>Speed!A859</f>
        <v>45701.290543981479</v>
      </c>
      <c r="B859" s="9">
        <f t="shared" si="105"/>
        <v>45701.290543981479</v>
      </c>
      <c r="C859" s="2">
        <f>Speed!B859</f>
        <v>8.0888888889999997</v>
      </c>
      <c r="D859" s="9">
        <f>Odometer!A859</f>
        <v>45701.291226851848</v>
      </c>
      <c r="E859" s="9">
        <f t="shared" si="106"/>
        <v>45701.291226851848</v>
      </c>
      <c r="F859" s="2">
        <f>Odometer!B859</f>
        <v>428756631</v>
      </c>
      <c r="G859" s="2">
        <f t="shared" si="107"/>
        <v>6</v>
      </c>
      <c r="H859" s="2">
        <f>SUM($G$2:G859)</f>
        <v>6739</v>
      </c>
      <c r="I859" s="10">
        <f t="shared" si="108"/>
        <v>45701.290543981479</v>
      </c>
      <c r="J859" s="10">
        <f t="shared" si="109"/>
        <v>45701.290543981479</v>
      </c>
      <c r="K859" s="3">
        <f t="shared" si="111"/>
        <v>6461</v>
      </c>
      <c r="L859">
        <f t="shared" si="104"/>
        <v>8.0888888889999997</v>
      </c>
      <c r="M859">
        <f t="shared" si="110"/>
        <v>29.120000000400001</v>
      </c>
    </row>
    <row r="860" spans="1:13" x14ac:dyDescent="0.25">
      <c r="A860" s="9">
        <f>Speed!A860</f>
        <v>45701.290555555555</v>
      </c>
      <c r="B860" s="9">
        <f t="shared" si="105"/>
        <v>45701.290555555555</v>
      </c>
      <c r="C860" s="2">
        <f>Speed!B860</f>
        <v>7.625</v>
      </c>
      <c r="D860" s="9">
        <f>Odometer!A860</f>
        <v>45701.291238425925</v>
      </c>
      <c r="E860" s="9">
        <f t="shared" si="106"/>
        <v>45701.291238425925</v>
      </c>
      <c r="F860" s="2">
        <f>Odometer!B860</f>
        <v>428756637</v>
      </c>
      <c r="G860" s="2">
        <f t="shared" si="107"/>
        <v>1</v>
      </c>
      <c r="H860" s="2">
        <f>SUM($G$2:G860)</f>
        <v>6740</v>
      </c>
      <c r="I860" s="10">
        <f t="shared" si="108"/>
        <v>45701.290555555555</v>
      </c>
      <c r="J860" s="10">
        <f t="shared" si="109"/>
        <v>45701.290555555555</v>
      </c>
      <c r="K860" s="3">
        <f t="shared" si="111"/>
        <v>6469</v>
      </c>
      <c r="L860">
        <f t="shared" si="104"/>
        <v>7.625</v>
      </c>
      <c r="M860">
        <f t="shared" si="110"/>
        <v>27.45</v>
      </c>
    </row>
    <row r="861" spans="1:13" x14ac:dyDescent="0.25">
      <c r="A861" s="9">
        <f>Speed!A861</f>
        <v>45701.290555555555</v>
      </c>
      <c r="B861" s="9">
        <f t="shared" si="105"/>
        <v>45701.290555555555</v>
      </c>
      <c r="C861" s="2">
        <f>Speed!B861</f>
        <v>7.6</v>
      </c>
      <c r="D861" s="9">
        <f>Odometer!A861</f>
        <v>45701.291238425925</v>
      </c>
      <c r="E861" s="9">
        <f t="shared" si="106"/>
        <v>45701.291238425925</v>
      </c>
      <c r="F861" s="2">
        <f>Odometer!B861</f>
        <v>428756638</v>
      </c>
      <c r="G861" s="2">
        <f t="shared" si="107"/>
        <v>4</v>
      </c>
      <c r="H861" s="2">
        <f>SUM($G$2:G861)</f>
        <v>6744</v>
      </c>
      <c r="I861" s="10">
        <f t="shared" si="108"/>
        <v>45701.290555555555</v>
      </c>
      <c r="J861" s="10">
        <f t="shared" si="109"/>
        <v>45701.290555555555</v>
      </c>
      <c r="K861" s="3">
        <f t="shared" si="111"/>
        <v>6469</v>
      </c>
      <c r="L861">
        <f t="shared" si="104"/>
        <v>7.625</v>
      </c>
      <c r="M861">
        <f t="shared" si="110"/>
        <v>27.45</v>
      </c>
    </row>
    <row r="862" spans="1:13" x14ac:dyDescent="0.25">
      <c r="A862" s="9">
        <f>Speed!A862</f>
        <v>45701.290567129632</v>
      </c>
      <c r="B862" s="9">
        <f t="shared" si="105"/>
        <v>45701.290567129625</v>
      </c>
      <c r="C862" s="2">
        <f>Speed!B862</f>
        <v>7.0805555560000002</v>
      </c>
      <c r="D862" s="9">
        <f>Odometer!A862</f>
        <v>45701.291238425925</v>
      </c>
      <c r="E862" s="9">
        <f t="shared" si="106"/>
        <v>45701.291238425925</v>
      </c>
      <c r="F862" s="2">
        <f>Odometer!B862</f>
        <v>428756642</v>
      </c>
      <c r="G862" s="2">
        <f t="shared" si="107"/>
        <v>6</v>
      </c>
      <c r="H862" s="2">
        <f>SUM($G$2:G862)</f>
        <v>6750</v>
      </c>
      <c r="I862" s="10">
        <f t="shared" si="108"/>
        <v>45701.290567129632</v>
      </c>
      <c r="J862" s="10">
        <f t="shared" si="109"/>
        <v>45701.290567129625</v>
      </c>
      <c r="K862" s="3">
        <f t="shared" si="111"/>
        <v>6475</v>
      </c>
      <c r="L862">
        <f t="shared" si="104"/>
        <v>7.0805555560000002</v>
      </c>
      <c r="M862">
        <f t="shared" si="110"/>
        <v>25.490000001600002</v>
      </c>
    </row>
    <row r="863" spans="1:13" x14ac:dyDescent="0.25">
      <c r="A863" s="9">
        <f>Speed!A863</f>
        <v>45701.290578703702</v>
      </c>
      <c r="B863" s="9">
        <f t="shared" si="105"/>
        <v>45701.290578703702</v>
      </c>
      <c r="C863" s="2">
        <f>Speed!B863</f>
        <v>6.6111111109999996</v>
      </c>
      <c r="D863" s="9">
        <f>Odometer!A863</f>
        <v>45701.291261574072</v>
      </c>
      <c r="E863" s="9">
        <f t="shared" si="106"/>
        <v>45701.291261574072</v>
      </c>
      <c r="F863" s="2">
        <f>Odometer!B863</f>
        <v>428756648</v>
      </c>
      <c r="G863" s="2">
        <f t="shared" si="107"/>
        <v>4</v>
      </c>
      <c r="H863" s="2">
        <f>SUM($G$2:G863)</f>
        <v>6754</v>
      </c>
      <c r="I863" s="10">
        <f t="shared" si="108"/>
        <v>45701.290578703702</v>
      </c>
      <c r="J863" s="10">
        <f t="shared" si="109"/>
        <v>45701.290578703702</v>
      </c>
      <c r="K863" s="3">
        <f t="shared" si="111"/>
        <v>6482</v>
      </c>
      <c r="L863">
        <f t="shared" si="104"/>
        <v>6.6111111109999996</v>
      </c>
      <c r="M863">
        <f t="shared" si="110"/>
        <v>23.799999999600001</v>
      </c>
    </row>
    <row r="864" spans="1:13" x14ac:dyDescent="0.25">
      <c r="A864" s="9">
        <f>Speed!A864</f>
        <v>45701.290590277778</v>
      </c>
      <c r="B864" s="9">
        <f t="shared" si="105"/>
        <v>45701.290590277778</v>
      </c>
      <c r="C864" s="2">
        <f>Speed!B864</f>
        <v>6.0805555560000002</v>
      </c>
      <c r="D864" s="9">
        <f>Odometer!A864</f>
        <v>45701.291273148148</v>
      </c>
      <c r="E864" s="9">
        <f t="shared" si="106"/>
        <v>45701.291273148148</v>
      </c>
      <c r="F864" s="2">
        <f>Odometer!B864</f>
        <v>428756652</v>
      </c>
      <c r="G864" s="2">
        <f t="shared" si="107"/>
        <v>4</v>
      </c>
      <c r="H864" s="2">
        <f>SUM($G$2:G864)</f>
        <v>6758</v>
      </c>
      <c r="I864" s="10">
        <f t="shared" si="108"/>
        <v>45701.290590277778</v>
      </c>
      <c r="J864" s="10">
        <f t="shared" si="109"/>
        <v>45701.290590277778</v>
      </c>
      <c r="K864" s="3">
        <f t="shared" si="111"/>
        <v>6487</v>
      </c>
      <c r="L864">
        <f t="shared" si="104"/>
        <v>6.0805555560000002</v>
      </c>
      <c r="M864">
        <f t="shared" si="110"/>
        <v>21.890000001600001</v>
      </c>
    </row>
    <row r="865" spans="1:13" x14ac:dyDescent="0.25">
      <c r="A865" s="9">
        <f>Speed!A865</f>
        <v>45701.290601851855</v>
      </c>
      <c r="B865" s="9">
        <f t="shared" si="105"/>
        <v>45701.290601851848</v>
      </c>
      <c r="C865" s="2">
        <f>Speed!B865</f>
        <v>5.3</v>
      </c>
      <c r="D865" s="9">
        <f>Odometer!A865</f>
        <v>45701.291284722225</v>
      </c>
      <c r="E865" s="9">
        <f t="shared" si="106"/>
        <v>45701.291284722218</v>
      </c>
      <c r="F865" s="2">
        <f>Odometer!B865</f>
        <v>428756656</v>
      </c>
      <c r="G865" s="2">
        <f t="shared" si="107"/>
        <v>4</v>
      </c>
      <c r="H865" s="2">
        <f>SUM($G$2:G865)</f>
        <v>6762</v>
      </c>
      <c r="I865" s="10">
        <f t="shared" si="108"/>
        <v>45701.290601851855</v>
      </c>
      <c r="J865" s="10">
        <f t="shared" si="109"/>
        <v>45701.290601851848</v>
      </c>
      <c r="K865" s="3">
        <f t="shared" si="111"/>
        <v>6492</v>
      </c>
      <c r="L865">
        <f t="shared" si="104"/>
        <v>5.3</v>
      </c>
      <c r="M865">
        <f t="shared" si="110"/>
        <v>19.079999999999998</v>
      </c>
    </row>
    <row r="866" spans="1:13" x14ac:dyDescent="0.25">
      <c r="A866" s="9">
        <f>Speed!A866</f>
        <v>45701.290613425925</v>
      </c>
      <c r="B866" s="9">
        <f t="shared" si="105"/>
        <v>45701.290613425925</v>
      </c>
      <c r="C866" s="2">
        <f>Speed!B866</f>
        <v>4.2888888889999999</v>
      </c>
      <c r="D866" s="9">
        <f>Odometer!A866</f>
        <v>45701.291296296295</v>
      </c>
      <c r="E866" s="9">
        <f t="shared" si="106"/>
        <v>45701.291296296295</v>
      </c>
      <c r="F866" s="2">
        <f>Odometer!B866</f>
        <v>428756660</v>
      </c>
      <c r="G866" s="2">
        <f t="shared" si="107"/>
        <v>2</v>
      </c>
      <c r="H866" s="2">
        <f>SUM($G$2:G866)</f>
        <v>6764</v>
      </c>
      <c r="I866" s="10">
        <f t="shared" si="108"/>
        <v>45701.290613425925</v>
      </c>
      <c r="J866" s="10">
        <f t="shared" si="109"/>
        <v>45701.290613425925</v>
      </c>
      <c r="K866" s="3">
        <f t="shared" si="111"/>
        <v>6494</v>
      </c>
      <c r="L866">
        <f t="shared" si="104"/>
        <v>4.2888888889999999</v>
      </c>
      <c r="M866">
        <f t="shared" si="110"/>
        <v>15.4400000004</v>
      </c>
    </row>
    <row r="867" spans="1:13" x14ac:dyDescent="0.25">
      <c r="A867" s="9">
        <f>Speed!A867</f>
        <v>45701.290613425925</v>
      </c>
      <c r="B867" s="9">
        <f t="shared" si="105"/>
        <v>45701.290613425925</v>
      </c>
      <c r="C867" s="2">
        <f>Speed!B867</f>
        <v>3.8666666670000001</v>
      </c>
      <c r="D867" s="9">
        <f>Odometer!A867</f>
        <v>45701.291307870371</v>
      </c>
      <c r="E867" s="9">
        <f t="shared" si="106"/>
        <v>45701.291307870371</v>
      </c>
      <c r="F867" s="2">
        <f>Odometer!B867</f>
        <v>428756662</v>
      </c>
      <c r="G867" s="2">
        <f t="shared" si="107"/>
        <v>2</v>
      </c>
      <c r="H867" s="2">
        <f>SUM($G$2:G867)</f>
        <v>6766</v>
      </c>
      <c r="I867" s="10">
        <f t="shared" si="108"/>
        <v>45701.290613425925</v>
      </c>
      <c r="J867" s="10">
        <f t="shared" si="109"/>
        <v>45701.290613425925</v>
      </c>
      <c r="K867" s="3">
        <f t="shared" si="111"/>
        <v>6494</v>
      </c>
      <c r="L867">
        <f t="shared" si="104"/>
        <v>4.2888888889999999</v>
      </c>
      <c r="M867">
        <f t="shared" si="110"/>
        <v>15.4400000004</v>
      </c>
    </row>
    <row r="868" spans="1:13" x14ac:dyDescent="0.25">
      <c r="A868" s="9">
        <f>Speed!A868</f>
        <v>45701.290625000001</v>
      </c>
      <c r="B868" s="9">
        <f t="shared" si="105"/>
        <v>45701.290624999994</v>
      </c>
      <c r="C868" s="2">
        <f>Speed!B868</f>
        <v>3.611111111</v>
      </c>
      <c r="D868" s="9">
        <f>Odometer!A868</f>
        <v>45701.291319444441</v>
      </c>
      <c r="E868" s="9">
        <f t="shared" si="106"/>
        <v>45701.291319444441</v>
      </c>
      <c r="F868" s="2">
        <f>Odometer!B868</f>
        <v>428756664</v>
      </c>
      <c r="G868" s="2">
        <f t="shared" si="107"/>
        <v>1</v>
      </c>
      <c r="H868" s="2">
        <f>SUM($G$2:G868)</f>
        <v>6767</v>
      </c>
      <c r="I868" s="10">
        <f t="shared" si="108"/>
        <v>45701.290625000001</v>
      </c>
      <c r="J868" s="10">
        <f t="shared" si="109"/>
        <v>45701.290624999994</v>
      </c>
      <c r="K868" s="3">
        <f t="shared" si="111"/>
        <v>6497</v>
      </c>
      <c r="L868">
        <f t="shared" si="104"/>
        <v>3.611111111</v>
      </c>
      <c r="M868">
        <f t="shared" si="110"/>
        <v>12.9999999996</v>
      </c>
    </row>
    <row r="869" spans="1:13" x14ac:dyDescent="0.25">
      <c r="A869" s="9">
        <f>Speed!A869</f>
        <v>45701.290625000001</v>
      </c>
      <c r="B869" s="9">
        <f t="shared" si="105"/>
        <v>45701.290624999994</v>
      </c>
      <c r="C869" s="2">
        <f>Speed!B869</f>
        <v>3.4472222220000002</v>
      </c>
      <c r="D869" s="9">
        <f>Odometer!A869</f>
        <v>45701.291331018518</v>
      </c>
      <c r="E869" s="9">
        <f t="shared" si="106"/>
        <v>45701.291331018518</v>
      </c>
      <c r="F869" s="2">
        <f>Odometer!B869</f>
        <v>428756665</v>
      </c>
      <c r="G869" s="2">
        <f t="shared" si="107"/>
        <v>1</v>
      </c>
      <c r="H869" s="2">
        <f>SUM($G$2:G869)</f>
        <v>6768</v>
      </c>
      <c r="I869" s="10">
        <f t="shared" si="108"/>
        <v>45701.290625000001</v>
      </c>
      <c r="J869" s="10">
        <f t="shared" si="109"/>
        <v>45701.290624999994</v>
      </c>
      <c r="K869" s="3">
        <f t="shared" si="111"/>
        <v>6497</v>
      </c>
      <c r="L869">
        <f t="shared" si="104"/>
        <v>3.611111111</v>
      </c>
      <c r="M869">
        <f t="shared" si="110"/>
        <v>12.9999999996</v>
      </c>
    </row>
    <row r="870" spans="1:13" x14ac:dyDescent="0.25">
      <c r="A870" s="9">
        <f>Speed!A870</f>
        <v>45701.290636574071</v>
      </c>
      <c r="B870" s="9">
        <f t="shared" si="105"/>
        <v>45701.290636574071</v>
      </c>
      <c r="C870" s="2">
        <f>Speed!B870</f>
        <v>3.391666667</v>
      </c>
      <c r="D870" s="9">
        <f>Odometer!A870</f>
        <v>45701.291342592594</v>
      </c>
      <c r="E870" s="9">
        <f t="shared" si="106"/>
        <v>45701.291342592587</v>
      </c>
      <c r="F870" s="2">
        <f>Odometer!B870</f>
        <v>428756666</v>
      </c>
      <c r="G870" s="2">
        <f t="shared" si="107"/>
        <v>1</v>
      </c>
      <c r="H870" s="2">
        <f>SUM($G$2:G870)</f>
        <v>6769</v>
      </c>
      <c r="I870" s="10">
        <f t="shared" si="108"/>
        <v>45701.290636574071</v>
      </c>
      <c r="J870" s="10">
        <f t="shared" si="109"/>
        <v>45701.290636574071</v>
      </c>
      <c r="K870" s="3">
        <f t="shared" si="111"/>
        <v>6500</v>
      </c>
      <c r="L870">
        <f t="shared" si="104"/>
        <v>3.391666667</v>
      </c>
      <c r="M870">
        <f t="shared" si="110"/>
        <v>12.210000001200001</v>
      </c>
    </row>
    <row r="871" spans="1:13" x14ac:dyDescent="0.25">
      <c r="A871" s="9">
        <f>Speed!A871</f>
        <v>45701.290636574071</v>
      </c>
      <c r="B871" s="9">
        <f t="shared" si="105"/>
        <v>45701.290636574071</v>
      </c>
      <c r="C871" s="2">
        <f>Speed!B871</f>
        <v>3.3833333329999999</v>
      </c>
      <c r="D871" s="9">
        <f>Odometer!A871</f>
        <v>45701.291666666664</v>
      </c>
      <c r="E871" s="9">
        <f t="shared" si="106"/>
        <v>45701.291666666664</v>
      </c>
      <c r="F871" s="2">
        <f>Odometer!B871</f>
        <v>428756667</v>
      </c>
      <c r="G871" s="2">
        <f t="shared" si="107"/>
        <v>2</v>
      </c>
      <c r="H871" s="2">
        <f>SUM($G$2:G871)</f>
        <v>6771</v>
      </c>
      <c r="I871" s="10">
        <f t="shared" si="108"/>
        <v>45701.290636574071</v>
      </c>
      <c r="J871" s="10">
        <f t="shared" si="109"/>
        <v>45701.290636574071</v>
      </c>
      <c r="K871" s="3">
        <f t="shared" si="111"/>
        <v>6500</v>
      </c>
      <c r="L871">
        <f t="shared" si="104"/>
        <v>3.391666667</v>
      </c>
      <c r="M871">
        <f t="shared" si="110"/>
        <v>12.210000001200001</v>
      </c>
    </row>
    <row r="872" spans="1:13" x14ac:dyDescent="0.25">
      <c r="A872" s="9">
        <f>Speed!A872</f>
        <v>45701.290648148148</v>
      </c>
      <c r="B872" s="9">
        <f t="shared" si="105"/>
        <v>45701.290648148148</v>
      </c>
      <c r="C872" s="2">
        <f>Speed!B872</f>
        <v>3.3388888890000001</v>
      </c>
      <c r="D872" s="9">
        <f>Odometer!A872</f>
        <v>45701.291689814818</v>
      </c>
      <c r="E872" s="9">
        <f t="shared" si="106"/>
        <v>45701.291689814811</v>
      </c>
      <c r="F872" s="2">
        <f>Odometer!B872</f>
        <v>428756669</v>
      </c>
      <c r="G872" s="2">
        <f t="shared" si="107"/>
        <v>3</v>
      </c>
      <c r="H872" s="2">
        <f>SUM($G$2:G872)</f>
        <v>6774</v>
      </c>
      <c r="I872" s="10">
        <f t="shared" si="108"/>
        <v>45701.290648148148</v>
      </c>
      <c r="J872" s="10">
        <f t="shared" si="109"/>
        <v>45701.290648148148</v>
      </c>
      <c r="K872" s="3">
        <f t="shared" si="111"/>
        <v>6506</v>
      </c>
      <c r="L872">
        <f t="shared" si="104"/>
        <v>3.3388888890000001</v>
      </c>
      <c r="M872">
        <f t="shared" si="110"/>
        <v>12.020000000400001</v>
      </c>
    </row>
    <row r="873" spans="1:13" x14ac:dyDescent="0.25">
      <c r="A873" s="9">
        <f>Speed!A873</f>
        <v>45701.290659722225</v>
      </c>
      <c r="B873" s="9">
        <f t="shared" si="105"/>
        <v>45701.290659722217</v>
      </c>
      <c r="C873" s="2">
        <f>Speed!B873</f>
        <v>3.494444444</v>
      </c>
      <c r="D873" s="9">
        <f>Odometer!A873</f>
        <v>45701.291689814818</v>
      </c>
      <c r="E873" s="9">
        <f t="shared" si="106"/>
        <v>45701.291689814811</v>
      </c>
      <c r="F873" s="2">
        <f>Odometer!B873</f>
        <v>428756672</v>
      </c>
      <c r="G873" s="2">
        <f t="shared" si="107"/>
        <v>5</v>
      </c>
      <c r="H873" s="2">
        <f>SUM($G$2:G873)</f>
        <v>6779</v>
      </c>
      <c r="I873" s="10">
        <f t="shared" si="108"/>
        <v>45701.290659722225</v>
      </c>
      <c r="J873" s="10">
        <f t="shared" si="109"/>
        <v>45701.290659722217</v>
      </c>
      <c r="K873" s="3">
        <f t="shared" si="111"/>
        <v>6510</v>
      </c>
      <c r="L873">
        <f t="shared" si="104"/>
        <v>3.494444444</v>
      </c>
      <c r="M873">
        <f t="shared" si="110"/>
        <v>12.5799999984</v>
      </c>
    </row>
    <row r="874" spans="1:13" x14ac:dyDescent="0.25">
      <c r="A874" s="9">
        <f>Speed!A874</f>
        <v>45701.290671296294</v>
      </c>
      <c r="B874" s="9">
        <f t="shared" si="105"/>
        <v>45701.290671296294</v>
      </c>
      <c r="C874" s="2">
        <f>Speed!B874</f>
        <v>3.6666666669999999</v>
      </c>
      <c r="D874" s="9">
        <f>Odometer!A874</f>
        <v>45701.291712962964</v>
      </c>
      <c r="E874" s="9">
        <f t="shared" si="106"/>
        <v>45701.291712962964</v>
      </c>
      <c r="F874" s="2">
        <f>Odometer!B874</f>
        <v>428756677</v>
      </c>
      <c r="G874" s="2">
        <f t="shared" si="107"/>
        <v>5</v>
      </c>
      <c r="H874" s="2">
        <f>SUM($G$2:G874)</f>
        <v>6784</v>
      </c>
      <c r="I874" s="10">
        <f t="shared" si="108"/>
        <v>45701.290671296294</v>
      </c>
      <c r="J874" s="10">
        <f t="shared" si="109"/>
        <v>45701.290671296294</v>
      </c>
      <c r="K874" s="3">
        <f t="shared" si="111"/>
        <v>6513</v>
      </c>
      <c r="L874">
        <f t="shared" si="104"/>
        <v>3.6666666669999999</v>
      </c>
      <c r="M874">
        <f t="shared" si="110"/>
        <v>13.200000001199999</v>
      </c>
    </row>
    <row r="875" spans="1:13" x14ac:dyDescent="0.25">
      <c r="A875" s="9">
        <f>Speed!A875</f>
        <v>45701.290671296294</v>
      </c>
      <c r="B875" s="9">
        <f t="shared" si="105"/>
        <v>45701.290671296294</v>
      </c>
      <c r="C875" s="2">
        <f>Speed!B875</f>
        <v>3.8027777779999998</v>
      </c>
      <c r="D875" s="9">
        <f>Odometer!A875</f>
        <v>45701.291724537034</v>
      </c>
      <c r="E875" s="9">
        <f t="shared" si="106"/>
        <v>45701.291724537034</v>
      </c>
      <c r="F875" s="2">
        <f>Odometer!B875</f>
        <v>428756682</v>
      </c>
      <c r="G875" s="2">
        <f t="shared" si="107"/>
        <v>1</v>
      </c>
      <c r="H875" s="2">
        <f>SUM($G$2:G875)</f>
        <v>6785</v>
      </c>
      <c r="I875" s="10">
        <f t="shared" si="108"/>
        <v>45701.290671296294</v>
      </c>
      <c r="J875" s="10">
        <f t="shared" si="109"/>
        <v>45701.290671296294</v>
      </c>
      <c r="K875" s="3">
        <f t="shared" si="111"/>
        <v>6513</v>
      </c>
      <c r="L875">
        <f t="shared" si="104"/>
        <v>3.6666666669999999</v>
      </c>
      <c r="M875">
        <f t="shared" si="110"/>
        <v>13.200000001199999</v>
      </c>
    </row>
    <row r="876" spans="1:13" x14ac:dyDescent="0.25">
      <c r="A876" s="9">
        <f>Speed!A876</f>
        <v>45701.290694444448</v>
      </c>
      <c r="B876" s="9">
        <f t="shared" si="105"/>
        <v>45701.29069444444</v>
      </c>
      <c r="C876" s="2">
        <f>Speed!B876</f>
        <v>3.9527777780000002</v>
      </c>
      <c r="D876" s="9">
        <f>Odometer!A876</f>
        <v>45701.291724537034</v>
      </c>
      <c r="E876" s="9">
        <f t="shared" si="106"/>
        <v>45701.291724537034</v>
      </c>
      <c r="F876" s="2">
        <f>Odometer!B876</f>
        <v>428756683</v>
      </c>
      <c r="G876" s="2">
        <f t="shared" si="107"/>
        <v>6</v>
      </c>
      <c r="H876" s="2">
        <f>SUM($G$2:G876)</f>
        <v>6791</v>
      </c>
      <c r="I876" s="10">
        <f t="shared" si="108"/>
        <v>45701.290694444448</v>
      </c>
      <c r="J876" s="10">
        <f t="shared" si="109"/>
        <v>45701.29069444444</v>
      </c>
      <c r="K876" s="3">
        <f t="shared" si="111"/>
        <v>6518</v>
      </c>
      <c r="L876">
        <f t="shared" si="104"/>
        <v>3.9527777780000002</v>
      </c>
      <c r="M876">
        <f t="shared" si="110"/>
        <v>14.2300000008</v>
      </c>
    </row>
    <row r="877" spans="1:13" x14ac:dyDescent="0.25">
      <c r="A877" s="9">
        <f>Speed!A877</f>
        <v>45701.290694444448</v>
      </c>
      <c r="B877" s="9">
        <f t="shared" si="105"/>
        <v>45701.29069444444</v>
      </c>
      <c r="C877" s="2">
        <f>Speed!B877</f>
        <v>3.9611111110000001</v>
      </c>
      <c r="D877" s="9">
        <f>Odometer!A877</f>
        <v>45701.29173611111</v>
      </c>
      <c r="E877" s="9">
        <f t="shared" si="106"/>
        <v>45701.29173611111</v>
      </c>
      <c r="F877" s="2">
        <f>Odometer!B877</f>
        <v>428756689</v>
      </c>
      <c r="G877" s="2">
        <f t="shared" si="107"/>
        <v>8</v>
      </c>
      <c r="H877" s="2">
        <f>SUM($G$2:G877)</f>
        <v>6799</v>
      </c>
      <c r="I877" s="10">
        <f t="shared" si="108"/>
        <v>45701.290694444448</v>
      </c>
      <c r="J877" s="10">
        <f t="shared" si="109"/>
        <v>45701.29069444444</v>
      </c>
      <c r="K877" s="3">
        <f t="shared" si="111"/>
        <v>6518</v>
      </c>
      <c r="L877">
        <f t="shared" si="104"/>
        <v>3.9527777780000002</v>
      </c>
      <c r="M877">
        <f t="shared" si="110"/>
        <v>14.2300000008</v>
      </c>
    </row>
    <row r="878" spans="1:13" x14ac:dyDescent="0.25">
      <c r="A878" s="9">
        <f>Speed!A878</f>
        <v>45701.290706018517</v>
      </c>
      <c r="B878" s="9">
        <f t="shared" si="105"/>
        <v>45701.290706018517</v>
      </c>
      <c r="C878" s="2">
        <f>Speed!B878</f>
        <v>4.1472222219999999</v>
      </c>
      <c r="D878" s="9">
        <f>Odometer!A878</f>
        <v>45701.291747685187</v>
      </c>
      <c r="E878" s="9">
        <f t="shared" si="106"/>
        <v>45701.29174768518</v>
      </c>
      <c r="F878" s="2">
        <f>Odometer!B878</f>
        <v>428756697</v>
      </c>
      <c r="G878" s="2">
        <f t="shared" si="107"/>
        <v>9</v>
      </c>
      <c r="H878" s="2">
        <f>SUM($G$2:G878)</f>
        <v>6808</v>
      </c>
      <c r="I878" s="10">
        <f t="shared" si="108"/>
        <v>45701.290706018517</v>
      </c>
      <c r="J878" s="10">
        <f t="shared" si="109"/>
        <v>45701.290706018517</v>
      </c>
      <c r="K878" s="3">
        <f t="shared" si="111"/>
        <v>6526</v>
      </c>
      <c r="L878">
        <f t="shared" si="104"/>
        <v>4.1472222219999999</v>
      </c>
      <c r="M878">
        <f t="shared" si="110"/>
        <v>14.9299999992</v>
      </c>
    </row>
    <row r="879" spans="1:13" x14ac:dyDescent="0.25">
      <c r="A879" s="9">
        <f>Speed!A879</f>
        <v>45701.290717592594</v>
      </c>
      <c r="B879" s="9">
        <f t="shared" si="105"/>
        <v>45701.290717592594</v>
      </c>
      <c r="C879" s="2">
        <f>Speed!B879</f>
        <v>4.1638888889999999</v>
      </c>
      <c r="D879" s="9">
        <f>Odometer!A879</f>
        <v>45701.291759259257</v>
      </c>
      <c r="E879" s="9">
        <f t="shared" si="106"/>
        <v>45701.291759259257</v>
      </c>
      <c r="F879" s="2">
        <f>Odometer!B879</f>
        <v>428756706</v>
      </c>
      <c r="G879" s="2">
        <f t="shared" si="107"/>
        <v>10</v>
      </c>
      <c r="H879" s="2">
        <f>SUM($G$2:G879)</f>
        <v>6818</v>
      </c>
      <c r="I879" s="10">
        <f t="shared" si="108"/>
        <v>45701.290717592594</v>
      </c>
      <c r="J879" s="10">
        <f t="shared" si="109"/>
        <v>45701.290717592594</v>
      </c>
      <c r="K879" s="3">
        <f t="shared" si="111"/>
        <v>6529</v>
      </c>
      <c r="L879">
        <f t="shared" si="104"/>
        <v>4.1638888889999999</v>
      </c>
      <c r="M879">
        <f t="shared" si="110"/>
        <v>14.9900000004</v>
      </c>
    </row>
    <row r="880" spans="1:13" x14ac:dyDescent="0.25">
      <c r="A880" s="9">
        <f>Speed!A880</f>
        <v>45701.290717592594</v>
      </c>
      <c r="B880" s="9">
        <f t="shared" si="105"/>
        <v>45701.290717592594</v>
      </c>
      <c r="C880" s="2">
        <f>Speed!B880</f>
        <v>4.0999999999999996</v>
      </c>
      <c r="D880" s="9">
        <f>Odometer!A880</f>
        <v>45701.291770833333</v>
      </c>
      <c r="E880" s="9">
        <f t="shared" si="106"/>
        <v>45701.291770833333</v>
      </c>
      <c r="F880" s="2">
        <f>Odometer!B880</f>
        <v>428756716</v>
      </c>
      <c r="G880" s="2">
        <f t="shared" si="107"/>
        <v>10</v>
      </c>
      <c r="H880" s="2">
        <f>SUM($G$2:G880)</f>
        <v>6828</v>
      </c>
      <c r="I880" s="10">
        <f t="shared" si="108"/>
        <v>45701.290717592594</v>
      </c>
      <c r="J880" s="10">
        <f t="shared" si="109"/>
        <v>45701.290717592594</v>
      </c>
      <c r="K880" s="3">
        <f t="shared" si="111"/>
        <v>6529</v>
      </c>
      <c r="L880">
        <f t="shared" si="104"/>
        <v>4.1638888889999999</v>
      </c>
      <c r="M880">
        <f t="shared" si="110"/>
        <v>14.9900000004</v>
      </c>
    </row>
    <row r="881" spans="1:13" x14ac:dyDescent="0.25">
      <c r="A881" s="9">
        <f>Speed!A881</f>
        <v>45701.290729166663</v>
      </c>
      <c r="B881" s="9">
        <f t="shared" si="105"/>
        <v>45701.290729166663</v>
      </c>
      <c r="C881" s="2">
        <f>Speed!B881</f>
        <v>4.0805555560000002</v>
      </c>
      <c r="D881" s="9">
        <f>Odometer!A881</f>
        <v>45701.29178240741</v>
      </c>
      <c r="E881" s="9">
        <f t="shared" si="106"/>
        <v>45701.291782407403</v>
      </c>
      <c r="F881" s="2">
        <f>Odometer!B881</f>
        <v>428756726</v>
      </c>
      <c r="G881" s="2">
        <f t="shared" si="107"/>
        <v>11</v>
      </c>
      <c r="H881" s="2">
        <f>SUM($G$2:G881)</f>
        <v>6839</v>
      </c>
      <c r="I881" s="10">
        <f t="shared" si="108"/>
        <v>45701.290729166663</v>
      </c>
      <c r="J881" s="10">
        <f t="shared" si="109"/>
        <v>45701.290729166663</v>
      </c>
      <c r="K881" s="3">
        <f t="shared" si="111"/>
        <v>6534</v>
      </c>
      <c r="L881">
        <f t="shared" si="104"/>
        <v>4.0805555560000002</v>
      </c>
      <c r="M881">
        <f t="shared" si="110"/>
        <v>14.690000001600001</v>
      </c>
    </row>
    <row r="882" spans="1:13" x14ac:dyDescent="0.25">
      <c r="A882" s="9">
        <f>Speed!A882</f>
        <v>45701.290729166663</v>
      </c>
      <c r="B882" s="9">
        <f t="shared" si="105"/>
        <v>45701.290729166663</v>
      </c>
      <c r="C882" s="2">
        <f>Speed!B882</f>
        <v>4.0777777779999997</v>
      </c>
      <c r="D882" s="9">
        <f>Odometer!A882</f>
        <v>45701.29179398148</v>
      </c>
      <c r="E882" s="9">
        <f t="shared" si="106"/>
        <v>45701.29179398148</v>
      </c>
      <c r="F882" s="2">
        <f>Odometer!B882</f>
        <v>428756737</v>
      </c>
      <c r="G882" s="2">
        <f t="shared" si="107"/>
        <v>1</v>
      </c>
      <c r="H882" s="2">
        <f>SUM($G$2:G882)</f>
        <v>6840</v>
      </c>
      <c r="I882" s="10">
        <f t="shared" si="108"/>
        <v>45701.290729166663</v>
      </c>
      <c r="J882" s="10">
        <f t="shared" si="109"/>
        <v>45701.290729166663</v>
      </c>
      <c r="K882" s="3">
        <f t="shared" si="111"/>
        <v>6534</v>
      </c>
      <c r="L882">
        <f t="shared" si="104"/>
        <v>4.0805555560000002</v>
      </c>
      <c r="M882">
        <f t="shared" si="110"/>
        <v>14.690000001600001</v>
      </c>
    </row>
    <row r="883" spans="1:13" x14ac:dyDescent="0.25">
      <c r="A883" s="9">
        <f>Speed!A883</f>
        <v>45701.29074074074</v>
      </c>
      <c r="B883" s="9">
        <f t="shared" si="105"/>
        <v>45701.29074074074</v>
      </c>
      <c r="C883" s="2">
        <f>Speed!B883</f>
        <v>3.983333333</v>
      </c>
      <c r="D883" s="9">
        <f>Odometer!A883</f>
        <v>45701.29179398148</v>
      </c>
      <c r="E883" s="9">
        <f t="shared" si="106"/>
        <v>45701.29179398148</v>
      </c>
      <c r="F883" s="2">
        <f>Odometer!B883</f>
        <v>428756738</v>
      </c>
      <c r="G883" s="2">
        <f t="shared" si="107"/>
        <v>11</v>
      </c>
      <c r="H883" s="2">
        <f>SUM($G$2:G883)</f>
        <v>6851</v>
      </c>
      <c r="I883" s="10">
        <f t="shared" si="108"/>
        <v>45701.29074074074</v>
      </c>
      <c r="J883" s="10">
        <f t="shared" si="109"/>
        <v>45701.29074074074</v>
      </c>
      <c r="K883" s="3">
        <f t="shared" si="111"/>
        <v>6538</v>
      </c>
      <c r="L883">
        <f t="shared" si="104"/>
        <v>3.983333333</v>
      </c>
      <c r="M883">
        <f t="shared" si="110"/>
        <v>14.3399999988</v>
      </c>
    </row>
    <row r="884" spans="1:13" x14ac:dyDescent="0.25">
      <c r="A884" s="9">
        <f>Speed!A884</f>
        <v>45701.29074074074</v>
      </c>
      <c r="B884" s="9">
        <f t="shared" si="105"/>
        <v>45701.29074074074</v>
      </c>
      <c r="C884" s="2">
        <f>Speed!B884</f>
        <v>3.9777777780000001</v>
      </c>
      <c r="D884" s="9">
        <f>Odometer!A884</f>
        <v>45701.291805555556</v>
      </c>
      <c r="E884" s="9">
        <f t="shared" si="106"/>
        <v>45701.291805555556</v>
      </c>
      <c r="F884" s="2">
        <f>Odometer!B884</f>
        <v>428756749</v>
      </c>
      <c r="G884" s="2">
        <f t="shared" si="107"/>
        <v>1</v>
      </c>
      <c r="H884" s="2">
        <f>SUM($G$2:G884)</f>
        <v>6852</v>
      </c>
      <c r="I884" s="10">
        <f t="shared" si="108"/>
        <v>45701.29074074074</v>
      </c>
      <c r="J884" s="10">
        <f t="shared" si="109"/>
        <v>45701.29074074074</v>
      </c>
      <c r="K884" s="3">
        <f t="shared" si="111"/>
        <v>6538</v>
      </c>
      <c r="L884">
        <f t="shared" si="104"/>
        <v>3.983333333</v>
      </c>
      <c r="M884">
        <f t="shared" si="110"/>
        <v>14.3399999988</v>
      </c>
    </row>
    <row r="885" spans="1:13" x14ac:dyDescent="0.25">
      <c r="A885" s="9">
        <f>Speed!A885</f>
        <v>45701.29074074074</v>
      </c>
      <c r="B885" s="9">
        <f t="shared" si="105"/>
        <v>45701.29074074074</v>
      </c>
      <c r="C885" s="2">
        <f>Speed!B885</f>
        <v>3.5888888890000001</v>
      </c>
      <c r="D885" s="9">
        <f>Odometer!A885</f>
        <v>45701.291805555556</v>
      </c>
      <c r="E885" s="9">
        <f t="shared" si="106"/>
        <v>45701.291805555556</v>
      </c>
      <c r="F885" s="2">
        <f>Odometer!B885</f>
        <v>428756750</v>
      </c>
      <c r="G885" s="2">
        <f t="shared" si="107"/>
        <v>13</v>
      </c>
      <c r="H885" s="2">
        <f>SUM($G$2:G885)</f>
        <v>6865</v>
      </c>
      <c r="I885" s="10">
        <f t="shared" si="108"/>
        <v>45701.29074074074</v>
      </c>
      <c r="J885" s="10">
        <f t="shared" si="109"/>
        <v>45701.29074074074</v>
      </c>
      <c r="K885" s="3">
        <f t="shared" si="111"/>
        <v>6538</v>
      </c>
      <c r="L885">
        <f t="shared" si="104"/>
        <v>3.983333333</v>
      </c>
      <c r="M885">
        <f t="shared" si="110"/>
        <v>14.3399999988</v>
      </c>
    </row>
    <row r="886" spans="1:13" x14ac:dyDescent="0.25">
      <c r="A886" s="9">
        <f>Speed!A886</f>
        <v>45701.290763888886</v>
      </c>
      <c r="B886" s="9">
        <f t="shared" si="105"/>
        <v>45701.290763888886</v>
      </c>
      <c r="C886" s="2">
        <f>Speed!B886</f>
        <v>3.8027777779999998</v>
      </c>
      <c r="D886" s="9">
        <f>Odometer!A886</f>
        <v>45701.291817129626</v>
      </c>
      <c r="E886" s="9">
        <f t="shared" si="106"/>
        <v>45701.291817129626</v>
      </c>
      <c r="F886" s="2">
        <f>Odometer!B886</f>
        <v>428756763</v>
      </c>
      <c r="G886" s="2">
        <f t="shared" si="107"/>
        <v>14</v>
      </c>
      <c r="H886" s="2">
        <f>SUM($G$2:G886)</f>
        <v>6879</v>
      </c>
      <c r="I886" s="10">
        <f t="shared" si="108"/>
        <v>45701.290763888886</v>
      </c>
      <c r="J886" s="10">
        <f t="shared" si="109"/>
        <v>45701.290763888886</v>
      </c>
      <c r="K886" s="3">
        <f t="shared" si="111"/>
        <v>6545</v>
      </c>
      <c r="L886">
        <f t="shared" si="104"/>
        <v>3.8027777779999998</v>
      </c>
      <c r="M886">
        <f t="shared" si="110"/>
        <v>13.6900000008</v>
      </c>
    </row>
    <row r="887" spans="1:13" x14ac:dyDescent="0.25">
      <c r="A887" s="9">
        <f>Speed!A887</f>
        <v>45701.290775462963</v>
      </c>
      <c r="B887" s="9">
        <f t="shared" si="105"/>
        <v>45701.290775462963</v>
      </c>
      <c r="C887" s="2">
        <f>Speed!B887</f>
        <v>3.7222222220000001</v>
      </c>
      <c r="D887" s="9">
        <f>Odometer!A887</f>
        <v>45701.291828703703</v>
      </c>
      <c r="E887" s="9">
        <f t="shared" si="106"/>
        <v>45701.291828703703</v>
      </c>
      <c r="F887" s="2">
        <f>Odometer!B887</f>
        <v>428756777</v>
      </c>
      <c r="G887" s="2">
        <f t="shared" si="107"/>
        <v>16</v>
      </c>
      <c r="H887" s="2">
        <f>SUM($G$2:G887)</f>
        <v>6895</v>
      </c>
      <c r="I887" s="10">
        <f t="shared" si="108"/>
        <v>45701.290775462963</v>
      </c>
      <c r="J887" s="10">
        <f t="shared" si="109"/>
        <v>45701.290775462963</v>
      </c>
      <c r="K887" s="3">
        <f t="shared" si="111"/>
        <v>6549</v>
      </c>
      <c r="L887">
        <f t="shared" si="104"/>
        <v>3.7222222220000001</v>
      </c>
      <c r="M887">
        <f t="shared" si="110"/>
        <v>13.3999999992</v>
      </c>
    </row>
    <row r="888" spans="1:13" x14ac:dyDescent="0.25">
      <c r="A888" s="9">
        <f>Speed!A888</f>
        <v>45701.29078703704</v>
      </c>
      <c r="B888" s="9">
        <f t="shared" si="105"/>
        <v>45701.290787037033</v>
      </c>
      <c r="C888" s="2">
        <f>Speed!B888</f>
        <v>3.6527777779999999</v>
      </c>
      <c r="D888" s="9">
        <f>Odometer!A888</f>
        <v>45701.29184027778</v>
      </c>
      <c r="E888" s="9">
        <f t="shared" si="106"/>
        <v>45701.291840277772</v>
      </c>
      <c r="F888" s="2">
        <f>Odometer!B888</f>
        <v>428756793</v>
      </c>
      <c r="G888" s="2">
        <f t="shared" si="107"/>
        <v>14</v>
      </c>
      <c r="H888" s="2">
        <f>SUM($G$2:G888)</f>
        <v>6909</v>
      </c>
      <c r="I888" s="10">
        <f t="shared" si="108"/>
        <v>45701.29078703704</v>
      </c>
      <c r="J888" s="10">
        <f t="shared" si="109"/>
        <v>45701.290787037033</v>
      </c>
      <c r="K888" s="3">
        <f t="shared" si="111"/>
        <v>6553</v>
      </c>
      <c r="L888">
        <f t="shared" si="104"/>
        <v>3.6527777779999999</v>
      </c>
      <c r="M888">
        <f t="shared" si="110"/>
        <v>13.1500000008</v>
      </c>
    </row>
    <row r="889" spans="1:13" x14ac:dyDescent="0.25">
      <c r="A889" s="9">
        <f>Speed!A889</f>
        <v>45701.29078703704</v>
      </c>
      <c r="B889" s="9">
        <f t="shared" si="105"/>
        <v>45701.290787037033</v>
      </c>
      <c r="C889" s="2">
        <f>Speed!B889</f>
        <v>3.6555555559999999</v>
      </c>
      <c r="D889" s="9">
        <f>Odometer!A889</f>
        <v>45701.29184027778</v>
      </c>
      <c r="E889" s="9">
        <f t="shared" si="106"/>
        <v>45701.291840277772</v>
      </c>
      <c r="F889" s="2">
        <f>Odometer!B889</f>
        <v>428756807</v>
      </c>
      <c r="G889" s="2">
        <f t="shared" si="107"/>
        <v>17</v>
      </c>
      <c r="H889" s="2">
        <f>SUM($G$2:G889)</f>
        <v>6926</v>
      </c>
      <c r="I889" s="10">
        <f t="shared" si="108"/>
        <v>45701.29078703704</v>
      </c>
      <c r="J889" s="10">
        <f t="shared" si="109"/>
        <v>45701.290787037033</v>
      </c>
      <c r="K889" s="3">
        <f t="shared" si="111"/>
        <v>6553</v>
      </c>
      <c r="L889">
        <f t="shared" si="104"/>
        <v>3.6527777779999999</v>
      </c>
      <c r="M889">
        <f t="shared" si="110"/>
        <v>13.1500000008</v>
      </c>
    </row>
    <row r="890" spans="1:13" x14ac:dyDescent="0.25">
      <c r="A890" s="9">
        <f>Speed!A890</f>
        <v>45701.290798611109</v>
      </c>
      <c r="B890" s="9">
        <f t="shared" si="105"/>
        <v>45701.290798611109</v>
      </c>
      <c r="C890" s="2">
        <f>Speed!B890</f>
        <v>3.5249999999999999</v>
      </c>
      <c r="D890" s="9">
        <f>Odometer!A890</f>
        <v>45701.291863425926</v>
      </c>
      <c r="E890" s="9">
        <f t="shared" si="106"/>
        <v>45701.291863425926</v>
      </c>
      <c r="F890" s="2">
        <f>Odometer!B890</f>
        <v>428756824</v>
      </c>
      <c r="G890" s="2">
        <f t="shared" si="107"/>
        <v>16</v>
      </c>
      <c r="H890" s="2">
        <f>SUM($G$2:G890)</f>
        <v>6942</v>
      </c>
      <c r="I890" s="10">
        <f t="shared" si="108"/>
        <v>45701.290798611109</v>
      </c>
      <c r="J890" s="10">
        <f t="shared" si="109"/>
        <v>45701.290798611109</v>
      </c>
      <c r="K890" s="3">
        <f t="shared" si="111"/>
        <v>6556</v>
      </c>
      <c r="L890">
        <f t="shared" si="104"/>
        <v>3.5249999999999999</v>
      </c>
      <c r="M890">
        <f t="shared" si="110"/>
        <v>12.69</v>
      </c>
    </row>
    <row r="891" spans="1:13" x14ac:dyDescent="0.25">
      <c r="A891" s="9">
        <f>Speed!A891</f>
        <v>45701.290810185186</v>
      </c>
      <c r="B891" s="9">
        <f t="shared" si="105"/>
        <v>45701.290810185186</v>
      </c>
      <c r="C891" s="2">
        <f>Speed!B891</f>
        <v>3.4527777780000002</v>
      </c>
      <c r="D891" s="9">
        <f>Odometer!A891</f>
        <v>45701.291875000003</v>
      </c>
      <c r="E891" s="9">
        <f t="shared" si="106"/>
        <v>45701.291874999995</v>
      </c>
      <c r="F891" s="2">
        <f>Odometer!B891</f>
        <v>428756840</v>
      </c>
      <c r="G891" s="2">
        <f t="shared" si="107"/>
        <v>12</v>
      </c>
      <c r="H891" s="2">
        <f>SUM($G$2:G891)</f>
        <v>6954</v>
      </c>
      <c r="I891" s="10">
        <f t="shared" si="108"/>
        <v>45701.290810185186</v>
      </c>
      <c r="J891" s="10">
        <f t="shared" si="109"/>
        <v>45701.290810185186</v>
      </c>
      <c r="K891" s="3">
        <f t="shared" si="111"/>
        <v>6559</v>
      </c>
      <c r="L891">
        <f t="shared" si="104"/>
        <v>3.4527777780000002</v>
      </c>
      <c r="M891">
        <f t="shared" si="110"/>
        <v>12.430000000800002</v>
      </c>
    </row>
    <row r="892" spans="1:13" x14ac:dyDescent="0.25">
      <c r="A892" s="9">
        <f>Speed!A892</f>
        <v>45701.290821759256</v>
      </c>
      <c r="B892" s="9">
        <f t="shared" si="105"/>
        <v>45701.290821759256</v>
      </c>
      <c r="C892" s="2">
        <f>Speed!B892</f>
        <v>3.0888888890000001</v>
      </c>
      <c r="D892" s="9">
        <f>Odometer!A892</f>
        <v>45701.291875000003</v>
      </c>
      <c r="E892" s="9">
        <f t="shared" si="106"/>
        <v>45701.291874999995</v>
      </c>
      <c r="F892" s="2">
        <f>Odometer!B892</f>
        <v>428756852</v>
      </c>
      <c r="G892" s="2">
        <f t="shared" si="107"/>
        <v>4</v>
      </c>
      <c r="H892" s="2">
        <f>SUM($G$2:G892)</f>
        <v>6958</v>
      </c>
      <c r="I892" s="10">
        <f t="shared" si="108"/>
        <v>45701.290821759256</v>
      </c>
      <c r="J892" s="10">
        <f t="shared" si="109"/>
        <v>45701.290821759256</v>
      </c>
      <c r="K892" s="3">
        <f t="shared" si="111"/>
        <v>6562</v>
      </c>
      <c r="L892">
        <f t="shared" si="104"/>
        <v>3.0888888890000001</v>
      </c>
      <c r="M892">
        <f t="shared" si="110"/>
        <v>11.120000000400001</v>
      </c>
    </row>
    <row r="893" spans="1:13" x14ac:dyDescent="0.25">
      <c r="A893" s="9">
        <f>Speed!A893</f>
        <v>45701.290821759256</v>
      </c>
      <c r="B893" s="9">
        <f t="shared" si="105"/>
        <v>45701.290821759256</v>
      </c>
      <c r="C893" s="2">
        <f>Speed!B893</f>
        <v>3.2944444439999998</v>
      </c>
      <c r="D893" s="9">
        <f>Odometer!A893</f>
        <v>45701.291886574072</v>
      </c>
      <c r="E893" s="9">
        <f t="shared" si="106"/>
        <v>45701.291886574072</v>
      </c>
      <c r="F893" s="2">
        <f>Odometer!B893</f>
        <v>428756856</v>
      </c>
      <c r="G893" s="2">
        <f t="shared" si="107"/>
        <v>16</v>
      </c>
      <c r="H893" s="2">
        <f>SUM($G$2:G893)</f>
        <v>6974</v>
      </c>
      <c r="I893" s="10">
        <f t="shared" si="108"/>
        <v>45701.290821759256</v>
      </c>
      <c r="J893" s="10">
        <f t="shared" si="109"/>
        <v>45701.290821759256</v>
      </c>
      <c r="K893" s="3">
        <f t="shared" si="111"/>
        <v>6562</v>
      </c>
      <c r="L893">
        <f t="shared" si="104"/>
        <v>3.0888888890000001</v>
      </c>
      <c r="M893">
        <f t="shared" si="110"/>
        <v>11.120000000400001</v>
      </c>
    </row>
    <row r="894" spans="1:13" x14ac:dyDescent="0.25">
      <c r="A894" s="9">
        <f>Speed!A894</f>
        <v>45701.290833333333</v>
      </c>
      <c r="B894" s="9">
        <f t="shared" si="105"/>
        <v>45701.290833333333</v>
      </c>
      <c r="C894" s="2">
        <f>Speed!B894</f>
        <v>3.3</v>
      </c>
      <c r="D894" s="9">
        <f>Odometer!A894</f>
        <v>45701.291898148149</v>
      </c>
      <c r="E894" s="9">
        <f t="shared" si="106"/>
        <v>45701.291898148149</v>
      </c>
      <c r="F894" s="2">
        <f>Odometer!B894</f>
        <v>428756872</v>
      </c>
      <c r="G894" s="2">
        <f t="shared" si="107"/>
        <v>18</v>
      </c>
      <c r="H894" s="2">
        <f>SUM($G$2:G894)</f>
        <v>6992</v>
      </c>
      <c r="I894" s="10">
        <f t="shared" si="108"/>
        <v>45701.290833333333</v>
      </c>
      <c r="J894" s="10">
        <f t="shared" si="109"/>
        <v>45701.290833333333</v>
      </c>
      <c r="K894" s="3" t="e">
        <f t="shared" si="111"/>
        <v>#N/A</v>
      </c>
      <c r="L894">
        <f t="shared" si="104"/>
        <v>3.3</v>
      </c>
      <c r="M894">
        <f t="shared" si="110"/>
        <v>11.879999999999999</v>
      </c>
    </row>
    <row r="895" spans="1:13" x14ac:dyDescent="0.25">
      <c r="A895" s="9">
        <f>Speed!A895</f>
        <v>45701.290844907409</v>
      </c>
      <c r="B895" s="9">
        <f t="shared" si="105"/>
        <v>45701.290844907402</v>
      </c>
      <c r="C895" s="2">
        <f>Speed!B895</f>
        <v>3.5083333329999999</v>
      </c>
      <c r="D895" s="9">
        <f>Odometer!A895</f>
        <v>45701.291909722226</v>
      </c>
      <c r="E895" s="9">
        <f t="shared" si="106"/>
        <v>45701.291909722218</v>
      </c>
      <c r="F895" s="2">
        <f>Odometer!B895</f>
        <v>428756890</v>
      </c>
      <c r="G895" s="2">
        <f t="shared" si="107"/>
        <v>17</v>
      </c>
      <c r="H895" s="2">
        <f>SUM($G$2:G895)</f>
        <v>7009</v>
      </c>
      <c r="I895" s="10">
        <f t="shared" si="108"/>
        <v>45701.290844907409</v>
      </c>
      <c r="J895" s="10">
        <f t="shared" si="109"/>
        <v>45701.290844907402</v>
      </c>
      <c r="K895" s="3">
        <f t="shared" si="111"/>
        <v>6570</v>
      </c>
      <c r="L895">
        <f t="shared" si="104"/>
        <v>3.5083333329999999</v>
      </c>
      <c r="M895">
        <f t="shared" si="110"/>
        <v>12.629999998800001</v>
      </c>
    </row>
    <row r="896" spans="1:13" x14ac:dyDescent="0.25">
      <c r="A896" s="9">
        <f>Speed!A896</f>
        <v>45701.290856481479</v>
      </c>
      <c r="B896" s="9">
        <f t="shared" si="105"/>
        <v>45701.290856481479</v>
      </c>
      <c r="C896" s="2">
        <f>Speed!B896</f>
        <v>3.875</v>
      </c>
      <c r="D896" s="9">
        <f>Odometer!A896</f>
        <v>45701.291921296295</v>
      </c>
      <c r="E896" s="9">
        <f t="shared" si="106"/>
        <v>45701.291921296295</v>
      </c>
      <c r="F896" s="2">
        <f>Odometer!B896</f>
        <v>428756907</v>
      </c>
      <c r="G896" s="2">
        <f t="shared" si="107"/>
        <v>20</v>
      </c>
      <c r="H896" s="2">
        <f>SUM($G$2:G896)</f>
        <v>7029</v>
      </c>
      <c r="I896" s="10">
        <f t="shared" si="108"/>
        <v>45701.290856481479</v>
      </c>
      <c r="J896" s="10">
        <f t="shared" si="109"/>
        <v>45701.290856481479</v>
      </c>
      <c r="K896" s="3">
        <f t="shared" si="111"/>
        <v>6573</v>
      </c>
      <c r="L896">
        <f t="shared" si="104"/>
        <v>3.875</v>
      </c>
      <c r="M896">
        <f t="shared" si="110"/>
        <v>13.950000000000001</v>
      </c>
    </row>
    <row r="897" spans="1:13" x14ac:dyDescent="0.25">
      <c r="A897" s="9">
        <f>Speed!A897</f>
        <v>45701.290856481479</v>
      </c>
      <c r="B897" s="9">
        <f t="shared" si="105"/>
        <v>45701.290856481479</v>
      </c>
      <c r="C897" s="2">
        <f>Speed!B897</f>
        <v>3.8666666670000001</v>
      </c>
      <c r="D897" s="9">
        <f>Odometer!A897</f>
        <v>45701.291932870372</v>
      </c>
      <c r="E897" s="9">
        <f t="shared" si="106"/>
        <v>45701.291932870365</v>
      </c>
      <c r="F897" s="2">
        <f>Odometer!B897</f>
        <v>428756927</v>
      </c>
      <c r="G897" s="2">
        <f t="shared" si="107"/>
        <v>26</v>
      </c>
      <c r="H897" s="2">
        <f>SUM($G$2:G897)</f>
        <v>7055</v>
      </c>
      <c r="I897" s="10">
        <f t="shared" si="108"/>
        <v>45701.290856481479</v>
      </c>
      <c r="J897" s="10">
        <f t="shared" si="109"/>
        <v>45701.290856481479</v>
      </c>
      <c r="K897" s="3">
        <f t="shared" si="111"/>
        <v>6573</v>
      </c>
      <c r="L897">
        <f t="shared" si="104"/>
        <v>3.875</v>
      </c>
      <c r="M897">
        <f t="shared" si="110"/>
        <v>13.950000000000001</v>
      </c>
    </row>
    <row r="898" spans="1:13" x14ac:dyDescent="0.25">
      <c r="A898" s="9">
        <f>Speed!A898</f>
        <v>45701.290868055556</v>
      </c>
      <c r="B898" s="9">
        <f t="shared" si="105"/>
        <v>45701.290868055556</v>
      </c>
      <c r="C898" s="2">
        <f>Speed!B898</f>
        <v>4.0555555559999998</v>
      </c>
      <c r="D898" s="9">
        <f>Odometer!A898</f>
        <v>45701.291944444441</v>
      </c>
      <c r="E898" s="9">
        <f t="shared" si="106"/>
        <v>45701.291944444441</v>
      </c>
      <c r="F898" s="2">
        <f>Odometer!B898</f>
        <v>428756953</v>
      </c>
      <c r="G898" s="2">
        <f t="shared" si="107"/>
        <v>7</v>
      </c>
      <c r="H898" s="2">
        <f>SUM($G$2:G898)</f>
        <v>7062</v>
      </c>
      <c r="I898" s="10">
        <f t="shared" si="108"/>
        <v>45701.290868055556</v>
      </c>
      <c r="J898" s="10">
        <f t="shared" si="109"/>
        <v>45701.290868055556</v>
      </c>
      <c r="K898" s="3">
        <f t="shared" si="111"/>
        <v>6578</v>
      </c>
      <c r="L898">
        <f t="shared" ref="L898:L961" si="112">INDEX($C$2:$C$2000, MATCH(I898,$A$2:$A$2000,0))</f>
        <v>4.0555555559999998</v>
      </c>
      <c r="M898">
        <f t="shared" si="110"/>
        <v>14.6000000016</v>
      </c>
    </row>
    <row r="899" spans="1:13" x14ac:dyDescent="0.25">
      <c r="A899" s="9">
        <f>Speed!A899</f>
        <v>45701.290879629632</v>
      </c>
      <c r="B899" s="9">
        <f t="shared" ref="B899:B962" si="113">MROUND(A899,"00:00:01")</f>
        <v>45701.290879629625</v>
      </c>
      <c r="C899" s="2">
        <f>Speed!B899</f>
        <v>4.136111111</v>
      </c>
      <c r="D899" s="9">
        <f>Odometer!A899</f>
        <v>45701.291956018518</v>
      </c>
      <c r="E899" s="9">
        <f t="shared" ref="E899:E962" si="114">MROUND(D899,"00:00:01")</f>
        <v>45701.291956018518</v>
      </c>
      <c r="F899" s="2">
        <f>Odometer!B899</f>
        <v>428756960</v>
      </c>
      <c r="G899" s="2">
        <f t="shared" ref="G899:G962" si="115">IF(F900-F899&lt;0,0,F900-F899)</f>
        <v>17</v>
      </c>
      <c r="H899" s="2">
        <f>SUM($G$2:G899)</f>
        <v>7079</v>
      </c>
      <c r="I899" s="10">
        <f t="shared" ref="I899:I962" si="116">A899</f>
        <v>45701.290879629632</v>
      </c>
      <c r="J899" s="10">
        <f t="shared" ref="J899:J962" si="117">MROUND(I899,"0:00:01")</f>
        <v>45701.290879629625</v>
      </c>
      <c r="K899" s="3">
        <f t="shared" si="111"/>
        <v>6582</v>
      </c>
      <c r="L899">
        <f t="shared" si="112"/>
        <v>4.136111111</v>
      </c>
      <c r="M899">
        <f t="shared" ref="M899:M962" si="118">L899*3.6</f>
        <v>14.889999999600001</v>
      </c>
    </row>
    <row r="900" spans="1:13" x14ac:dyDescent="0.25">
      <c r="A900" s="9">
        <f>Speed!A900</f>
        <v>45701.290891203702</v>
      </c>
      <c r="B900" s="9">
        <f t="shared" si="113"/>
        <v>45701.290891203702</v>
      </c>
      <c r="C900" s="2">
        <f>Speed!B900</f>
        <v>4.1166666669999996</v>
      </c>
      <c r="D900" s="9">
        <f>Odometer!A900</f>
        <v>45701.291967592595</v>
      </c>
      <c r="E900" s="9">
        <f t="shared" si="114"/>
        <v>45701.291967592588</v>
      </c>
      <c r="F900" s="2">
        <f>Odometer!B900</f>
        <v>428756977</v>
      </c>
      <c r="G900" s="2">
        <f t="shared" si="115"/>
        <v>19</v>
      </c>
      <c r="H900" s="2">
        <f>SUM($G$2:G900)</f>
        <v>7098</v>
      </c>
      <c r="I900" s="10">
        <f t="shared" si="116"/>
        <v>45701.290891203702</v>
      </c>
      <c r="J900" s="10">
        <f t="shared" si="117"/>
        <v>45701.290891203702</v>
      </c>
      <c r="K900" s="3">
        <f t="shared" ref="K900:K963" si="119">IFERROR(INDEX($H$2:$H$2000,MATCH(J900,$E$2:$E$2000,0)),NA())</f>
        <v>6586</v>
      </c>
      <c r="L900">
        <f t="shared" si="112"/>
        <v>4.1166666669999996</v>
      </c>
      <c r="M900">
        <f t="shared" si="118"/>
        <v>14.820000001199999</v>
      </c>
    </row>
    <row r="901" spans="1:13" x14ac:dyDescent="0.25">
      <c r="A901" s="9">
        <f>Speed!A901</f>
        <v>45701.290902777779</v>
      </c>
      <c r="B901" s="9">
        <f t="shared" si="113"/>
        <v>45701.290902777779</v>
      </c>
      <c r="C901" s="2">
        <f>Speed!B901</f>
        <v>4.0361111110000003</v>
      </c>
      <c r="D901" s="9">
        <f>Odometer!A901</f>
        <v>45701.291979166665</v>
      </c>
      <c r="E901" s="9">
        <f t="shared" si="114"/>
        <v>45701.291979166665</v>
      </c>
      <c r="F901" s="2">
        <f>Odometer!B901</f>
        <v>428756996</v>
      </c>
      <c r="G901" s="2">
        <f t="shared" si="115"/>
        <v>15</v>
      </c>
      <c r="H901" s="2">
        <f>SUM($G$2:G901)</f>
        <v>7113</v>
      </c>
      <c r="I901" s="10">
        <f t="shared" si="116"/>
        <v>45701.290902777779</v>
      </c>
      <c r="J901" s="10">
        <f t="shared" si="117"/>
        <v>45701.290902777779</v>
      </c>
      <c r="K901" s="3">
        <f t="shared" si="119"/>
        <v>6590</v>
      </c>
      <c r="L901">
        <f t="shared" si="112"/>
        <v>4.0361111110000003</v>
      </c>
      <c r="M901">
        <f t="shared" si="118"/>
        <v>14.529999999600001</v>
      </c>
    </row>
    <row r="902" spans="1:13" x14ac:dyDescent="0.25">
      <c r="A902" s="9">
        <f>Speed!A902</f>
        <v>45701.290902777779</v>
      </c>
      <c r="B902" s="9">
        <f t="shared" si="113"/>
        <v>45701.290902777779</v>
      </c>
      <c r="C902" s="2">
        <f>Speed!B902</f>
        <v>4.0388888889999999</v>
      </c>
      <c r="D902" s="9">
        <f>Odometer!A902</f>
        <v>45701.291990740741</v>
      </c>
      <c r="E902" s="9">
        <f t="shared" si="114"/>
        <v>45701.291990740741</v>
      </c>
      <c r="F902" s="2">
        <f>Odometer!B902</f>
        <v>428757011</v>
      </c>
      <c r="G902" s="2">
        <f t="shared" si="115"/>
        <v>18</v>
      </c>
      <c r="H902" s="2">
        <f>SUM($G$2:G902)</f>
        <v>7131</v>
      </c>
      <c r="I902" s="10">
        <f t="shared" si="116"/>
        <v>45701.290902777779</v>
      </c>
      <c r="J902" s="10">
        <f t="shared" si="117"/>
        <v>45701.290902777779</v>
      </c>
      <c r="K902" s="3">
        <f t="shared" si="119"/>
        <v>6590</v>
      </c>
      <c r="L902">
        <f t="shared" si="112"/>
        <v>4.0361111110000003</v>
      </c>
      <c r="M902">
        <f t="shared" si="118"/>
        <v>14.529999999600001</v>
      </c>
    </row>
    <row r="903" spans="1:13" x14ac:dyDescent="0.25">
      <c r="A903" s="9">
        <f>Speed!A903</f>
        <v>45701.290914351855</v>
      </c>
      <c r="B903" s="9">
        <f t="shared" si="113"/>
        <v>45701.290914351848</v>
      </c>
      <c r="C903" s="2">
        <f>Speed!B903</f>
        <v>3.9694444440000001</v>
      </c>
      <c r="D903" s="9">
        <f>Odometer!A903</f>
        <v>45701.292002314818</v>
      </c>
      <c r="E903" s="9">
        <f t="shared" si="114"/>
        <v>45701.292002314811</v>
      </c>
      <c r="F903" s="2">
        <f>Odometer!B903</f>
        <v>428757029</v>
      </c>
      <c r="G903" s="2">
        <f t="shared" si="115"/>
        <v>18</v>
      </c>
      <c r="H903" s="2">
        <f>SUM($G$2:G903)</f>
        <v>7149</v>
      </c>
      <c r="I903" s="10">
        <f t="shared" si="116"/>
        <v>45701.290914351855</v>
      </c>
      <c r="J903" s="10">
        <f t="shared" si="117"/>
        <v>45701.290914351848</v>
      </c>
      <c r="K903" s="3">
        <f t="shared" si="119"/>
        <v>6591</v>
      </c>
      <c r="L903">
        <f t="shared" si="112"/>
        <v>3.9694444440000001</v>
      </c>
      <c r="M903">
        <f t="shared" si="118"/>
        <v>14.289999998400001</v>
      </c>
    </row>
    <row r="904" spans="1:13" x14ac:dyDescent="0.25">
      <c r="A904" s="9">
        <f>Speed!A904</f>
        <v>45701.290914351855</v>
      </c>
      <c r="B904" s="9">
        <f t="shared" si="113"/>
        <v>45701.290914351848</v>
      </c>
      <c r="C904" s="2">
        <f>Speed!B904</f>
        <v>3.9666666670000001</v>
      </c>
      <c r="D904" s="9">
        <f>Odometer!A904</f>
        <v>45701.292002314818</v>
      </c>
      <c r="E904" s="9">
        <f t="shared" si="114"/>
        <v>45701.292002314811</v>
      </c>
      <c r="F904" s="2">
        <f>Odometer!B904</f>
        <v>428757047</v>
      </c>
      <c r="G904" s="2">
        <f t="shared" si="115"/>
        <v>18</v>
      </c>
      <c r="H904" s="2">
        <f>SUM($G$2:G904)</f>
        <v>7167</v>
      </c>
      <c r="I904" s="10">
        <f t="shared" si="116"/>
        <v>45701.290914351855</v>
      </c>
      <c r="J904" s="10">
        <f t="shared" si="117"/>
        <v>45701.290914351848</v>
      </c>
      <c r="K904" s="3">
        <f t="shared" si="119"/>
        <v>6591</v>
      </c>
      <c r="L904">
        <f t="shared" si="112"/>
        <v>3.9694444440000001</v>
      </c>
      <c r="M904">
        <f t="shared" si="118"/>
        <v>14.289999998400001</v>
      </c>
    </row>
    <row r="905" spans="1:13" x14ac:dyDescent="0.25">
      <c r="A905" s="9">
        <f>Speed!A905</f>
        <v>45701.290914351855</v>
      </c>
      <c r="B905" s="9">
        <f t="shared" si="113"/>
        <v>45701.290914351848</v>
      </c>
      <c r="C905" s="2">
        <f>Speed!B905</f>
        <v>3.9416666669999998</v>
      </c>
      <c r="D905" s="9">
        <f>Odometer!A905</f>
        <v>45701.292025462964</v>
      </c>
      <c r="E905" s="9">
        <f t="shared" si="114"/>
        <v>45701.292025462957</v>
      </c>
      <c r="F905" s="2">
        <f>Odometer!B905</f>
        <v>428757065</v>
      </c>
      <c r="G905" s="2">
        <f t="shared" si="115"/>
        <v>17</v>
      </c>
      <c r="H905" s="2">
        <f>SUM($G$2:G905)</f>
        <v>7184</v>
      </c>
      <c r="I905" s="10">
        <f t="shared" si="116"/>
        <v>45701.290914351855</v>
      </c>
      <c r="J905" s="10">
        <f t="shared" si="117"/>
        <v>45701.290914351848</v>
      </c>
      <c r="K905" s="3">
        <f t="shared" si="119"/>
        <v>6591</v>
      </c>
      <c r="L905">
        <f t="shared" si="112"/>
        <v>3.9694444440000001</v>
      </c>
      <c r="M905">
        <f t="shared" si="118"/>
        <v>14.289999998400001</v>
      </c>
    </row>
    <row r="906" spans="1:13" x14ac:dyDescent="0.25">
      <c r="A906" s="9">
        <f>Speed!A906</f>
        <v>45701.290925925925</v>
      </c>
      <c r="B906" s="9">
        <f t="shared" si="113"/>
        <v>45701.290925925925</v>
      </c>
      <c r="C906" s="2">
        <f>Speed!B906</f>
        <v>3.8944444439999999</v>
      </c>
      <c r="D906" s="9">
        <f>Odometer!A906</f>
        <v>45701.292037037034</v>
      </c>
      <c r="E906" s="9">
        <f t="shared" si="114"/>
        <v>45701.292037037034</v>
      </c>
      <c r="F906" s="2">
        <f>Odometer!B906</f>
        <v>428757082</v>
      </c>
      <c r="G906" s="2">
        <f t="shared" si="115"/>
        <v>16</v>
      </c>
      <c r="H906" s="2">
        <f>SUM($G$2:G906)</f>
        <v>7200</v>
      </c>
      <c r="I906" s="10">
        <f t="shared" si="116"/>
        <v>45701.290925925925</v>
      </c>
      <c r="J906" s="10">
        <f t="shared" si="117"/>
        <v>45701.290925925925</v>
      </c>
      <c r="K906" s="3" t="e">
        <f t="shared" si="119"/>
        <v>#N/A</v>
      </c>
      <c r="L906">
        <f t="shared" si="112"/>
        <v>3.8944444439999999</v>
      </c>
      <c r="M906">
        <f t="shared" si="118"/>
        <v>14.019999998399999</v>
      </c>
    </row>
    <row r="907" spans="1:13" x14ac:dyDescent="0.25">
      <c r="A907" s="9">
        <f>Speed!A907</f>
        <v>45701.290925925925</v>
      </c>
      <c r="B907" s="9">
        <f t="shared" si="113"/>
        <v>45701.290925925925</v>
      </c>
      <c r="C907" s="2">
        <f>Speed!B907</f>
        <v>3.886111111</v>
      </c>
      <c r="D907" s="9">
        <f>Odometer!A907</f>
        <v>45701.292048611111</v>
      </c>
      <c r="E907" s="9">
        <f t="shared" si="114"/>
        <v>45701.292048611111</v>
      </c>
      <c r="F907" s="2">
        <f>Odometer!B907</f>
        <v>428757098</v>
      </c>
      <c r="G907" s="2">
        <f t="shared" si="115"/>
        <v>4</v>
      </c>
      <c r="H907" s="2">
        <f>SUM($G$2:G907)</f>
        <v>7204</v>
      </c>
      <c r="I907" s="10">
        <f t="shared" si="116"/>
        <v>45701.290925925925</v>
      </c>
      <c r="J907" s="10">
        <f t="shared" si="117"/>
        <v>45701.290925925925</v>
      </c>
      <c r="K907" s="3" t="e">
        <f t="shared" si="119"/>
        <v>#N/A</v>
      </c>
      <c r="L907">
        <f t="shared" si="112"/>
        <v>3.8944444439999999</v>
      </c>
      <c r="M907">
        <f t="shared" si="118"/>
        <v>14.019999998399999</v>
      </c>
    </row>
    <row r="908" spans="1:13" x14ac:dyDescent="0.25">
      <c r="A908" s="9">
        <f>Speed!A908</f>
        <v>45701.290937500002</v>
      </c>
      <c r="B908" s="9">
        <f t="shared" si="113"/>
        <v>45701.290937499994</v>
      </c>
      <c r="C908" s="2">
        <f>Speed!B908</f>
        <v>3.986111111</v>
      </c>
      <c r="D908" s="9">
        <f>Odometer!A908</f>
        <v>45701.292048611111</v>
      </c>
      <c r="E908" s="9">
        <f t="shared" si="114"/>
        <v>45701.292048611111</v>
      </c>
      <c r="F908" s="2">
        <f>Odometer!B908</f>
        <v>428757102</v>
      </c>
      <c r="G908" s="2">
        <f t="shared" si="115"/>
        <v>5</v>
      </c>
      <c r="H908" s="2">
        <f>SUM($G$2:G908)</f>
        <v>7209</v>
      </c>
      <c r="I908" s="10">
        <f t="shared" si="116"/>
        <v>45701.290937500002</v>
      </c>
      <c r="J908" s="10">
        <f t="shared" si="117"/>
        <v>45701.290937499994</v>
      </c>
      <c r="K908" s="3">
        <f t="shared" si="119"/>
        <v>6602</v>
      </c>
      <c r="L908">
        <f t="shared" si="112"/>
        <v>3.986111111</v>
      </c>
      <c r="M908">
        <f t="shared" si="118"/>
        <v>14.3499999996</v>
      </c>
    </row>
    <row r="909" spans="1:13" x14ac:dyDescent="0.25">
      <c r="A909" s="9">
        <f>Speed!A909</f>
        <v>45701.290937500002</v>
      </c>
      <c r="B909" s="9">
        <f t="shared" si="113"/>
        <v>45701.290937499994</v>
      </c>
      <c r="C909" s="2">
        <f>Speed!B909</f>
        <v>3.9638888890000001</v>
      </c>
      <c r="D909" s="9">
        <f>Odometer!A909</f>
        <v>45701.292048611111</v>
      </c>
      <c r="E909" s="9">
        <f t="shared" si="114"/>
        <v>45701.292048611111</v>
      </c>
      <c r="F909" s="2">
        <f>Odometer!B909</f>
        <v>428757107</v>
      </c>
      <c r="G909" s="2">
        <f t="shared" si="115"/>
        <v>8</v>
      </c>
      <c r="H909" s="2">
        <f>SUM($G$2:G909)</f>
        <v>7217</v>
      </c>
      <c r="I909" s="10">
        <f t="shared" si="116"/>
        <v>45701.290937500002</v>
      </c>
      <c r="J909" s="10">
        <f t="shared" si="117"/>
        <v>45701.290937499994</v>
      </c>
      <c r="K909" s="3">
        <f t="shared" si="119"/>
        <v>6602</v>
      </c>
      <c r="L909">
        <f t="shared" si="112"/>
        <v>3.986111111</v>
      </c>
      <c r="M909">
        <f t="shared" si="118"/>
        <v>14.3499999996</v>
      </c>
    </row>
    <row r="910" spans="1:13" x14ac:dyDescent="0.25">
      <c r="A910" s="9">
        <f>Speed!A910</f>
        <v>45701.290949074071</v>
      </c>
      <c r="B910" s="9">
        <f t="shared" si="113"/>
        <v>45701.290949074071</v>
      </c>
      <c r="C910" s="2">
        <f>Speed!B910</f>
        <v>4.2916666670000003</v>
      </c>
      <c r="D910" s="9">
        <f>Odometer!A910</f>
        <v>45701.292060185187</v>
      </c>
      <c r="E910" s="9">
        <f t="shared" si="114"/>
        <v>45701.29206018518</v>
      </c>
      <c r="F910" s="2">
        <f>Odometer!B910</f>
        <v>428757115</v>
      </c>
      <c r="G910" s="2">
        <f t="shared" si="115"/>
        <v>15</v>
      </c>
      <c r="H910" s="2">
        <f>SUM($G$2:G910)</f>
        <v>7232</v>
      </c>
      <c r="I910" s="10">
        <f t="shared" si="116"/>
        <v>45701.290949074071</v>
      </c>
      <c r="J910" s="10">
        <f t="shared" si="117"/>
        <v>45701.290949074071</v>
      </c>
      <c r="K910" s="3">
        <f t="shared" si="119"/>
        <v>6606</v>
      </c>
      <c r="L910">
        <f t="shared" si="112"/>
        <v>4.2916666670000003</v>
      </c>
      <c r="M910">
        <f t="shared" si="118"/>
        <v>15.450000001200001</v>
      </c>
    </row>
    <row r="911" spans="1:13" x14ac:dyDescent="0.25">
      <c r="A911" s="9">
        <f>Speed!A911</f>
        <v>45701.290960648148</v>
      </c>
      <c r="B911" s="9">
        <f t="shared" si="113"/>
        <v>45701.290960648148</v>
      </c>
      <c r="C911" s="2">
        <f>Speed!B911</f>
        <v>4.488888889</v>
      </c>
      <c r="D911" s="9">
        <f>Odometer!A911</f>
        <v>45701.292071759257</v>
      </c>
      <c r="E911" s="9">
        <f t="shared" si="114"/>
        <v>45701.292071759257</v>
      </c>
      <c r="F911" s="2">
        <f>Odometer!B911</f>
        <v>428757130</v>
      </c>
      <c r="G911" s="2">
        <f t="shared" si="115"/>
        <v>17</v>
      </c>
      <c r="H911" s="2">
        <f>SUM($G$2:G911)</f>
        <v>7249</v>
      </c>
      <c r="I911" s="10">
        <f t="shared" si="116"/>
        <v>45701.290960648148</v>
      </c>
      <c r="J911" s="10">
        <f t="shared" si="117"/>
        <v>45701.290960648148</v>
      </c>
      <c r="K911" s="3">
        <f t="shared" si="119"/>
        <v>6611</v>
      </c>
      <c r="L911">
        <f t="shared" si="112"/>
        <v>4.488888889</v>
      </c>
      <c r="M911">
        <f t="shared" si="118"/>
        <v>16.1600000004</v>
      </c>
    </row>
    <row r="912" spans="1:13" x14ac:dyDescent="0.25">
      <c r="A912" s="9">
        <f>Speed!A912</f>
        <v>45701.290972222225</v>
      </c>
      <c r="B912" s="9">
        <f t="shared" si="113"/>
        <v>45701.290972222218</v>
      </c>
      <c r="C912" s="2">
        <f>Speed!B912</f>
        <v>4.6583333329999999</v>
      </c>
      <c r="D912" s="9">
        <f>Odometer!A912</f>
        <v>45701.292083333334</v>
      </c>
      <c r="E912" s="9">
        <f t="shared" si="114"/>
        <v>45701.292083333334</v>
      </c>
      <c r="F912" s="2">
        <f>Odometer!B912</f>
        <v>428757147</v>
      </c>
      <c r="G912" s="2">
        <f t="shared" si="115"/>
        <v>14</v>
      </c>
      <c r="H912" s="2">
        <f>SUM($G$2:G912)</f>
        <v>7263</v>
      </c>
      <c r="I912" s="10">
        <f t="shared" si="116"/>
        <v>45701.290972222225</v>
      </c>
      <c r="J912" s="10">
        <f t="shared" si="117"/>
        <v>45701.290972222218</v>
      </c>
      <c r="K912" s="3">
        <f t="shared" si="119"/>
        <v>6616</v>
      </c>
      <c r="L912">
        <f t="shared" si="112"/>
        <v>4.6583333329999999</v>
      </c>
      <c r="M912">
        <f t="shared" si="118"/>
        <v>16.769999998799999</v>
      </c>
    </row>
    <row r="913" spans="1:13" x14ac:dyDescent="0.25">
      <c r="A913" s="9">
        <f>Speed!A913</f>
        <v>45701.290983796294</v>
      </c>
      <c r="B913" s="9">
        <f t="shared" si="113"/>
        <v>45701.290983796294</v>
      </c>
      <c r="C913" s="2">
        <f>Speed!B913</f>
        <v>5.0333333329999999</v>
      </c>
      <c r="D913" s="9">
        <f>Odometer!A913</f>
        <v>45701.292094907411</v>
      </c>
      <c r="E913" s="9">
        <f t="shared" si="114"/>
        <v>45701.292094907403</v>
      </c>
      <c r="F913" s="2">
        <f>Odometer!B913</f>
        <v>428757161</v>
      </c>
      <c r="G913" s="2">
        <f t="shared" si="115"/>
        <v>14</v>
      </c>
      <c r="H913" s="2">
        <f>SUM($G$2:G913)</f>
        <v>7277</v>
      </c>
      <c r="I913" s="10">
        <f t="shared" si="116"/>
        <v>45701.290983796294</v>
      </c>
      <c r="J913" s="10">
        <f t="shared" si="117"/>
        <v>45701.290983796294</v>
      </c>
      <c r="K913" s="3">
        <f t="shared" si="119"/>
        <v>6621</v>
      </c>
      <c r="L913">
        <f t="shared" si="112"/>
        <v>5.0333333329999999</v>
      </c>
      <c r="M913">
        <f t="shared" si="118"/>
        <v>18.119999998800001</v>
      </c>
    </row>
    <row r="914" spans="1:13" x14ac:dyDescent="0.25">
      <c r="A914" s="9">
        <f>Speed!A914</f>
        <v>45701.290995370371</v>
      </c>
      <c r="B914" s="9">
        <f t="shared" si="113"/>
        <v>45701.290995370371</v>
      </c>
      <c r="C914" s="2">
        <f>Speed!B914</f>
        <v>5.2638888890000004</v>
      </c>
      <c r="D914" s="9">
        <f>Odometer!A914</f>
        <v>45701.292094907411</v>
      </c>
      <c r="E914" s="9">
        <f t="shared" si="114"/>
        <v>45701.292094907403</v>
      </c>
      <c r="F914" s="2">
        <f>Odometer!B914</f>
        <v>428757175</v>
      </c>
      <c r="G914" s="2">
        <f t="shared" si="115"/>
        <v>2</v>
      </c>
      <c r="H914" s="2">
        <f>SUM($G$2:G914)</f>
        <v>7279</v>
      </c>
      <c r="I914" s="10">
        <f t="shared" si="116"/>
        <v>45701.290995370371</v>
      </c>
      <c r="J914" s="10">
        <f t="shared" si="117"/>
        <v>45701.290995370371</v>
      </c>
      <c r="K914" s="3">
        <f t="shared" si="119"/>
        <v>6626</v>
      </c>
      <c r="L914">
        <f t="shared" si="112"/>
        <v>5.2638888890000004</v>
      </c>
      <c r="M914">
        <f t="shared" si="118"/>
        <v>18.950000000400003</v>
      </c>
    </row>
    <row r="915" spans="1:13" x14ac:dyDescent="0.25">
      <c r="A915" s="9">
        <f>Speed!A915</f>
        <v>45701.290995370371</v>
      </c>
      <c r="B915" s="9">
        <f t="shared" si="113"/>
        <v>45701.290995370371</v>
      </c>
      <c r="C915" s="2">
        <f>Speed!B915</f>
        <v>5.2750000000000004</v>
      </c>
      <c r="D915" s="9">
        <f>Odometer!A915</f>
        <v>45701.29210648148</v>
      </c>
      <c r="E915" s="9">
        <f t="shared" si="114"/>
        <v>45701.29210648148</v>
      </c>
      <c r="F915" s="2">
        <f>Odometer!B915</f>
        <v>428757177</v>
      </c>
      <c r="G915" s="2">
        <f t="shared" si="115"/>
        <v>12</v>
      </c>
      <c r="H915" s="2">
        <f>SUM($G$2:G915)</f>
        <v>7291</v>
      </c>
      <c r="I915" s="10">
        <f t="shared" si="116"/>
        <v>45701.290995370371</v>
      </c>
      <c r="J915" s="10">
        <f t="shared" si="117"/>
        <v>45701.290995370371</v>
      </c>
      <c r="K915" s="3">
        <f t="shared" si="119"/>
        <v>6626</v>
      </c>
      <c r="L915">
        <f t="shared" si="112"/>
        <v>5.2638888890000004</v>
      </c>
      <c r="M915">
        <f t="shared" si="118"/>
        <v>18.950000000400003</v>
      </c>
    </row>
    <row r="916" spans="1:13" x14ac:dyDescent="0.25">
      <c r="A916" s="9">
        <f>Speed!A916</f>
        <v>45701.291006944448</v>
      </c>
      <c r="B916" s="9">
        <f t="shared" si="113"/>
        <v>45701.291006944441</v>
      </c>
      <c r="C916" s="2">
        <f>Speed!B916</f>
        <v>5.4111111110000003</v>
      </c>
      <c r="D916" s="9">
        <f>Odometer!A916</f>
        <v>45701.292118055557</v>
      </c>
      <c r="E916" s="9">
        <f t="shared" si="114"/>
        <v>45701.292118055557</v>
      </c>
      <c r="F916" s="2">
        <f>Odometer!B916</f>
        <v>428757189</v>
      </c>
      <c r="G916" s="2">
        <f t="shared" si="115"/>
        <v>11</v>
      </c>
      <c r="H916" s="2">
        <f>SUM($G$2:G916)</f>
        <v>7302</v>
      </c>
      <c r="I916" s="10">
        <f t="shared" si="116"/>
        <v>45701.291006944448</v>
      </c>
      <c r="J916" s="10">
        <f t="shared" si="117"/>
        <v>45701.291006944441</v>
      </c>
      <c r="K916" s="3">
        <f t="shared" si="119"/>
        <v>6632</v>
      </c>
      <c r="L916">
        <f t="shared" si="112"/>
        <v>5.4111111110000003</v>
      </c>
      <c r="M916">
        <f t="shared" si="118"/>
        <v>19.4799999996</v>
      </c>
    </row>
    <row r="917" spans="1:13" x14ac:dyDescent="0.25">
      <c r="A917" s="9">
        <f>Speed!A917</f>
        <v>45701.291018518517</v>
      </c>
      <c r="B917" s="9">
        <f t="shared" si="113"/>
        <v>45701.291018518517</v>
      </c>
      <c r="C917" s="2">
        <f>Speed!B917</f>
        <v>5.5250000000000004</v>
      </c>
      <c r="D917" s="9">
        <f>Odometer!A917</f>
        <v>45701.292129629626</v>
      </c>
      <c r="E917" s="9">
        <f t="shared" si="114"/>
        <v>45701.292129629626</v>
      </c>
      <c r="F917" s="2">
        <f>Odometer!B917</f>
        <v>428757200</v>
      </c>
      <c r="G917" s="2">
        <f t="shared" si="115"/>
        <v>5</v>
      </c>
      <c r="H917" s="2">
        <f>SUM($G$2:G917)</f>
        <v>7307</v>
      </c>
      <c r="I917" s="10">
        <f t="shared" si="116"/>
        <v>45701.291018518517</v>
      </c>
      <c r="J917" s="10">
        <f t="shared" si="117"/>
        <v>45701.291018518517</v>
      </c>
      <c r="K917" s="3">
        <f t="shared" si="119"/>
        <v>6637</v>
      </c>
      <c r="L917">
        <f t="shared" si="112"/>
        <v>5.5250000000000004</v>
      </c>
      <c r="M917">
        <f t="shared" si="118"/>
        <v>19.89</v>
      </c>
    </row>
    <row r="918" spans="1:13" x14ac:dyDescent="0.25">
      <c r="A918" s="9">
        <f>Speed!A918</f>
        <v>45701.291018518517</v>
      </c>
      <c r="B918" s="9">
        <f t="shared" si="113"/>
        <v>45701.291018518517</v>
      </c>
      <c r="C918" s="2">
        <f>Speed!B918</f>
        <v>5.5277777779999999</v>
      </c>
      <c r="D918" s="9">
        <f>Odometer!A918</f>
        <v>45701.292129629626</v>
      </c>
      <c r="E918" s="9">
        <f t="shared" si="114"/>
        <v>45701.292129629626</v>
      </c>
      <c r="F918" s="2">
        <f>Odometer!B918</f>
        <v>428757205</v>
      </c>
      <c r="G918" s="2">
        <f t="shared" si="115"/>
        <v>11</v>
      </c>
      <c r="H918" s="2">
        <f>SUM($G$2:G918)</f>
        <v>7318</v>
      </c>
      <c r="I918" s="10">
        <f t="shared" si="116"/>
        <v>45701.291018518517</v>
      </c>
      <c r="J918" s="10">
        <f t="shared" si="117"/>
        <v>45701.291018518517</v>
      </c>
      <c r="K918" s="3">
        <f t="shared" si="119"/>
        <v>6637</v>
      </c>
      <c r="L918">
        <f t="shared" si="112"/>
        <v>5.5250000000000004</v>
      </c>
      <c r="M918">
        <f t="shared" si="118"/>
        <v>19.89</v>
      </c>
    </row>
    <row r="919" spans="1:13" x14ac:dyDescent="0.25">
      <c r="A919" s="9">
        <f>Speed!A919</f>
        <v>45701.291030092594</v>
      </c>
      <c r="B919" s="9">
        <f t="shared" si="113"/>
        <v>45701.291030092587</v>
      </c>
      <c r="C919" s="2">
        <f>Speed!B919</f>
        <v>5.5833333329999997</v>
      </c>
      <c r="D919" s="9">
        <f>Odometer!A919</f>
        <v>45701.292141203703</v>
      </c>
      <c r="E919" s="9">
        <f t="shared" si="114"/>
        <v>45701.292141203703</v>
      </c>
      <c r="F919" s="2">
        <f>Odometer!B919</f>
        <v>428757216</v>
      </c>
      <c r="G919" s="2">
        <f t="shared" si="115"/>
        <v>12</v>
      </c>
      <c r="H919" s="2">
        <f>SUM($G$2:G919)</f>
        <v>7330</v>
      </c>
      <c r="I919" s="10">
        <f t="shared" si="116"/>
        <v>45701.291030092594</v>
      </c>
      <c r="J919" s="10">
        <f t="shared" si="117"/>
        <v>45701.291030092587</v>
      </c>
      <c r="K919" s="3">
        <f t="shared" si="119"/>
        <v>6643</v>
      </c>
      <c r="L919">
        <f t="shared" si="112"/>
        <v>5.5833333329999997</v>
      </c>
      <c r="M919">
        <f t="shared" si="118"/>
        <v>20.099999998799998</v>
      </c>
    </row>
    <row r="920" spans="1:13" x14ac:dyDescent="0.25">
      <c r="A920" s="9">
        <f>Speed!A920</f>
        <v>45701.291041666664</v>
      </c>
      <c r="B920" s="9">
        <f t="shared" si="113"/>
        <v>45701.291041666664</v>
      </c>
      <c r="C920" s="2">
        <f>Speed!B920</f>
        <v>5.641666667</v>
      </c>
      <c r="D920" s="9">
        <f>Odometer!A920</f>
        <v>45701.29215277778</v>
      </c>
      <c r="E920" s="9">
        <f t="shared" si="114"/>
        <v>45701.292152777773</v>
      </c>
      <c r="F920" s="2">
        <f>Odometer!B920</f>
        <v>428757228</v>
      </c>
      <c r="G920" s="2">
        <f t="shared" si="115"/>
        <v>13</v>
      </c>
      <c r="H920" s="2">
        <f>SUM($G$2:G920)</f>
        <v>7343</v>
      </c>
      <c r="I920" s="10">
        <f t="shared" si="116"/>
        <v>45701.291041666664</v>
      </c>
      <c r="J920" s="10">
        <f t="shared" si="117"/>
        <v>45701.291041666664</v>
      </c>
      <c r="K920" s="3">
        <f t="shared" si="119"/>
        <v>6648</v>
      </c>
      <c r="L920">
        <f t="shared" si="112"/>
        <v>5.641666667</v>
      </c>
      <c r="M920">
        <f t="shared" si="118"/>
        <v>20.310000001199999</v>
      </c>
    </row>
    <row r="921" spans="1:13" x14ac:dyDescent="0.25">
      <c r="A921" s="9">
        <f>Speed!A921</f>
        <v>45701.291041666664</v>
      </c>
      <c r="B921" s="9">
        <f t="shared" si="113"/>
        <v>45701.291041666664</v>
      </c>
      <c r="C921" s="2">
        <f>Speed!B921</f>
        <v>5.636111111</v>
      </c>
      <c r="D921" s="9">
        <f>Odometer!A921</f>
        <v>45701.292164351849</v>
      </c>
      <c r="E921" s="9">
        <f t="shared" si="114"/>
        <v>45701.292164351849</v>
      </c>
      <c r="F921" s="2">
        <f>Odometer!B921</f>
        <v>428757241</v>
      </c>
      <c r="G921" s="2">
        <f t="shared" si="115"/>
        <v>13</v>
      </c>
      <c r="H921" s="2">
        <f>SUM($G$2:G921)</f>
        <v>7356</v>
      </c>
      <c r="I921" s="10">
        <f t="shared" si="116"/>
        <v>45701.291041666664</v>
      </c>
      <c r="J921" s="10">
        <f t="shared" si="117"/>
        <v>45701.291041666664</v>
      </c>
      <c r="K921" s="3">
        <f t="shared" si="119"/>
        <v>6648</v>
      </c>
      <c r="L921">
        <f t="shared" si="112"/>
        <v>5.641666667</v>
      </c>
      <c r="M921">
        <f t="shared" si="118"/>
        <v>20.310000001199999</v>
      </c>
    </row>
    <row r="922" spans="1:13" x14ac:dyDescent="0.25">
      <c r="A922" s="9">
        <f>Speed!A922</f>
        <v>45701.29105324074</v>
      </c>
      <c r="B922" s="9">
        <f t="shared" si="113"/>
        <v>45701.29105324074</v>
      </c>
      <c r="C922" s="2">
        <f>Speed!B922</f>
        <v>5.6583333329999999</v>
      </c>
      <c r="D922" s="9">
        <f>Odometer!A922</f>
        <v>45701.292175925926</v>
      </c>
      <c r="E922" s="9">
        <f t="shared" si="114"/>
        <v>45701.292175925926</v>
      </c>
      <c r="F922" s="2">
        <f>Odometer!B922</f>
        <v>428757254</v>
      </c>
      <c r="G922" s="2">
        <f t="shared" si="115"/>
        <v>13</v>
      </c>
      <c r="H922" s="2">
        <f>SUM($G$2:G922)</f>
        <v>7369</v>
      </c>
      <c r="I922" s="10">
        <f t="shared" si="116"/>
        <v>45701.29105324074</v>
      </c>
      <c r="J922" s="10">
        <f t="shared" si="117"/>
        <v>45701.29105324074</v>
      </c>
      <c r="K922" s="3">
        <f t="shared" si="119"/>
        <v>6654</v>
      </c>
      <c r="L922">
        <f t="shared" si="112"/>
        <v>5.6583333329999999</v>
      </c>
      <c r="M922">
        <f t="shared" si="118"/>
        <v>20.369999998800001</v>
      </c>
    </row>
    <row r="923" spans="1:13" x14ac:dyDescent="0.25">
      <c r="A923" s="9">
        <f>Speed!A923</f>
        <v>45701.29105324074</v>
      </c>
      <c r="B923" s="9">
        <f t="shared" si="113"/>
        <v>45701.29105324074</v>
      </c>
      <c r="C923" s="2">
        <f>Speed!B923</f>
        <v>5.6555555560000004</v>
      </c>
      <c r="D923" s="9">
        <f>Odometer!A923</f>
        <v>45701.292187500003</v>
      </c>
      <c r="E923" s="9">
        <f t="shared" si="114"/>
        <v>45701.292187499996</v>
      </c>
      <c r="F923" s="2">
        <f>Odometer!B923</f>
        <v>428757267</v>
      </c>
      <c r="G923" s="2">
        <f t="shared" si="115"/>
        <v>12</v>
      </c>
      <c r="H923" s="2">
        <f>SUM($G$2:G923)</f>
        <v>7381</v>
      </c>
      <c r="I923" s="10">
        <f t="shared" si="116"/>
        <v>45701.29105324074</v>
      </c>
      <c r="J923" s="10">
        <f t="shared" si="117"/>
        <v>45701.29105324074</v>
      </c>
      <c r="K923" s="3">
        <f t="shared" si="119"/>
        <v>6654</v>
      </c>
      <c r="L923">
        <f t="shared" si="112"/>
        <v>5.6583333329999999</v>
      </c>
      <c r="M923">
        <f t="shared" si="118"/>
        <v>20.369999998800001</v>
      </c>
    </row>
    <row r="924" spans="1:13" x14ac:dyDescent="0.25">
      <c r="A924" s="9">
        <f>Speed!A924</f>
        <v>45701.291064814817</v>
      </c>
      <c r="B924" s="9">
        <f t="shared" si="113"/>
        <v>45701.29106481481</v>
      </c>
      <c r="C924" s="2">
        <f>Speed!B924</f>
        <v>5.6444444440000003</v>
      </c>
      <c r="D924" s="9">
        <f>Odometer!A924</f>
        <v>45701.292199074072</v>
      </c>
      <c r="E924" s="9">
        <f t="shared" si="114"/>
        <v>45701.292199074072</v>
      </c>
      <c r="F924" s="2">
        <f>Odometer!B924</f>
        <v>428757279</v>
      </c>
      <c r="G924" s="2">
        <f t="shared" si="115"/>
        <v>14</v>
      </c>
      <c r="H924" s="2">
        <f>SUM($G$2:G924)</f>
        <v>7395</v>
      </c>
      <c r="I924" s="10">
        <f t="shared" si="116"/>
        <v>45701.291064814817</v>
      </c>
      <c r="J924" s="10">
        <f t="shared" si="117"/>
        <v>45701.29106481481</v>
      </c>
      <c r="K924" s="3">
        <f t="shared" si="119"/>
        <v>6660</v>
      </c>
      <c r="L924">
        <f t="shared" si="112"/>
        <v>5.6444444440000003</v>
      </c>
      <c r="M924">
        <f t="shared" si="118"/>
        <v>20.3199999984</v>
      </c>
    </row>
    <row r="925" spans="1:13" x14ac:dyDescent="0.25">
      <c r="A925" s="9">
        <f>Speed!A925</f>
        <v>45701.291076388887</v>
      </c>
      <c r="B925" s="9">
        <f t="shared" si="113"/>
        <v>45701.291076388887</v>
      </c>
      <c r="C925" s="2">
        <f>Speed!B925</f>
        <v>5.494444444</v>
      </c>
      <c r="D925" s="9">
        <f>Odometer!A925</f>
        <v>45701.292210648149</v>
      </c>
      <c r="E925" s="9">
        <f t="shared" si="114"/>
        <v>45701.292210648149</v>
      </c>
      <c r="F925" s="2">
        <f>Odometer!B925</f>
        <v>428757293</v>
      </c>
      <c r="G925" s="2">
        <f t="shared" si="115"/>
        <v>13</v>
      </c>
      <c r="H925" s="2">
        <f>SUM($G$2:G925)</f>
        <v>7408</v>
      </c>
      <c r="I925" s="10">
        <f t="shared" si="116"/>
        <v>45701.291076388887</v>
      </c>
      <c r="J925" s="10">
        <f t="shared" si="117"/>
        <v>45701.291076388887</v>
      </c>
      <c r="K925" s="3">
        <f t="shared" si="119"/>
        <v>6665</v>
      </c>
      <c r="L925">
        <f t="shared" si="112"/>
        <v>5.494444444</v>
      </c>
      <c r="M925">
        <f t="shared" si="118"/>
        <v>19.779999998400001</v>
      </c>
    </row>
    <row r="926" spans="1:13" x14ac:dyDescent="0.25">
      <c r="A926" s="9">
        <f>Speed!A926</f>
        <v>45701.291087962964</v>
      </c>
      <c r="B926" s="9">
        <f t="shared" si="113"/>
        <v>45701.291087962964</v>
      </c>
      <c r="C926" s="2">
        <f>Speed!B926</f>
        <v>5.4444444440000002</v>
      </c>
      <c r="D926" s="9">
        <f>Odometer!A926</f>
        <v>45701.292222222219</v>
      </c>
      <c r="E926" s="9">
        <f t="shared" si="114"/>
        <v>45701.292222222219</v>
      </c>
      <c r="F926" s="2">
        <f>Odometer!B926</f>
        <v>428757306</v>
      </c>
      <c r="G926" s="2">
        <f t="shared" si="115"/>
        <v>12</v>
      </c>
      <c r="H926" s="2">
        <f>SUM($G$2:G926)</f>
        <v>7420</v>
      </c>
      <c r="I926" s="10">
        <f t="shared" si="116"/>
        <v>45701.291087962964</v>
      </c>
      <c r="J926" s="10">
        <f t="shared" si="117"/>
        <v>45701.291087962964</v>
      </c>
      <c r="K926" s="3">
        <f t="shared" si="119"/>
        <v>6670</v>
      </c>
      <c r="L926">
        <f t="shared" si="112"/>
        <v>5.4444444440000002</v>
      </c>
      <c r="M926">
        <f t="shared" si="118"/>
        <v>19.599999998400001</v>
      </c>
    </row>
    <row r="927" spans="1:13" x14ac:dyDescent="0.25">
      <c r="A927" s="9">
        <f>Speed!A927</f>
        <v>45701.29109953704</v>
      </c>
      <c r="B927" s="9">
        <f t="shared" si="113"/>
        <v>45701.291099537033</v>
      </c>
      <c r="C927" s="2">
        <f>Speed!B927</f>
        <v>5.4416666669999998</v>
      </c>
      <c r="D927" s="9">
        <f>Odometer!A927</f>
        <v>45701.292222222219</v>
      </c>
      <c r="E927" s="9">
        <f t="shared" si="114"/>
        <v>45701.292222222219</v>
      </c>
      <c r="F927" s="2">
        <f>Odometer!B927</f>
        <v>428757318</v>
      </c>
      <c r="G927" s="2">
        <f t="shared" si="115"/>
        <v>13</v>
      </c>
      <c r="H927" s="2">
        <f>SUM($G$2:G927)</f>
        <v>7433</v>
      </c>
      <c r="I927" s="10">
        <f t="shared" si="116"/>
        <v>45701.29109953704</v>
      </c>
      <c r="J927" s="10">
        <f t="shared" si="117"/>
        <v>45701.291099537033</v>
      </c>
      <c r="K927" s="3">
        <f t="shared" si="119"/>
        <v>6676</v>
      </c>
      <c r="L927">
        <f t="shared" si="112"/>
        <v>5.4416666669999998</v>
      </c>
      <c r="M927">
        <f t="shared" si="118"/>
        <v>19.5900000012</v>
      </c>
    </row>
    <row r="928" spans="1:13" x14ac:dyDescent="0.25">
      <c r="A928" s="9">
        <f>Speed!A928</f>
        <v>45701.29111111111</v>
      </c>
      <c r="B928" s="9">
        <f t="shared" si="113"/>
        <v>45701.29111111111</v>
      </c>
      <c r="C928" s="2">
        <f>Speed!B928</f>
        <v>5.4583333329999997</v>
      </c>
      <c r="D928" s="9">
        <f>Odometer!A928</f>
        <v>45701.292245370372</v>
      </c>
      <c r="E928" s="9">
        <f t="shared" si="114"/>
        <v>45701.292245370365</v>
      </c>
      <c r="F928" s="2">
        <f>Odometer!B928</f>
        <v>428757331</v>
      </c>
      <c r="G928" s="2">
        <f t="shared" si="115"/>
        <v>13</v>
      </c>
      <c r="H928" s="2">
        <f>SUM($G$2:G928)</f>
        <v>7446</v>
      </c>
      <c r="I928" s="10">
        <f t="shared" si="116"/>
        <v>45701.29111111111</v>
      </c>
      <c r="J928" s="10">
        <f t="shared" si="117"/>
        <v>45701.29111111111</v>
      </c>
      <c r="K928" s="3">
        <f t="shared" si="119"/>
        <v>6681</v>
      </c>
      <c r="L928">
        <f t="shared" si="112"/>
        <v>5.4583333329999997</v>
      </c>
      <c r="M928">
        <f t="shared" si="118"/>
        <v>19.649999998799998</v>
      </c>
    </row>
    <row r="929" spans="1:13" x14ac:dyDescent="0.25">
      <c r="A929" s="9">
        <f>Speed!A929</f>
        <v>45701.291122685187</v>
      </c>
      <c r="B929" s="9">
        <f t="shared" si="113"/>
        <v>45701.291122685179</v>
      </c>
      <c r="C929" s="2">
        <f>Speed!B929</f>
        <v>5.494444444</v>
      </c>
      <c r="D929" s="9">
        <f>Odometer!A929</f>
        <v>45701.292245370372</v>
      </c>
      <c r="E929" s="9">
        <f t="shared" si="114"/>
        <v>45701.292245370365</v>
      </c>
      <c r="F929" s="2">
        <f>Odometer!B929</f>
        <v>428757344</v>
      </c>
      <c r="G929" s="2">
        <f t="shared" si="115"/>
        <v>14</v>
      </c>
      <c r="H929" s="2">
        <f>SUM($G$2:G929)</f>
        <v>7460</v>
      </c>
      <c r="I929" s="10">
        <f t="shared" si="116"/>
        <v>45701.291122685187</v>
      </c>
      <c r="J929" s="10">
        <f t="shared" si="117"/>
        <v>45701.291122685179</v>
      </c>
      <c r="K929" s="3">
        <f t="shared" si="119"/>
        <v>6687</v>
      </c>
      <c r="L929">
        <f t="shared" si="112"/>
        <v>5.494444444</v>
      </c>
      <c r="M929">
        <f t="shared" si="118"/>
        <v>19.779999998400001</v>
      </c>
    </row>
    <row r="930" spans="1:13" x14ac:dyDescent="0.25">
      <c r="A930" s="9">
        <f>Speed!A930</f>
        <v>45701.291134259256</v>
      </c>
      <c r="B930" s="9">
        <f t="shared" si="113"/>
        <v>45701.291134259256</v>
      </c>
      <c r="C930" s="2">
        <f>Speed!B930</f>
        <v>5.5388888889999999</v>
      </c>
      <c r="D930" s="9">
        <f>Odometer!A930</f>
        <v>45701.292268518519</v>
      </c>
      <c r="E930" s="9">
        <f t="shared" si="114"/>
        <v>45701.292268518519</v>
      </c>
      <c r="F930" s="2">
        <f>Odometer!B930</f>
        <v>428757358</v>
      </c>
      <c r="G930" s="2">
        <f t="shared" si="115"/>
        <v>17</v>
      </c>
      <c r="H930" s="2">
        <f>SUM($G$2:G930)</f>
        <v>7477</v>
      </c>
      <c r="I930" s="10">
        <f t="shared" si="116"/>
        <v>45701.291134259256</v>
      </c>
      <c r="J930" s="10">
        <f t="shared" si="117"/>
        <v>45701.291134259256</v>
      </c>
      <c r="K930" s="3">
        <f t="shared" si="119"/>
        <v>6693</v>
      </c>
      <c r="L930">
        <f t="shared" si="112"/>
        <v>5.5388888889999999</v>
      </c>
      <c r="M930">
        <f t="shared" si="118"/>
        <v>19.940000000400001</v>
      </c>
    </row>
    <row r="931" spans="1:13" x14ac:dyDescent="0.25">
      <c r="A931" s="9">
        <f>Speed!A931</f>
        <v>45701.291145833333</v>
      </c>
      <c r="B931" s="9">
        <f t="shared" si="113"/>
        <v>45701.291145833333</v>
      </c>
      <c r="C931" s="2">
        <f>Speed!B931</f>
        <v>5.5777777779999997</v>
      </c>
      <c r="D931" s="9">
        <f>Odometer!A931</f>
        <v>45701.292280092595</v>
      </c>
      <c r="E931" s="9">
        <f t="shared" si="114"/>
        <v>45701.292280092588</v>
      </c>
      <c r="F931" s="2">
        <f>Odometer!B931</f>
        <v>428757375</v>
      </c>
      <c r="G931" s="2">
        <f t="shared" si="115"/>
        <v>15</v>
      </c>
      <c r="H931" s="2">
        <f>SUM($G$2:G931)</f>
        <v>7492</v>
      </c>
      <c r="I931" s="10">
        <f t="shared" si="116"/>
        <v>45701.291145833333</v>
      </c>
      <c r="J931" s="10">
        <f t="shared" si="117"/>
        <v>45701.291145833333</v>
      </c>
      <c r="K931" s="3">
        <f t="shared" si="119"/>
        <v>6698</v>
      </c>
      <c r="L931">
        <f t="shared" si="112"/>
        <v>5.5777777779999997</v>
      </c>
      <c r="M931">
        <f t="shared" si="118"/>
        <v>20.080000000799998</v>
      </c>
    </row>
    <row r="932" spans="1:13" x14ac:dyDescent="0.25">
      <c r="A932" s="9">
        <f>Speed!A932</f>
        <v>45701.291145833333</v>
      </c>
      <c r="B932" s="9">
        <f t="shared" si="113"/>
        <v>45701.291145833333</v>
      </c>
      <c r="C932" s="2">
        <f>Speed!B932</f>
        <v>5.5694444440000002</v>
      </c>
      <c r="D932" s="9">
        <f>Odometer!A932</f>
        <v>45701.292291666665</v>
      </c>
      <c r="E932" s="9">
        <f t="shared" si="114"/>
        <v>45701.292291666665</v>
      </c>
      <c r="F932" s="2">
        <f>Odometer!B932</f>
        <v>428757390</v>
      </c>
      <c r="G932" s="2">
        <f t="shared" si="115"/>
        <v>18</v>
      </c>
      <c r="H932" s="2">
        <f>SUM($G$2:G932)</f>
        <v>7510</v>
      </c>
      <c r="I932" s="10">
        <f t="shared" si="116"/>
        <v>45701.291145833333</v>
      </c>
      <c r="J932" s="10">
        <f t="shared" si="117"/>
        <v>45701.291145833333</v>
      </c>
      <c r="K932" s="3">
        <f t="shared" si="119"/>
        <v>6698</v>
      </c>
      <c r="L932">
        <f t="shared" si="112"/>
        <v>5.5777777779999997</v>
      </c>
      <c r="M932">
        <f t="shared" si="118"/>
        <v>20.080000000799998</v>
      </c>
    </row>
    <row r="933" spans="1:13" x14ac:dyDescent="0.25">
      <c r="A933" s="9">
        <f>Speed!A933</f>
        <v>45701.291145833333</v>
      </c>
      <c r="B933" s="9">
        <f t="shared" si="113"/>
        <v>45701.291145833333</v>
      </c>
      <c r="C933" s="2">
        <f>Speed!B933</f>
        <v>5.6722222220000003</v>
      </c>
      <c r="D933" s="9">
        <f>Odometer!A933</f>
        <v>45701.292303240742</v>
      </c>
      <c r="E933" s="9">
        <f t="shared" si="114"/>
        <v>45701.292303240742</v>
      </c>
      <c r="F933" s="2">
        <f>Odometer!B933</f>
        <v>428757408</v>
      </c>
      <c r="G933" s="2">
        <f t="shared" si="115"/>
        <v>17</v>
      </c>
      <c r="H933" s="2">
        <f>SUM($G$2:G933)</f>
        <v>7527</v>
      </c>
      <c r="I933" s="10">
        <f t="shared" si="116"/>
        <v>45701.291145833333</v>
      </c>
      <c r="J933" s="10">
        <f t="shared" si="117"/>
        <v>45701.291145833333</v>
      </c>
      <c r="K933" s="3">
        <f t="shared" si="119"/>
        <v>6698</v>
      </c>
      <c r="L933">
        <f t="shared" si="112"/>
        <v>5.5777777779999997</v>
      </c>
      <c r="M933">
        <f t="shared" si="118"/>
        <v>20.080000000799998</v>
      </c>
    </row>
    <row r="934" spans="1:13" x14ac:dyDescent="0.25">
      <c r="A934" s="9">
        <f>Speed!A934</f>
        <v>45701.291168981479</v>
      </c>
      <c r="B934" s="9">
        <f t="shared" si="113"/>
        <v>45701.291168981479</v>
      </c>
      <c r="C934" s="2">
        <f>Speed!B934</f>
        <v>5.7972222220000003</v>
      </c>
      <c r="D934" s="9">
        <f>Odometer!A934</f>
        <v>45701.292314814818</v>
      </c>
      <c r="E934" s="9">
        <f t="shared" si="114"/>
        <v>45701.292314814811</v>
      </c>
      <c r="F934" s="2">
        <f>Odometer!B934</f>
        <v>428757425</v>
      </c>
      <c r="G934" s="2">
        <f t="shared" si="115"/>
        <v>15</v>
      </c>
      <c r="H934" s="2">
        <f>SUM($G$2:G934)</f>
        <v>7542</v>
      </c>
      <c r="I934" s="10">
        <f t="shared" si="116"/>
        <v>45701.291168981479</v>
      </c>
      <c r="J934" s="10">
        <f t="shared" si="117"/>
        <v>45701.291168981479</v>
      </c>
      <c r="K934" s="3">
        <f t="shared" si="119"/>
        <v>6709</v>
      </c>
      <c r="L934">
        <f t="shared" si="112"/>
        <v>5.7972222220000003</v>
      </c>
      <c r="M934">
        <f t="shared" si="118"/>
        <v>20.869999999200001</v>
      </c>
    </row>
    <row r="935" spans="1:13" x14ac:dyDescent="0.25">
      <c r="A935" s="9">
        <f>Speed!A935</f>
        <v>45701.291180555556</v>
      </c>
      <c r="B935" s="9">
        <f t="shared" si="113"/>
        <v>45701.291180555556</v>
      </c>
      <c r="C935" s="2">
        <f>Speed!B935</f>
        <v>5.880555556</v>
      </c>
      <c r="D935" s="9">
        <f>Odometer!A935</f>
        <v>45701.292326388888</v>
      </c>
      <c r="E935" s="9">
        <f t="shared" si="114"/>
        <v>45701.292326388888</v>
      </c>
      <c r="F935" s="2">
        <f>Odometer!B935</f>
        <v>428757440</v>
      </c>
      <c r="G935" s="2">
        <f t="shared" si="115"/>
        <v>17</v>
      </c>
      <c r="H935" s="2">
        <f>SUM($G$2:G935)</f>
        <v>7559</v>
      </c>
      <c r="I935" s="10">
        <f t="shared" si="116"/>
        <v>45701.291180555556</v>
      </c>
      <c r="J935" s="10">
        <f t="shared" si="117"/>
        <v>45701.291180555556</v>
      </c>
      <c r="K935" s="3">
        <f t="shared" si="119"/>
        <v>6715</v>
      </c>
      <c r="L935">
        <f t="shared" si="112"/>
        <v>5.880555556</v>
      </c>
      <c r="M935">
        <f t="shared" si="118"/>
        <v>21.170000001600002</v>
      </c>
    </row>
    <row r="936" spans="1:13" x14ac:dyDescent="0.25">
      <c r="A936" s="9">
        <f>Speed!A936</f>
        <v>45701.291180555556</v>
      </c>
      <c r="B936" s="9">
        <f t="shared" si="113"/>
        <v>45701.291180555556</v>
      </c>
      <c r="C936" s="2">
        <f>Speed!B936</f>
        <v>5.9277777780000003</v>
      </c>
      <c r="D936" s="9">
        <f>Odometer!A936</f>
        <v>45701.292337962965</v>
      </c>
      <c r="E936" s="9">
        <f t="shared" si="114"/>
        <v>45701.292337962957</v>
      </c>
      <c r="F936" s="2">
        <f>Odometer!B936</f>
        <v>428757457</v>
      </c>
      <c r="G936" s="2">
        <f t="shared" si="115"/>
        <v>14</v>
      </c>
      <c r="H936" s="2">
        <f>SUM($G$2:G936)</f>
        <v>7573</v>
      </c>
      <c r="I936" s="10">
        <f t="shared" si="116"/>
        <v>45701.291180555556</v>
      </c>
      <c r="J936" s="10">
        <f t="shared" si="117"/>
        <v>45701.291180555556</v>
      </c>
      <c r="K936" s="3">
        <f t="shared" si="119"/>
        <v>6715</v>
      </c>
      <c r="L936">
        <f t="shared" si="112"/>
        <v>5.880555556</v>
      </c>
      <c r="M936">
        <f t="shared" si="118"/>
        <v>21.170000001600002</v>
      </c>
    </row>
    <row r="937" spans="1:13" x14ac:dyDescent="0.25">
      <c r="A937" s="9">
        <f>Speed!A937</f>
        <v>45701.291192129633</v>
      </c>
      <c r="B937" s="9">
        <f t="shared" si="113"/>
        <v>45701.291192129625</v>
      </c>
      <c r="C937" s="2">
        <f>Speed!B937</f>
        <v>5.9055555560000004</v>
      </c>
      <c r="D937" s="9">
        <f>Odometer!A937</f>
        <v>45701.292337962965</v>
      </c>
      <c r="E937" s="9">
        <f t="shared" si="114"/>
        <v>45701.292337962957</v>
      </c>
      <c r="F937" s="2">
        <f>Odometer!B937</f>
        <v>428757471</v>
      </c>
      <c r="G937" s="2">
        <f t="shared" si="115"/>
        <v>4</v>
      </c>
      <c r="H937" s="2">
        <f>SUM($G$2:G937)</f>
        <v>7577</v>
      </c>
      <c r="I937" s="10">
        <f t="shared" si="116"/>
        <v>45701.291192129633</v>
      </c>
      <c r="J937" s="10">
        <f t="shared" si="117"/>
        <v>45701.291192129625</v>
      </c>
      <c r="K937" s="3">
        <f t="shared" si="119"/>
        <v>6722</v>
      </c>
      <c r="L937">
        <f t="shared" si="112"/>
        <v>5.9055555560000004</v>
      </c>
      <c r="M937">
        <f t="shared" si="118"/>
        <v>21.260000001600002</v>
      </c>
    </row>
    <row r="938" spans="1:13" x14ac:dyDescent="0.25">
      <c r="A938" s="9">
        <f>Speed!A938</f>
        <v>45701.291203703702</v>
      </c>
      <c r="B938" s="9">
        <f t="shared" si="113"/>
        <v>45701.291203703702</v>
      </c>
      <c r="C938" s="2">
        <f>Speed!B938</f>
        <v>5.8972222219999999</v>
      </c>
      <c r="D938" s="9">
        <f>Odometer!A938</f>
        <v>45701.292349537034</v>
      </c>
      <c r="E938" s="9">
        <f t="shared" si="114"/>
        <v>45701.292349537034</v>
      </c>
      <c r="F938" s="2">
        <f>Odometer!B938</f>
        <v>428757475</v>
      </c>
      <c r="G938" s="2">
        <f t="shared" si="115"/>
        <v>7</v>
      </c>
      <c r="H938" s="2">
        <f>SUM($G$2:G938)</f>
        <v>7584</v>
      </c>
      <c r="I938" s="10">
        <f t="shared" si="116"/>
        <v>45701.291203703702</v>
      </c>
      <c r="J938" s="10">
        <f t="shared" si="117"/>
        <v>45701.291203703702</v>
      </c>
      <c r="K938" s="3">
        <f t="shared" si="119"/>
        <v>6728</v>
      </c>
      <c r="L938">
        <f t="shared" si="112"/>
        <v>5.8972222219999999</v>
      </c>
      <c r="M938">
        <f t="shared" si="118"/>
        <v>21.2299999992</v>
      </c>
    </row>
    <row r="939" spans="1:13" x14ac:dyDescent="0.25">
      <c r="A939" s="9">
        <f>Speed!A939</f>
        <v>45701.291215277779</v>
      </c>
      <c r="B939" s="9">
        <f t="shared" si="113"/>
        <v>45701.291215277779</v>
      </c>
      <c r="C939" s="2">
        <f>Speed!B939</f>
        <v>5.9222222220000003</v>
      </c>
      <c r="D939" s="9">
        <f>Odometer!A939</f>
        <v>45701.292349537034</v>
      </c>
      <c r="E939" s="9">
        <f t="shared" si="114"/>
        <v>45701.292349537034</v>
      </c>
      <c r="F939" s="2">
        <f>Odometer!B939</f>
        <v>428757482</v>
      </c>
      <c r="G939" s="2">
        <f t="shared" si="115"/>
        <v>6</v>
      </c>
      <c r="H939" s="2">
        <f>SUM($G$2:G939)</f>
        <v>7590</v>
      </c>
      <c r="I939" s="10">
        <f t="shared" si="116"/>
        <v>45701.291215277779</v>
      </c>
      <c r="J939" s="10">
        <f t="shared" si="117"/>
        <v>45701.291215277779</v>
      </c>
      <c r="K939" s="3">
        <f t="shared" si="119"/>
        <v>6729</v>
      </c>
      <c r="L939">
        <f t="shared" si="112"/>
        <v>5.9222222220000003</v>
      </c>
      <c r="M939">
        <f t="shared" si="118"/>
        <v>21.3199999992</v>
      </c>
    </row>
    <row r="940" spans="1:13" x14ac:dyDescent="0.25">
      <c r="A940" s="9">
        <f>Speed!A940</f>
        <v>45701.291215277779</v>
      </c>
      <c r="B940" s="9">
        <f t="shared" si="113"/>
        <v>45701.291215277779</v>
      </c>
      <c r="C940" s="2">
        <f>Speed!B940</f>
        <v>5.9166666670000003</v>
      </c>
      <c r="D940" s="9">
        <f>Odometer!A940</f>
        <v>45701.292361111111</v>
      </c>
      <c r="E940" s="9">
        <f t="shared" si="114"/>
        <v>45701.292361111111</v>
      </c>
      <c r="F940" s="2">
        <f>Odometer!B940</f>
        <v>428757488</v>
      </c>
      <c r="G940" s="2">
        <f t="shared" si="115"/>
        <v>1</v>
      </c>
      <c r="H940" s="2">
        <f>SUM($G$2:G940)</f>
        <v>7591</v>
      </c>
      <c r="I940" s="10">
        <f t="shared" si="116"/>
        <v>45701.291215277779</v>
      </c>
      <c r="J940" s="10">
        <f t="shared" si="117"/>
        <v>45701.291215277779</v>
      </c>
      <c r="K940" s="3">
        <f t="shared" si="119"/>
        <v>6729</v>
      </c>
      <c r="L940">
        <f t="shared" si="112"/>
        <v>5.9222222220000003</v>
      </c>
      <c r="M940">
        <f t="shared" si="118"/>
        <v>21.3199999992</v>
      </c>
    </row>
    <row r="941" spans="1:13" x14ac:dyDescent="0.25">
      <c r="A941" s="9">
        <f>Speed!A941</f>
        <v>45701.291226851848</v>
      </c>
      <c r="B941" s="9">
        <f t="shared" si="113"/>
        <v>45701.291226851848</v>
      </c>
      <c r="C941" s="2">
        <f>Speed!B941</f>
        <v>5.7916666670000003</v>
      </c>
      <c r="D941" s="9">
        <f>Odometer!A941</f>
        <v>45701.292361111111</v>
      </c>
      <c r="E941" s="9">
        <f t="shared" si="114"/>
        <v>45701.292361111111</v>
      </c>
      <c r="F941" s="2">
        <f>Odometer!B941</f>
        <v>428757489</v>
      </c>
      <c r="G941" s="2">
        <f t="shared" si="115"/>
        <v>16</v>
      </c>
      <c r="H941" s="2">
        <f>SUM($G$2:G941)</f>
        <v>7607</v>
      </c>
      <c r="I941" s="10">
        <f t="shared" si="116"/>
        <v>45701.291226851848</v>
      </c>
      <c r="J941" s="10">
        <f t="shared" si="117"/>
        <v>45701.291226851848</v>
      </c>
      <c r="K941" s="3">
        <f t="shared" si="119"/>
        <v>6739</v>
      </c>
      <c r="L941">
        <f t="shared" si="112"/>
        <v>5.7916666670000003</v>
      </c>
      <c r="M941">
        <f t="shared" si="118"/>
        <v>20.850000001200002</v>
      </c>
    </row>
    <row r="942" spans="1:13" x14ac:dyDescent="0.25">
      <c r="A942" s="9">
        <f>Speed!A942</f>
        <v>45701.291238425925</v>
      </c>
      <c r="B942" s="9">
        <f t="shared" si="113"/>
        <v>45701.291238425925</v>
      </c>
      <c r="C942" s="2">
        <f>Speed!B942</f>
        <v>5.6055555559999997</v>
      </c>
      <c r="D942" s="9">
        <f>Odometer!A942</f>
        <v>45701.292372685188</v>
      </c>
      <c r="E942" s="9">
        <f t="shared" si="114"/>
        <v>45701.29237268518</v>
      </c>
      <c r="F942" s="2">
        <f>Odometer!B942</f>
        <v>428757505</v>
      </c>
      <c r="G942" s="2">
        <f t="shared" si="115"/>
        <v>1</v>
      </c>
      <c r="H942" s="2">
        <f>SUM($G$2:G942)</f>
        <v>7608</v>
      </c>
      <c r="I942" s="10">
        <f t="shared" si="116"/>
        <v>45701.291238425925</v>
      </c>
      <c r="J942" s="10">
        <f t="shared" si="117"/>
        <v>45701.291238425925</v>
      </c>
      <c r="K942" s="3">
        <f t="shared" si="119"/>
        <v>6740</v>
      </c>
      <c r="L942">
        <f t="shared" si="112"/>
        <v>5.6055555559999997</v>
      </c>
      <c r="M942">
        <f t="shared" si="118"/>
        <v>20.1800000016</v>
      </c>
    </row>
    <row r="943" spans="1:13" x14ac:dyDescent="0.25">
      <c r="A943" s="9">
        <f>Speed!A943</f>
        <v>45701.291238425925</v>
      </c>
      <c r="B943" s="9">
        <f t="shared" si="113"/>
        <v>45701.291238425925</v>
      </c>
      <c r="C943" s="2">
        <f>Speed!B943</f>
        <v>5.5583333330000002</v>
      </c>
      <c r="D943" s="9">
        <f>Odometer!A943</f>
        <v>45701.292372685188</v>
      </c>
      <c r="E943" s="9">
        <f t="shared" si="114"/>
        <v>45701.29237268518</v>
      </c>
      <c r="F943" s="2">
        <f>Odometer!B943</f>
        <v>428757506</v>
      </c>
      <c r="G943" s="2">
        <f t="shared" si="115"/>
        <v>15</v>
      </c>
      <c r="H943" s="2">
        <f>SUM($G$2:G943)</f>
        <v>7623</v>
      </c>
      <c r="I943" s="10">
        <f t="shared" si="116"/>
        <v>45701.291238425925</v>
      </c>
      <c r="J943" s="10">
        <f t="shared" si="117"/>
        <v>45701.291238425925</v>
      </c>
      <c r="K943" s="3">
        <f t="shared" si="119"/>
        <v>6740</v>
      </c>
      <c r="L943">
        <f t="shared" si="112"/>
        <v>5.6055555559999997</v>
      </c>
      <c r="M943">
        <f t="shared" si="118"/>
        <v>20.1800000016</v>
      </c>
    </row>
    <row r="944" spans="1:13" x14ac:dyDescent="0.25">
      <c r="A944" s="9">
        <f>Speed!A944</f>
        <v>45701.291238425925</v>
      </c>
      <c r="B944" s="9">
        <f t="shared" si="113"/>
        <v>45701.291238425925</v>
      </c>
      <c r="C944" s="2">
        <f>Speed!B944</f>
        <v>5.3194444440000002</v>
      </c>
      <c r="D944" s="9">
        <f>Odometer!A944</f>
        <v>45701.292384259257</v>
      </c>
      <c r="E944" s="9">
        <f t="shared" si="114"/>
        <v>45701.292384259257</v>
      </c>
      <c r="F944" s="2">
        <f>Odometer!B944</f>
        <v>428757521</v>
      </c>
      <c r="G944" s="2">
        <f t="shared" si="115"/>
        <v>15</v>
      </c>
      <c r="H944" s="2">
        <f>SUM($G$2:G944)</f>
        <v>7638</v>
      </c>
      <c r="I944" s="10">
        <f t="shared" si="116"/>
        <v>45701.291238425925</v>
      </c>
      <c r="J944" s="10">
        <f t="shared" si="117"/>
        <v>45701.291238425925</v>
      </c>
      <c r="K944" s="3">
        <f t="shared" si="119"/>
        <v>6740</v>
      </c>
      <c r="L944">
        <f t="shared" si="112"/>
        <v>5.6055555559999997</v>
      </c>
      <c r="M944">
        <f t="shared" si="118"/>
        <v>20.1800000016</v>
      </c>
    </row>
    <row r="945" spans="1:13" x14ac:dyDescent="0.25">
      <c r="A945" s="9">
        <f>Speed!A945</f>
        <v>45701.291261574072</v>
      </c>
      <c r="B945" s="9">
        <f t="shared" si="113"/>
        <v>45701.291261574072</v>
      </c>
      <c r="C945" s="2">
        <f>Speed!B945</f>
        <v>4.8833333330000004</v>
      </c>
      <c r="D945" s="9">
        <f>Odometer!A945</f>
        <v>45701.292395833334</v>
      </c>
      <c r="E945" s="9">
        <f t="shared" si="114"/>
        <v>45701.292395833334</v>
      </c>
      <c r="F945" s="2">
        <f>Odometer!B945</f>
        <v>428757536</v>
      </c>
      <c r="G945" s="2">
        <f t="shared" si="115"/>
        <v>17</v>
      </c>
      <c r="H945" s="2">
        <f>SUM($G$2:G945)</f>
        <v>7655</v>
      </c>
      <c r="I945" s="10">
        <f t="shared" si="116"/>
        <v>45701.291261574072</v>
      </c>
      <c r="J945" s="10">
        <f t="shared" si="117"/>
        <v>45701.291261574072</v>
      </c>
      <c r="K945" s="3">
        <f t="shared" si="119"/>
        <v>6754</v>
      </c>
      <c r="L945">
        <f t="shared" si="112"/>
        <v>4.8833333330000004</v>
      </c>
      <c r="M945">
        <f t="shared" si="118"/>
        <v>17.579999998800002</v>
      </c>
    </row>
    <row r="946" spans="1:13" x14ac:dyDescent="0.25">
      <c r="A946" s="9">
        <f>Speed!A946</f>
        <v>45701.291273148148</v>
      </c>
      <c r="B946" s="9">
        <f t="shared" si="113"/>
        <v>45701.291273148148</v>
      </c>
      <c r="C946" s="2">
        <f>Speed!B946</f>
        <v>4.3888888890000004</v>
      </c>
      <c r="D946" s="9">
        <f>Odometer!A946</f>
        <v>45701.292407407411</v>
      </c>
      <c r="E946" s="9">
        <f t="shared" si="114"/>
        <v>45701.292407407404</v>
      </c>
      <c r="F946" s="2">
        <f>Odometer!B946</f>
        <v>428757553</v>
      </c>
      <c r="G946" s="2">
        <f t="shared" si="115"/>
        <v>13</v>
      </c>
      <c r="H946" s="2">
        <f>SUM($G$2:G946)</f>
        <v>7668</v>
      </c>
      <c r="I946" s="10">
        <f t="shared" si="116"/>
        <v>45701.291273148148</v>
      </c>
      <c r="J946" s="10">
        <f t="shared" si="117"/>
        <v>45701.291273148148</v>
      </c>
      <c r="K946" s="3">
        <f t="shared" si="119"/>
        <v>6758</v>
      </c>
      <c r="L946">
        <f t="shared" si="112"/>
        <v>4.3888888890000004</v>
      </c>
      <c r="M946">
        <f t="shared" si="118"/>
        <v>15.800000000400003</v>
      </c>
    </row>
    <row r="947" spans="1:13" x14ac:dyDescent="0.25">
      <c r="A947" s="9">
        <f>Speed!A947</f>
        <v>45701.291284722225</v>
      </c>
      <c r="B947" s="9">
        <f t="shared" si="113"/>
        <v>45701.291284722218</v>
      </c>
      <c r="C947" s="2">
        <f>Speed!B947</f>
        <v>3.763888889</v>
      </c>
      <c r="D947" s="9">
        <f>Odometer!A947</f>
        <v>45701.29241898148</v>
      </c>
      <c r="E947" s="9">
        <f t="shared" si="114"/>
        <v>45701.29241898148</v>
      </c>
      <c r="F947" s="2">
        <f>Odometer!B947</f>
        <v>428757566</v>
      </c>
      <c r="G947" s="2">
        <f t="shared" si="115"/>
        <v>15</v>
      </c>
      <c r="H947" s="2">
        <f>SUM($G$2:G947)</f>
        <v>7683</v>
      </c>
      <c r="I947" s="10">
        <f t="shared" si="116"/>
        <v>45701.291284722225</v>
      </c>
      <c r="J947" s="10">
        <f t="shared" si="117"/>
        <v>45701.291284722218</v>
      </c>
      <c r="K947" s="3">
        <f t="shared" si="119"/>
        <v>6762</v>
      </c>
      <c r="L947">
        <f t="shared" si="112"/>
        <v>3.763888889</v>
      </c>
      <c r="M947">
        <f t="shared" si="118"/>
        <v>13.550000000400001</v>
      </c>
    </row>
    <row r="948" spans="1:13" x14ac:dyDescent="0.25">
      <c r="A948" s="9">
        <f>Speed!A948</f>
        <v>45701.291296296295</v>
      </c>
      <c r="B948" s="9">
        <f t="shared" si="113"/>
        <v>45701.291296296295</v>
      </c>
      <c r="C948" s="2">
        <f>Speed!B948</f>
        <v>2.997222222</v>
      </c>
      <c r="D948" s="9">
        <f>Odometer!A948</f>
        <v>45701.292430555557</v>
      </c>
      <c r="E948" s="9">
        <f t="shared" si="114"/>
        <v>45701.29243055555</v>
      </c>
      <c r="F948" s="2">
        <f>Odometer!B948</f>
        <v>428757581</v>
      </c>
      <c r="G948" s="2">
        <f t="shared" si="115"/>
        <v>13</v>
      </c>
      <c r="H948" s="2">
        <f>SUM($G$2:G948)</f>
        <v>7696</v>
      </c>
      <c r="I948" s="10">
        <f t="shared" si="116"/>
        <v>45701.291296296295</v>
      </c>
      <c r="J948" s="10">
        <f t="shared" si="117"/>
        <v>45701.291296296295</v>
      </c>
      <c r="K948" s="3">
        <f t="shared" si="119"/>
        <v>6764</v>
      </c>
      <c r="L948">
        <f t="shared" si="112"/>
        <v>2.997222222</v>
      </c>
      <c r="M948">
        <f t="shared" si="118"/>
        <v>10.789999999200001</v>
      </c>
    </row>
    <row r="949" spans="1:13" x14ac:dyDescent="0.25">
      <c r="A949" s="9">
        <f>Speed!A949</f>
        <v>45701.291307870371</v>
      </c>
      <c r="B949" s="9">
        <f t="shared" si="113"/>
        <v>45701.291307870371</v>
      </c>
      <c r="C949" s="2">
        <f>Speed!B949</f>
        <v>2.119444444</v>
      </c>
      <c r="D949" s="9">
        <f>Odometer!A949</f>
        <v>45701.292442129627</v>
      </c>
      <c r="E949" s="9">
        <f t="shared" si="114"/>
        <v>45701.292442129627</v>
      </c>
      <c r="F949" s="2">
        <f>Odometer!B949</f>
        <v>428757594</v>
      </c>
      <c r="G949" s="2">
        <f t="shared" si="115"/>
        <v>9</v>
      </c>
      <c r="H949" s="2">
        <f>SUM($G$2:G949)</f>
        <v>7705</v>
      </c>
      <c r="I949" s="10">
        <f t="shared" si="116"/>
        <v>45701.291307870371</v>
      </c>
      <c r="J949" s="10">
        <f t="shared" si="117"/>
        <v>45701.291307870371</v>
      </c>
      <c r="K949" s="3">
        <f t="shared" si="119"/>
        <v>6766</v>
      </c>
      <c r="L949">
        <f t="shared" si="112"/>
        <v>2.119444444</v>
      </c>
      <c r="M949">
        <f t="shared" si="118"/>
        <v>7.6299999983999998</v>
      </c>
    </row>
    <row r="950" spans="1:13" x14ac:dyDescent="0.25">
      <c r="A950" s="9">
        <f>Speed!A950</f>
        <v>45701.291319444441</v>
      </c>
      <c r="B950" s="9">
        <f t="shared" si="113"/>
        <v>45701.291319444441</v>
      </c>
      <c r="C950" s="2">
        <f>Speed!B950</f>
        <v>1.6333333329999999</v>
      </c>
      <c r="D950" s="9">
        <f>Odometer!A950</f>
        <v>45701.292442129627</v>
      </c>
      <c r="E950" s="9">
        <f t="shared" si="114"/>
        <v>45701.292442129627</v>
      </c>
      <c r="F950" s="2">
        <f>Odometer!B950</f>
        <v>428757603</v>
      </c>
      <c r="G950" s="2">
        <f t="shared" si="115"/>
        <v>4</v>
      </c>
      <c r="H950" s="2">
        <f>SUM($G$2:G950)</f>
        <v>7709</v>
      </c>
      <c r="I950" s="10">
        <f t="shared" si="116"/>
        <v>45701.291319444441</v>
      </c>
      <c r="J950" s="10">
        <f t="shared" si="117"/>
        <v>45701.291319444441</v>
      </c>
      <c r="K950" s="3">
        <f t="shared" si="119"/>
        <v>6767</v>
      </c>
      <c r="L950">
        <f t="shared" si="112"/>
        <v>1.6333333329999999</v>
      </c>
      <c r="M950">
        <f t="shared" si="118"/>
        <v>5.8799999987999998</v>
      </c>
    </row>
    <row r="951" spans="1:13" x14ac:dyDescent="0.25">
      <c r="A951" s="9">
        <f>Speed!A951</f>
        <v>45701.291331018518</v>
      </c>
      <c r="B951" s="9">
        <f t="shared" si="113"/>
        <v>45701.291331018518</v>
      </c>
      <c r="C951" s="2">
        <f>Speed!B951</f>
        <v>1.0861111109999999</v>
      </c>
      <c r="D951" s="9">
        <f>Odometer!A951</f>
        <v>45701.292453703703</v>
      </c>
      <c r="E951" s="9">
        <f t="shared" si="114"/>
        <v>45701.292453703703</v>
      </c>
      <c r="F951" s="2">
        <f>Odometer!B951</f>
        <v>428757607</v>
      </c>
      <c r="G951" s="2">
        <f t="shared" si="115"/>
        <v>1</v>
      </c>
      <c r="H951" s="2">
        <f>SUM($G$2:G951)</f>
        <v>7710</v>
      </c>
      <c r="I951" s="10">
        <f t="shared" si="116"/>
        <v>45701.291331018518</v>
      </c>
      <c r="J951" s="10">
        <f t="shared" si="117"/>
        <v>45701.291331018518</v>
      </c>
      <c r="K951" s="3">
        <f t="shared" si="119"/>
        <v>6768</v>
      </c>
      <c r="L951">
        <f t="shared" si="112"/>
        <v>1.0861111109999999</v>
      </c>
      <c r="M951">
        <f t="shared" si="118"/>
        <v>3.9099999995999997</v>
      </c>
    </row>
    <row r="952" spans="1:13" x14ac:dyDescent="0.25">
      <c r="A952" s="9">
        <f>Speed!A952</f>
        <v>45701.291342592594</v>
      </c>
      <c r="B952" s="9">
        <f t="shared" si="113"/>
        <v>45701.291342592587</v>
      </c>
      <c r="C952" s="2">
        <f>Speed!B952</f>
        <v>0.30555555600000001</v>
      </c>
      <c r="D952" s="9">
        <f>Odometer!A952</f>
        <v>45701.292453703703</v>
      </c>
      <c r="E952" s="9">
        <f t="shared" si="114"/>
        <v>45701.292453703703</v>
      </c>
      <c r="F952" s="2">
        <f>Odometer!B952</f>
        <v>428757608</v>
      </c>
      <c r="G952" s="2">
        <f t="shared" si="115"/>
        <v>10</v>
      </c>
      <c r="H952" s="2">
        <f>SUM($G$2:G952)</f>
        <v>7720</v>
      </c>
      <c r="I952" s="10">
        <f t="shared" si="116"/>
        <v>45701.291342592594</v>
      </c>
      <c r="J952" s="10">
        <f t="shared" si="117"/>
        <v>45701.291342592587</v>
      </c>
      <c r="K952" s="3">
        <f t="shared" si="119"/>
        <v>6769</v>
      </c>
      <c r="L952">
        <f t="shared" si="112"/>
        <v>0.30555555600000001</v>
      </c>
      <c r="M952">
        <f t="shared" si="118"/>
        <v>1.1000000016</v>
      </c>
    </row>
    <row r="953" spans="1:13" x14ac:dyDescent="0.25">
      <c r="A953" s="9">
        <f>Speed!A953</f>
        <v>45701.291354166664</v>
      </c>
      <c r="B953" s="9">
        <f t="shared" si="113"/>
        <v>45701.291354166664</v>
      </c>
      <c r="C953" s="2">
        <f>Speed!B953</f>
        <v>0.17499999999999999</v>
      </c>
      <c r="D953" s="9">
        <f>Odometer!A953</f>
        <v>45701.29246527778</v>
      </c>
      <c r="E953" s="9">
        <f t="shared" si="114"/>
        <v>45701.292465277773</v>
      </c>
      <c r="F953" s="2">
        <f>Odometer!B953</f>
        <v>428757618</v>
      </c>
      <c r="G953" s="2">
        <f t="shared" si="115"/>
        <v>11</v>
      </c>
      <c r="H953" s="2">
        <f>SUM($G$2:G953)</f>
        <v>7731</v>
      </c>
      <c r="I953" s="10">
        <f t="shared" si="116"/>
        <v>45701.291354166664</v>
      </c>
      <c r="J953" s="10">
        <f t="shared" si="117"/>
        <v>45701.291354166664</v>
      </c>
      <c r="K953" s="3" t="e">
        <f t="shared" si="119"/>
        <v>#N/A</v>
      </c>
      <c r="L953">
        <f t="shared" si="112"/>
        <v>0.17499999999999999</v>
      </c>
      <c r="M953">
        <f t="shared" si="118"/>
        <v>0.63</v>
      </c>
    </row>
    <row r="954" spans="1:13" x14ac:dyDescent="0.25">
      <c r="A954" s="9">
        <f>Speed!A954</f>
        <v>45701.291354166664</v>
      </c>
      <c r="B954" s="9">
        <f t="shared" si="113"/>
        <v>45701.291354166664</v>
      </c>
      <c r="C954" s="2">
        <f>Speed!B954</f>
        <v>0</v>
      </c>
      <c r="D954" s="9">
        <f>Odometer!A954</f>
        <v>45701.29246527778</v>
      </c>
      <c r="E954" s="9">
        <f t="shared" si="114"/>
        <v>45701.292465277773</v>
      </c>
      <c r="F954" s="2">
        <f>Odometer!B954</f>
        <v>428757629</v>
      </c>
      <c r="G954" s="2">
        <f t="shared" si="115"/>
        <v>12</v>
      </c>
      <c r="H954" s="2">
        <f>SUM($G$2:G954)</f>
        <v>7743</v>
      </c>
      <c r="I954" s="10">
        <f t="shared" si="116"/>
        <v>45701.291354166664</v>
      </c>
      <c r="J954" s="10">
        <f t="shared" si="117"/>
        <v>45701.291354166664</v>
      </c>
      <c r="K954" s="3" t="e">
        <f t="shared" si="119"/>
        <v>#N/A</v>
      </c>
      <c r="L954">
        <f t="shared" si="112"/>
        <v>0.17499999999999999</v>
      </c>
      <c r="M954">
        <f t="shared" si="118"/>
        <v>0.63</v>
      </c>
    </row>
    <row r="955" spans="1:13" x14ac:dyDescent="0.25">
      <c r="A955" s="9">
        <f>Speed!A955</f>
        <v>45701.291666666664</v>
      </c>
      <c r="B955" s="9">
        <f t="shared" si="113"/>
        <v>45701.291666666664</v>
      </c>
      <c r="C955" s="2">
        <f>Speed!B955</f>
        <v>0.21666666700000001</v>
      </c>
      <c r="D955" s="9">
        <f>Odometer!A955</f>
        <v>45701.292488425926</v>
      </c>
      <c r="E955" s="9">
        <f t="shared" si="114"/>
        <v>45701.292488425926</v>
      </c>
      <c r="F955" s="2">
        <f>Odometer!B955</f>
        <v>428757641</v>
      </c>
      <c r="G955" s="2">
        <f t="shared" si="115"/>
        <v>12</v>
      </c>
      <c r="H955" s="2">
        <f>SUM($G$2:G955)</f>
        <v>7755</v>
      </c>
      <c r="I955" s="10">
        <f t="shared" si="116"/>
        <v>45701.291666666664</v>
      </c>
      <c r="J955" s="10">
        <f t="shared" si="117"/>
        <v>45701.291666666664</v>
      </c>
      <c r="K955" s="3">
        <f t="shared" si="119"/>
        <v>6771</v>
      </c>
      <c r="L955">
        <f t="shared" si="112"/>
        <v>0.21666666700000001</v>
      </c>
      <c r="M955">
        <f t="shared" si="118"/>
        <v>0.78000000120000001</v>
      </c>
    </row>
    <row r="956" spans="1:13" x14ac:dyDescent="0.25">
      <c r="A956" s="9">
        <f>Speed!A956</f>
        <v>45701.291666666664</v>
      </c>
      <c r="B956" s="9">
        <f t="shared" si="113"/>
        <v>45701.291666666664</v>
      </c>
      <c r="C956" s="2">
        <f>Speed!B956</f>
        <v>0.76388888899999996</v>
      </c>
      <c r="D956" s="9">
        <f>Odometer!A956</f>
        <v>45701.292488425926</v>
      </c>
      <c r="E956" s="9">
        <f t="shared" si="114"/>
        <v>45701.292488425926</v>
      </c>
      <c r="F956" s="2">
        <f>Odometer!B956</f>
        <v>428757653</v>
      </c>
      <c r="G956" s="2">
        <f t="shared" si="115"/>
        <v>11</v>
      </c>
      <c r="H956" s="2">
        <f>SUM($G$2:G956)</f>
        <v>7766</v>
      </c>
      <c r="I956" s="10">
        <f t="shared" si="116"/>
        <v>45701.291666666664</v>
      </c>
      <c r="J956" s="10">
        <f t="shared" si="117"/>
        <v>45701.291666666664</v>
      </c>
      <c r="K956" s="3">
        <f t="shared" si="119"/>
        <v>6771</v>
      </c>
      <c r="L956">
        <f t="shared" si="112"/>
        <v>0.21666666700000001</v>
      </c>
      <c r="M956">
        <f t="shared" si="118"/>
        <v>0.78000000120000001</v>
      </c>
    </row>
    <row r="957" spans="1:13" x14ac:dyDescent="0.25">
      <c r="A957" s="9">
        <f>Speed!A957</f>
        <v>45701.291666666664</v>
      </c>
      <c r="B957" s="9">
        <f t="shared" si="113"/>
        <v>45701.291666666664</v>
      </c>
      <c r="C957" s="2">
        <f>Speed!B957</f>
        <v>1.247222222</v>
      </c>
      <c r="D957" s="9">
        <f>Odometer!A957</f>
        <v>45701.292511574073</v>
      </c>
      <c r="E957" s="9">
        <f t="shared" si="114"/>
        <v>45701.292511574073</v>
      </c>
      <c r="F957" s="2">
        <f>Odometer!B957</f>
        <v>428757664</v>
      </c>
      <c r="G957" s="2">
        <f t="shared" si="115"/>
        <v>14</v>
      </c>
      <c r="H957" s="2">
        <f>SUM($G$2:G957)</f>
        <v>7780</v>
      </c>
      <c r="I957" s="10">
        <f t="shared" si="116"/>
        <v>45701.291666666664</v>
      </c>
      <c r="J957" s="10">
        <f t="shared" si="117"/>
        <v>45701.291666666664</v>
      </c>
      <c r="K957" s="3">
        <f t="shared" si="119"/>
        <v>6771</v>
      </c>
      <c r="L957">
        <f t="shared" si="112"/>
        <v>0.21666666700000001</v>
      </c>
      <c r="M957">
        <f t="shared" si="118"/>
        <v>0.78000000120000001</v>
      </c>
    </row>
    <row r="958" spans="1:13" x14ac:dyDescent="0.25">
      <c r="A958" s="9">
        <f>Speed!A958</f>
        <v>45701.291678240741</v>
      </c>
      <c r="B958" s="9">
        <f t="shared" si="113"/>
        <v>45701.291678240741</v>
      </c>
      <c r="C958" s="2">
        <f>Speed!B958</f>
        <v>1.3972222219999999</v>
      </c>
      <c r="D958" s="9">
        <f>Odometer!A958</f>
        <v>45701.292523148149</v>
      </c>
      <c r="E958" s="9">
        <f t="shared" si="114"/>
        <v>45701.292523148149</v>
      </c>
      <c r="F958" s="2">
        <f>Odometer!B958</f>
        <v>428757678</v>
      </c>
      <c r="G958" s="2">
        <f t="shared" si="115"/>
        <v>13</v>
      </c>
      <c r="H958" s="2">
        <f>SUM($G$2:G958)</f>
        <v>7793</v>
      </c>
      <c r="I958" s="10">
        <f t="shared" si="116"/>
        <v>45701.291678240741</v>
      </c>
      <c r="J958" s="10">
        <f t="shared" si="117"/>
        <v>45701.291678240741</v>
      </c>
      <c r="K958" s="3" t="e">
        <f t="shared" si="119"/>
        <v>#N/A</v>
      </c>
      <c r="L958">
        <f t="shared" si="112"/>
        <v>1.3972222219999999</v>
      </c>
      <c r="M958">
        <f t="shared" si="118"/>
        <v>5.0299999992000002</v>
      </c>
    </row>
    <row r="959" spans="1:13" x14ac:dyDescent="0.25">
      <c r="A959" s="9">
        <f>Speed!A959</f>
        <v>45701.291689814818</v>
      </c>
      <c r="B959" s="9">
        <f t="shared" si="113"/>
        <v>45701.291689814811</v>
      </c>
      <c r="C959" s="2">
        <f>Speed!B959</f>
        <v>2.5555555559999998</v>
      </c>
      <c r="D959" s="9">
        <f>Odometer!A959</f>
        <v>45701.292534722219</v>
      </c>
      <c r="E959" s="9">
        <f t="shared" si="114"/>
        <v>45701.292534722219</v>
      </c>
      <c r="F959" s="2">
        <f>Odometer!B959</f>
        <v>428757691</v>
      </c>
      <c r="G959" s="2">
        <f t="shared" si="115"/>
        <v>12</v>
      </c>
      <c r="H959" s="2">
        <f>SUM($G$2:G959)</f>
        <v>7805</v>
      </c>
      <c r="I959" s="10">
        <f t="shared" si="116"/>
        <v>45701.291689814818</v>
      </c>
      <c r="J959" s="10">
        <f t="shared" si="117"/>
        <v>45701.291689814811</v>
      </c>
      <c r="K959" s="3">
        <f t="shared" si="119"/>
        <v>6774</v>
      </c>
      <c r="L959">
        <f t="shared" si="112"/>
        <v>2.5555555559999998</v>
      </c>
      <c r="M959">
        <f t="shared" si="118"/>
        <v>9.2000000015999994</v>
      </c>
    </row>
    <row r="960" spans="1:13" x14ac:dyDescent="0.25">
      <c r="A960" s="9">
        <f>Speed!A960</f>
        <v>45701.291689814818</v>
      </c>
      <c r="B960" s="9">
        <f t="shared" si="113"/>
        <v>45701.291689814811</v>
      </c>
      <c r="C960" s="2">
        <f>Speed!B960</f>
        <v>3.7583333329999999</v>
      </c>
      <c r="D960" s="9">
        <f>Odometer!A960</f>
        <v>45701.292546296296</v>
      </c>
      <c r="E960" s="9">
        <f t="shared" si="114"/>
        <v>45701.292546296296</v>
      </c>
      <c r="F960" s="2">
        <f>Odometer!B960</f>
        <v>428757703</v>
      </c>
      <c r="G960" s="2">
        <f t="shared" si="115"/>
        <v>1</v>
      </c>
      <c r="H960" s="2">
        <f>SUM($G$2:G960)</f>
        <v>7806</v>
      </c>
      <c r="I960" s="10">
        <f t="shared" si="116"/>
        <v>45701.291689814818</v>
      </c>
      <c r="J960" s="10">
        <f t="shared" si="117"/>
        <v>45701.291689814811</v>
      </c>
      <c r="K960" s="3">
        <f t="shared" si="119"/>
        <v>6774</v>
      </c>
      <c r="L960">
        <f t="shared" si="112"/>
        <v>2.5555555559999998</v>
      </c>
      <c r="M960">
        <f t="shared" si="118"/>
        <v>9.2000000015999994</v>
      </c>
    </row>
    <row r="961" spans="1:13" x14ac:dyDescent="0.25">
      <c r="A961" s="9">
        <f>Speed!A961</f>
        <v>45701.291712962964</v>
      </c>
      <c r="B961" s="9">
        <f t="shared" si="113"/>
        <v>45701.291712962964</v>
      </c>
      <c r="C961" s="2">
        <f>Speed!B961</f>
        <v>5.1444444440000003</v>
      </c>
      <c r="D961" s="9">
        <f>Odometer!A961</f>
        <v>45701.292546296296</v>
      </c>
      <c r="E961" s="9">
        <f t="shared" si="114"/>
        <v>45701.292546296296</v>
      </c>
      <c r="F961" s="2">
        <f>Odometer!B961</f>
        <v>428757704</v>
      </c>
      <c r="G961" s="2">
        <f t="shared" si="115"/>
        <v>13</v>
      </c>
      <c r="H961" s="2">
        <f>SUM($G$2:G961)</f>
        <v>7819</v>
      </c>
      <c r="I961" s="10">
        <f t="shared" si="116"/>
        <v>45701.291712962964</v>
      </c>
      <c r="J961" s="10">
        <f t="shared" si="117"/>
        <v>45701.291712962964</v>
      </c>
      <c r="K961" s="3">
        <f t="shared" si="119"/>
        <v>6784</v>
      </c>
      <c r="L961">
        <f t="shared" si="112"/>
        <v>5.1444444440000003</v>
      </c>
      <c r="M961">
        <f t="shared" si="118"/>
        <v>18.519999998400003</v>
      </c>
    </row>
    <row r="962" spans="1:13" x14ac:dyDescent="0.25">
      <c r="A962" s="9">
        <f>Speed!A962</f>
        <v>45701.291724537034</v>
      </c>
      <c r="B962" s="9">
        <f t="shared" si="113"/>
        <v>45701.291724537034</v>
      </c>
      <c r="C962" s="2">
        <f>Speed!B962</f>
        <v>6.1333333330000004</v>
      </c>
      <c r="D962" s="9">
        <f>Odometer!A962</f>
        <v>45701.292557870373</v>
      </c>
      <c r="E962" s="9">
        <f t="shared" si="114"/>
        <v>45701.292557870365</v>
      </c>
      <c r="F962" s="2">
        <f>Odometer!B962</f>
        <v>428757717</v>
      </c>
      <c r="G962" s="2">
        <f t="shared" si="115"/>
        <v>12</v>
      </c>
      <c r="H962" s="2">
        <f>SUM($G$2:G962)</f>
        <v>7831</v>
      </c>
      <c r="I962" s="10">
        <f t="shared" si="116"/>
        <v>45701.291724537034</v>
      </c>
      <c r="J962" s="10">
        <f t="shared" si="117"/>
        <v>45701.291724537034</v>
      </c>
      <c r="K962" s="3">
        <f t="shared" si="119"/>
        <v>6785</v>
      </c>
      <c r="L962">
        <f t="shared" ref="L962:L1025" si="120">INDEX($C$2:$C$2000, MATCH(I962,$A$2:$A$2000,0))</f>
        <v>6.1333333330000004</v>
      </c>
      <c r="M962">
        <f t="shared" si="118"/>
        <v>22.079999998800002</v>
      </c>
    </row>
    <row r="963" spans="1:13" x14ac:dyDescent="0.25">
      <c r="A963" s="9">
        <f>Speed!A963</f>
        <v>45701.291724537034</v>
      </c>
      <c r="B963" s="9">
        <f t="shared" ref="B963:B1026" si="121">MROUND(A963,"00:00:01")</f>
        <v>45701.291724537034</v>
      </c>
      <c r="C963" s="2">
        <f>Speed!B963</f>
        <v>6.2944444439999998</v>
      </c>
      <c r="D963" s="9">
        <f>Odometer!A963</f>
        <v>45701.292569444442</v>
      </c>
      <c r="E963" s="9">
        <f t="shared" ref="E963:E1026" si="122">MROUND(D963,"00:00:01")</f>
        <v>45701.292569444442</v>
      </c>
      <c r="F963" s="2">
        <f>Odometer!B963</f>
        <v>428757729</v>
      </c>
      <c r="G963" s="2">
        <f t="shared" ref="G963:G1026" si="123">IF(F964-F963&lt;0,0,F964-F963)</f>
        <v>16</v>
      </c>
      <c r="H963" s="2">
        <f>SUM($G$2:G963)</f>
        <v>7847</v>
      </c>
      <c r="I963" s="10">
        <f t="shared" ref="I963:I1026" si="124">A963</f>
        <v>45701.291724537034</v>
      </c>
      <c r="J963" s="10">
        <f t="shared" ref="J963:J1026" si="125">MROUND(I963,"0:00:01")</f>
        <v>45701.291724537034</v>
      </c>
      <c r="K963" s="3">
        <f t="shared" si="119"/>
        <v>6785</v>
      </c>
      <c r="L963">
        <f t="shared" si="120"/>
        <v>6.1333333330000004</v>
      </c>
      <c r="M963">
        <f t="shared" ref="M963:M1026" si="126">L963*3.6</f>
        <v>22.079999998800002</v>
      </c>
    </row>
    <row r="964" spans="1:13" x14ac:dyDescent="0.25">
      <c r="A964" s="9">
        <f>Speed!A964</f>
        <v>45701.29173611111</v>
      </c>
      <c r="B964" s="9">
        <f t="shared" si="121"/>
        <v>45701.29173611111</v>
      </c>
      <c r="C964" s="2">
        <f>Speed!B964</f>
        <v>7.2777777779999999</v>
      </c>
      <c r="D964" s="9">
        <f>Odometer!A964</f>
        <v>45701.292581018519</v>
      </c>
      <c r="E964" s="9">
        <f t="shared" si="122"/>
        <v>45701.292581018519</v>
      </c>
      <c r="F964" s="2">
        <f>Odometer!B964</f>
        <v>428757745</v>
      </c>
      <c r="G964" s="2">
        <f t="shared" si="123"/>
        <v>15</v>
      </c>
      <c r="H964" s="2">
        <f>SUM($G$2:G964)</f>
        <v>7862</v>
      </c>
      <c r="I964" s="10">
        <f t="shared" si="124"/>
        <v>45701.29173611111</v>
      </c>
      <c r="J964" s="10">
        <f t="shared" si="125"/>
        <v>45701.29173611111</v>
      </c>
      <c r="K964" s="3">
        <f t="shared" ref="K964:K1027" si="127">IFERROR(INDEX($H$2:$H$2000,MATCH(J964,$E$2:$E$2000,0)),NA())</f>
        <v>6799</v>
      </c>
      <c r="L964">
        <f t="shared" si="120"/>
        <v>7.2777777779999999</v>
      </c>
      <c r="M964">
        <f t="shared" si="126"/>
        <v>26.200000000799999</v>
      </c>
    </row>
    <row r="965" spans="1:13" x14ac:dyDescent="0.25">
      <c r="A965" s="9">
        <f>Speed!A965</f>
        <v>45701.291747685187</v>
      </c>
      <c r="B965" s="9">
        <f t="shared" si="121"/>
        <v>45701.29174768518</v>
      </c>
      <c r="C965" s="2">
        <f>Speed!B965</f>
        <v>8.3277777779999997</v>
      </c>
      <c r="D965" s="9">
        <f>Odometer!A965</f>
        <v>45701.292592592596</v>
      </c>
      <c r="E965" s="9">
        <f t="shared" si="122"/>
        <v>45701.292592592588</v>
      </c>
      <c r="F965" s="2">
        <f>Odometer!B965</f>
        <v>428757760</v>
      </c>
      <c r="G965" s="2">
        <f t="shared" si="123"/>
        <v>14</v>
      </c>
      <c r="H965" s="2">
        <f>SUM($G$2:G965)</f>
        <v>7876</v>
      </c>
      <c r="I965" s="10">
        <f t="shared" si="124"/>
        <v>45701.291747685187</v>
      </c>
      <c r="J965" s="10">
        <f t="shared" si="125"/>
        <v>45701.29174768518</v>
      </c>
      <c r="K965" s="3">
        <f t="shared" si="127"/>
        <v>6808</v>
      </c>
      <c r="L965">
        <f t="shared" si="120"/>
        <v>8.3277777779999997</v>
      </c>
      <c r="M965">
        <f t="shared" si="126"/>
        <v>29.9800000008</v>
      </c>
    </row>
    <row r="966" spans="1:13" x14ac:dyDescent="0.25">
      <c r="A966" s="9">
        <f>Speed!A966</f>
        <v>45701.291759259257</v>
      </c>
      <c r="B966" s="9">
        <f t="shared" si="121"/>
        <v>45701.291759259257</v>
      </c>
      <c r="C966" s="2">
        <f>Speed!B966</f>
        <v>9.1999999999999993</v>
      </c>
      <c r="D966" s="9">
        <f>Odometer!A966</f>
        <v>45701.292604166665</v>
      </c>
      <c r="E966" s="9">
        <f t="shared" si="122"/>
        <v>45701.292604166665</v>
      </c>
      <c r="F966" s="2">
        <f>Odometer!B966</f>
        <v>428757774</v>
      </c>
      <c r="G966" s="2">
        <f t="shared" si="123"/>
        <v>16</v>
      </c>
      <c r="H966" s="2">
        <f>SUM($G$2:G966)</f>
        <v>7892</v>
      </c>
      <c r="I966" s="10">
        <f t="shared" si="124"/>
        <v>45701.291759259257</v>
      </c>
      <c r="J966" s="10">
        <f t="shared" si="125"/>
        <v>45701.291759259257</v>
      </c>
      <c r="K966" s="3">
        <f t="shared" si="127"/>
        <v>6818</v>
      </c>
      <c r="L966">
        <f t="shared" si="120"/>
        <v>9.1999999999999993</v>
      </c>
      <c r="M966">
        <f t="shared" si="126"/>
        <v>33.119999999999997</v>
      </c>
    </row>
    <row r="967" spans="1:13" x14ac:dyDescent="0.25">
      <c r="A967" s="9">
        <f>Speed!A967</f>
        <v>45701.291770833333</v>
      </c>
      <c r="B967" s="9">
        <f t="shared" si="121"/>
        <v>45701.291770833333</v>
      </c>
      <c r="C967" s="2">
        <f>Speed!B967</f>
        <v>10.07777778</v>
      </c>
      <c r="D967" s="9">
        <f>Odometer!A967</f>
        <v>45701.292615740742</v>
      </c>
      <c r="E967" s="9">
        <f t="shared" si="122"/>
        <v>45701.292615740742</v>
      </c>
      <c r="F967" s="2">
        <f>Odometer!B967</f>
        <v>428757790</v>
      </c>
      <c r="G967" s="2">
        <f t="shared" si="123"/>
        <v>17</v>
      </c>
      <c r="H967" s="2">
        <f>SUM($G$2:G967)</f>
        <v>7909</v>
      </c>
      <c r="I967" s="10">
        <f t="shared" si="124"/>
        <v>45701.291770833333</v>
      </c>
      <c r="J967" s="10">
        <f t="shared" si="125"/>
        <v>45701.291770833333</v>
      </c>
      <c r="K967" s="3">
        <f t="shared" si="127"/>
        <v>6828</v>
      </c>
      <c r="L967">
        <f t="shared" si="120"/>
        <v>10.07777778</v>
      </c>
      <c r="M967">
        <f t="shared" si="126"/>
        <v>36.280000008000002</v>
      </c>
    </row>
    <row r="968" spans="1:13" x14ac:dyDescent="0.25">
      <c r="A968" s="9">
        <f>Speed!A968</f>
        <v>45701.29178240741</v>
      </c>
      <c r="B968" s="9">
        <f t="shared" si="121"/>
        <v>45701.291782407403</v>
      </c>
      <c r="C968" s="2">
        <f>Speed!B968</f>
        <v>10.94722222</v>
      </c>
      <c r="D968" s="9">
        <f>Odometer!A968</f>
        <v>45701.292627314811</v>
      </c>
      <c r="E968" s="9">
        <f t="shared" si="122"/>
        <v>45701.292627314811</v>
      </c>
      <c r="F968" s="2">
        <f>Odometer!B968</f>
        <v>428757807</v>
      </c>
      <c r="G968" s="2">
        <f t="shared" si="123"/>
        <v>15</v>
      </c>
      <c r="H968" s="2">
        <f>SUM($G$2:G968)</f>
        <v>7924</v>
      </c>
      <c r="I968" s="10">
        <f t="shared" si="124"/>
        <v>45701.29178240741</v>
      </c>
      <c r="J968" s="10">
        <f t="shared" si="125"/>
        <v>45701.291782407403</v>
      </c>
      <c r="K968" s="3">
        <f t="shared" si="127"/>
        <v>6839</v>
      </c>
      <c r="L968">
        <f t="shared" si="120"/>
        <v>10.94722222</v>
      </c>
      <c r="M968">
        <f t="shared" si="126"/>
        <v>39.409999992000003</v>
      </c>
    </row>
    <row r="969" spans="1:13" x14ac:dyDescent="0.25">
      <c r="A969" s="9">
        <f>Speed!A969</f>
        <v>45701.29179398148</v>
      </c>
      <c r="B969" s="9">
        <f t="shared" si="121"/>
        <v>45701.29179398148</v>
      </c>
      <c r="C969" s="2">
        <f>Speed!B969</f>
        <v>11.824999999999999</v>
      </c>
      <c r="D969" s="9">
        <f>Odometer!A969</f>
        <v>45701.292638888888</v>
      </c>
      <c r="E969" s="9">
        <f t="shared" si="122"/>
        <v>45701.292638888888</v>
      </c>
      <c r="F969" s="2">
        <f>Odometer!B969</f>
        <v>428757822</v>
      </c>
      <c r="G969" s="2">
        <f t="shared" si="123"/>
        <v>17</v>
      </c>
      <c r="H969" s="2">
        <f>SUM($G$2:G969)</f>
        <v>7941</v>
      </c>
      <c r="I969" s="10">
        <f t="shared" si="124"/>
        <v>45701.29179398148</v>
      </c>
      <c r="J969" s="10">
        <f t="shared" si="125"/>
        <v>45701.29179398148</v>
      </c>
      <c r="K969" s="3">
        <f t="shared" si="127"/>
        <v>6840</v>
      </c>
      <c r="L969">
        <f t="shared" si="120"/>
        <v>11.824999999999999</v>
      </c>
      <c r="M969">
        <f t="shared" si="126"/>
        <v>42.57</v>
      </c>
    </row>
    <row r="970" spans="1:13" x14ac:dyDescent="0.25">
      <c r="A970" s="9">
        <f>Speed!A970</f>
        <v>45701.29179398148</v>
      </c>
      <c r="B970" s="9">
        <f t="shared" si="121"/>
        <v>45701.29179398148</v>
      </c>
      <c r="C970" s="2">
        <f>Speed!B970</f>
        <v>11.880555559999999</v>
      </c>
      <c r="D970" s="9">
        <f>Odometer!A970</f>
        <v>45701.292650462965</v>
      </c>
      <c r="E970" s="9">
        <f t="shared" si="122"/>
        <v>45701.292650462958</v>
      </c>
      <c r="F970" s="2">
        <f>Odometer!B970</f>
        <v>428757839</v>
      </c>
      <c r="G970" s="2">
        <f t="shared" si="123"/>
        <v>14</v>
      </c>
      <c r="H970" s="2">
        <f>SUM($G$2:G970)</f>
        <v>7955</v>
      </c>
      <c r="I970" s="10">
        <f t="shared" si="124"/>
        <v>45701.29179398148</v>
      </c>
      <c r="J970" s="10">
        <f t="shared" si="125"/>
        <v>45701.29179398148</v>
      </c>
      <c r="K970" s="3">
        <f t="shared" si="127"/>
        <v>6840</v>
      </c>
      <c r="L970">
        <f t="shared" si="120"/>
        <v>11.824999999999999</v>
      </c>
      <c r="M970">
        <f t="shared" si="126"/>
        <v>42.57</v>
      </c>
    </row>
    <row r="971" spans="1:13" x14ac:dyDescent="0.25">
      <c r="A971" s="9">
        <f>Speed!A971</f>
        <v>45701.291805555556</v>
      </c>
      <c r="B971" s="9">
        <f t="shared" si="121"/>
        <v>45701.291805555556</v>
      </c>
      <c r="C971" s="2">
        <f>Speed!B971</f>
        <v>12.777777779999999</v>
      </c>
      <c r="D971" s="9">
        <f>Odometer!A971</f>
        <v>45701.292662037034</v>
      </c>
      <c r="E971" s="9">
        <f t="shared" si="122"/>
        <v>45701.292662037034</v>
      </c>
      <c r="F971" s="2">
        <f>Odometer!B971</f>
        <v>428757853</v>
      </c>
      <c r="G971" s="2">
        <f t="shared" si="123"/>
        <v>17</v>
      </c>
      <c r="H971" s="2">
        <f>SUM($G$2:G971)</f>
        <v>7972</v>
      </c>
      <c r="I971" s="10">
        <f t="shared" si="124"/>
        <v>45701.291805555556</v>
      </c>
      <c r="J971" s="10">
        <f t="shared" si="125"/>
        <v>45701.291805555556</v>
      </c>
      <c r="K971" s="3">
        <f t="shared" si="127"/>
        <v>6852</v>
      </c>
      <c r="L971">
        <f t="shared" si="120"/>
        <v>12.777777779999999</v>
      </c>
      <c r="M971">
        <f t="shared" si="126"/>
        <v>46.000000008000001</v>
      </c>
    </row>
    <row r="972" spans="1:13" x14ac:dyDescent="0.25">
      <c r="A972" s="9">
        <f>Speed!A972</f>
        <v>45701.291805555556</v>
      </c>
      <c r="B972" s="9">
        <f t="shared" si="121"/>
        <v>45701.291805555556</v>
      </c>
      <c r="C972" s="2">
        <f>Speed!B972</f>
        <v>12.847222220000001</v>
      </c>
      <c r="D972" s="9">
        <f>Odometer!A972</f>
        <v>45701.292673611111</v>
      </c>
      <c r="E972" s="9">
        <f t="shared" si="122"/>
        <v>45701.292673611111</v>
      </c>
      <c r="F972" s="2">
        <f>Odometer!B972</f>
        <v>428757870</v>
      </c>
      <c r="G972" s="2">
        <f t="shared" si="123"/>
        <v>15</v>
      </c>
      <c r="H972" s="2">
        <f>SUM($G$2:G972)</f>
        <v>7987</v>
      </c>
      <c r="I972" s="10">
        <f t="shared" si="124"/>
        <v>45701.291805555556</v>
      </c>
      <c r="J972" s="10">
        <f t="shared" si="125"/>
        <v>45701.291805555556</v>
      </c>
      <c r="K972" s="3">
        <f t="shared" si="127"/>
        <v>6852</v>
      </c>
      <c r="L972">
        <f t="shared" si="120"/>
        <v>12.777777779999999</v>
      </c>
      <c r="M972">
        <f t="shared" si="126"/>
        <v>46.000000008000001</v>
      </c>
    </row>
    <row r="973" spans="1:13" x14ac:dyDescent="0.25">
      <c r="A973" s="9">
        <f>Speed!A973</f>
        <v>45701.291817129626</v>
      </c>
      <c r="B973" s="9">
        <f t="shared" si="121"/>
        <v>45701.291817129626</v>
      </c>
      <c r="C973" s="2">
        <f>Speed!B973</f>
        <v>13.725</v>
      </c>
      <c r="D973" s="9">
        <f>Odometer!A973</f>
        <v>45701.292685185188</v>
      </c>
      <c r="E973" s="9">
        <f t="shared" si="122"/>
        <v>45701.292685185181</v>
      </c>
      <c r="F973" s="2">
        <f>Odometer!B973</f>
        <v>428757885</v>
      </c>
      <c r="G973" s="2">
        <f t="shared" si="123"/>
        <v>15</v>
      </c>
      <c r="H973" s="2">
        <f>SUM($G$2:G973)</f>
        <v>8002</v>
      </c>
      <c r="I973" s="10">
        <f t="shared" si="124"/>
        <v>45701.291817129626</v>
      </c>
      <c r="J973" s="10">
        <f t="shared" si="125"/>
        <v>45701.291817129626</v>
      </c>
      <c r="K973" s="3">
        <f t="shared" si="127"/>
        <v>6879</v>
      </c>
      <c r="L973">
        <f t="shared" si="120"/>
        <v>13.725</v>
      </c>
      <c r="M973">
        <f t="shared" si="126"/>
        <v>49.41</v>
      </c>
    </row>
    <row r="974" spans="1:13" x14ac:dyDescent="0.25">
      <c r="A974" s="9">
        <f>Speed!A974</f>
        <v>45701.291828703703</v>
      </c>
      <c r="B974" s="9">
        <f t="shared" si="121"/>
        <v>45701.291828703703</v>
      </c>
      <c r="C974" s="2">
        <f>Speed!B974</f>
        <v>14.52222222</v>
      </c>
      <c r="D974" s="9">
        <f>Odometer!A974</f>
        <v>45701.292696759258</v>
      </c>
      <c r="E974" s="9">
        <f t="shared" si="122"/>
        <v>45701.292696759258</v>
      </c>
      <c r="F974" s="2">
        <f>Odometer!B974</f>
        <v>428757900</v>
      </c>
      <c r="G974" s="2">
        <f t="shared" si="123"/>
        <v>16</v>
      </c>
      <c r="H974" s="2">
        <f>SUM($G$2:G974)</f>
        <v>8018</v>
      </c>
      <c r="I974" s="10">
        <f t="shared" si="124"/>
        <v>45701.291828703703</v>
      </c>
      <c r="J974" s="10">
        <f t="shared" si="125"/>
        <v>45701.291828703703</v>
      </c>
      <c r="K974" s="3">
        <f t="shared" si="127"/>
        <v>6895</v>
      </c>
      <c r="L974">
        <f t="shared" si="120"/>
        <v>14.52222222</v>
      </c>
      <c r="M974">
        <f t="shared" si="126"/>
        <v>52.279999992</v>
      </c>
    </row>
    <row r="975" spans="1:13" x14ac:dyDescent="0.25">
      <c r="A975" s="9">
        <f>Speed!A975</f>
        <v>45701.29184027778</v>
      </c>
      <c r="B975" s="9">
        <f t="shared" si="121"/>
        <v>45701.291840277772</v>
      </c>
      <c r="C975" s="2">
        <f>Speed!B975</f>
        <v>15.28611111</v>
      </c>
      <c r="D975" s="9">
        <f>Odometer!A975</f>
        <v>45701.292708333334</v>
      </c>
      <c r="E975" s="9">
        <f t="shared" si="122"/>
        <v>45701.292708333334</v>
      </c>
      <c r="F975" s="2">
        <f>Odometer!B975</f>
        <v>428757916</v>
      </c>
      <c r="G975" s="2">
        <f t="shared" si="123"/>
        <v>15</v>
      </c>
      <c r="H975" s="2">
        <f>SUM($G$2:G975)</f>
        <v>8033</v>
      </c>
      <c r="I975" s="10">
        <f t="shared" si="124"/>
        <v>45701.29184027778</v>
      </c>
      <c r="J975" s="10">
        <f t="shared" si="125"/>
        <v>45701.291840277772</v>
      </c>
      <c r="K975" s="3">
        <f t="shared" si="127"/>
        <v>6909</v>
      </c>
      <c r="L975">
        <f t="shared" si="120"/>
        <v>15.28611111</v>
      </c>
      <c r="M975">
        <f t="shared" si="126"/>
        <v>55.029999996000001</v>
      </c>
    </row>
    <row r="976" spans="1:13" x14ac:dyDescent="0.25">
      <c r="A976" s="9">
        <f>Speed!A976</f>
        <v>45701.29184027778</v>
      </c>
      <c r="B976" s="9">
        <f t="shared" si="121"/>
        <v>45701.291840277772</v>
      </c>
      <c r="C976" s="2">
        <f>Speed!B976</f>
        <v>15.63888889</v>
      </c>
      <c r="D976" s="9">
        <f>Odometer!A976</f>
        <v>45701.292708333334</v>
      </c>
      <c r="E976" s="9">
        <f t="shared" si="122"/>
        <v>45701.292708333334</v>
      </c>
      <c r="F976" s="2">
        <f>Odometer!B976</f>
        <v>428757931</v>
      </c>
      <c r="G976" s="2">
        <f t="shared" si="123"/>
        <v>15</v>
      </c>
      <c r="H976" s="2">
        <f>SUM($G$2:G976)</f>
        <v>8048</v>
      </c>
      <c r="I976" s="10">
        <f t="shared" si="124"/>
        <v>45701.29184027778</v>
      </c>
      <c r="J976" s="10">
        <f t="shared" si="125"/>
        <v>45701.291840277772</v>
      </c>
      <c r="K976" s="3">
        <f t="shared" si="127"/>
        <v>6909</v>
      </c>
      <c r="L976">
        <f t="shared" si="120"/>
        <v>15.28611111</v>
      </c>
      <c r="M976">
        <f t="shared" si="126"/>
        <v>55.029999996000001</v>
      </c>
    </row>
    <row r="977" spans="1:13" x14ac:dyDescent="0.25">
      <c r="A977" s="9">
        <f>Speed!A977</f>
        <v>45701.291863425926</v>
      </c>
      <c r="B977" s="9">
        <f t="shared" si="121"/>
        <v>45701.291863425926</v>
      </c>
      <c r="C977" s="2">
        <f>Speed!B977</f>
        <v>16.038888889999999</v>
      </c>
      <c r="D977" s="9">
        <f>Odometer!A977</f>
        <v>45701.292731481481</v>
      </c>
      <c r="E977" s="9">
        <f t="shared" si="122"/>
        <v>45701.292731481481</v>
      </c>
      <c r="F977" s="2">
        <f>Odometer!B977</f>
        <v>428757946</v>
      </c>
      <c r="G977" s="2">
        <f t="shared" si="123"/>
        <v>5</v>
      </c>
      <c r="H977" s="2">
        <f>SUM($G$2:G977)</f>
        <v>8053</v>
      </c>
      <c r="I977" s="10">
        <f t="shared" si="124"/>
        <v>45701.291863425926</v>
      </c>
      <c r="J977" s="10">
        <f t="shared" si="125"/>
        <v>45701.291863425926</v>
      </c>
      <c r="K977" s="3">
        <f t="shared" si="127"/>
        <v>6942</v>
      </c>
      <c r="L977">
        <f t="shared" si="120"/>
        <v>16.038888889999999</v>
      </c>
      <c r="M977">
        <f t="shared" si="126"/>
        <v>57.740000003999995</v>
      </c>
    </row>
    <row r="978" spans="1:13" x14ac:dyDescent="0.25">
      <c r="A978" s="9">
        <f>Speed!A978</f>
        <v>45701.291875000003</v>
      </c>
      <c r="B978" s="9">
        <f t="shared" si="121"/>
        <v>45701.291874999995</v>
      </c>
      <c r="C978" s="2">
        <f>Speed!B978</f>
        <v>16.313888890000001</v>
      </c>
      <c r="D978" s="9">
        <f>Odometer!A978</f>
        <v>45701.292731481481</v>
      </c>
      <c r="E978" s="9">
        <f t="shared" si="122"/>
        <v>45701.292731481481</v>
      </c>
      <c r="F978" s="2">
        <f>Odometer!B978</f>
        <v>428757951</v>
      </c>
      <c r="G978" s="2">
        <f t="shared" si="123"/>
        <v>8</v>
      </c>
      <c r="H978" s="2">
        <f>SUM($G$2:G978)</f>
        <v>8061</v>
      </c>
      <c r="I978" s="10">
        <f t="shared" si="124"/>
        <v>45701.291875000003</v>
      </c>
      <c r="J978" s="10">
        <f t="shared" si="125"/>
        <v>45701.291874999995</v>
      </c>
      <c r="K978" s="3">
        <f t="shared" si="127"/>
        <v>6954</v>
      </c>
      <c r="L978">
        <f t="shared" si="120"/>
        <v>16.313888890000001</v>
      </c>
      <c r="M978">
        <f t="shared" si="126"/>
        <v>58.730000004000004</v>
      </c>
    </row>
    <row r="979" spans="1:13" x14ac:dyDescent="0.25">
      <c r="A979" s="9">
        <f>Speed!A979</f>
        <v>45701.291875000003</v>
      </c>
      <c r="B979" s="9">
        <f t="shared" si="121"/>
        <v>45701.291874999995</v>
      </c>
      <c r="C979" s="2">
        <f>Speed!B979</f>
        <v>16.55833333</v>
      </c>
      <c r="D979" s="9">
        <f>Odometer!A979</f>
        <v>45701.292743055557</v>
      </c>
      <c r="E979" s="9">
        <f t="shared" si="122"/>
        <v>45701.29274305555</v>
      </c>
      <c r="F979" s="2">
        <f>Odometer!B979</f>
        <v>428757959</v>
      </c>
      <c r="G979" s="2">
        <f t="shared" si="123"/>
        <v>14</v>
      </c>
      <c r="H979" s="2">
        <f>SUM($G$2:G979)</f>
        <v>8075</v>
      </c>
      <c r="I979" s="10">
        <f t="shared" si="124"/>
        <v>45701.291875000003</v>
      </c>
      <c r="J979" s="10">
        <f t="shared" si="125"/>
        <v>45701.291874999995</v>
      </c>
      <c r="K979" s="3">
        <f t="shared" si="127"/>
        <v>6954</v>
      </c>
      <c r="L979">
        <f t="shared" si="120"/>
        <v>16.313888890000001</v>
      </c>
      <c r="M979">
        <f t="shared" si="126"/>
        <v>58.730000004000004</v>
      </c>
    </row>
    <row r="980" spans="1:13" x14ac:dyDescent="0.25">
      <c r="A980" s="9">
        <f>Speed!A980</f>
        <v>45701.291886574072</v>
      </c>
      <c r="B980" s="9">
        <f t="shared" si="121"/>
        <v>45701.291886574072</v>
      </c>
      <c r="C980" s="2">
        <f>Speed!B980</f>
        <v>16.644444440000001</v>
      </c>
      <c r="D980" s="9">
        <f>Odometer!A980</f>
        <v>45701.292754629627</v>
      </c>
      <c r="E980" s="9">
        <f t="shared" si="122"/>
        <v>45701.292754629627</v>
      </c>
      <c r="F980" s="2">
        <f>Odometer!B980</f>
        <v>428757973</v>
      </c>
      <c r="G980" s="2">
        <f t="shared" si="123"/>
        <v>14</v>
      </c>
      <c r="H980" s="2">
        <f>SUM($G$2:G980)</f>
        <v>8089</v>
      </c>
      <c r="I980" s="10">
        <f t="shared" si="124"/>
        <v>45701.291886574072</v>
      </c>
      <c r="J980" s="10">
        <f t="shared" si="125"/>
        <v>45701.291886574072</v>
      </c>
      <c r="K980" s="3">
        <f t="shared" si="127"/>
        <v>6974</v>
      </c>
      <c r="L980">
        <f t="shared" si="120"/>
        <v>16.644444440000001</v>
      </c>
      <c r="M980">
        <f t="shared" si="126"/>
        <v>59.919999984000007</v>
      </c>
    </row>
    <row r="981" spans="1:13" x14ac:dyDescent="0.25">
      <c r="A981" s="9">
        <f>Speed!A981</f>
        <v>45701.291898148149</v>
      </c>
      <c r="B981" s="9">
        <f t="shared" si="121"/>
        <v>45701.291898148149</v>
      </c>
      <c r="C981" s="2">
        <f>Speed!B981</f>
        <v>16.938888890000001</v>
      </c>
      <c r="D981" s="9">
        <f>Odometer!A981</f>
        <v>45701.292754629627</v>
      </c>
      <c r="E981" s="9">
        <f t="shared" si="122"/>
        <v>45701.292754629627</v>
      </c>
      <c r="F981" s="2">
        <f>Odometer!B981</f>
        <v>428757987</v>
      </c>
      <c r="G981" s="2">
        <f t="shared" si="123"/>
        <v>8</v>
      </c>
      <c r="H981" s="2">
        <f>SUM($G$2:G981)</f>
        <v>8097</v>
      </c>
      <c r="I981" s="10">
        <f t="shared" si="124"/>
        <v>45701.291898148149</v>
      </c>
      <c r="J981" s="10">
        <f t="shared" si="125"/>
        <v>45701.291898148149</v>
      </c>
      <c r="K981" s="3">
        <f t="shared" si="127"/>
        <v>6992</v>
      </c>
      <c r="L981">
        <f t="shared" si="120"/>
        <v>16.938888890000001</v>
      </c>
      <c r="M981">
        <f t="shared" si="126"/>
        <v>60.980000004000004</v>
      </c>
    </row>
    <row r="982" spans="1:13" x14ac:dyDescent="0.25">
      <c r="A982" s="9">
        <f>Speed!A982</f>
        <v>45701.291909722226</v>
      </c>
      <c r="B982" s="9">
        <f t="shared" si="121"/>
        <v>45701.291909722218</v>
      </c>
      <c r="C982" s="2">
        <f>Speed!B982</f>
        <v>17.244444439999999</v>
      </c>
      <c r="D982" s="9">
        <f>Odometer!A982</f>
        <v>45701.29277777778</v>
      </c>
      <c r="E982" s="9">
        <f t="shared" si="122"/>
        <v>45701.292777777773</v>
      </c>
      <c r="F982" s="2">
        <f>Odometer!B982</f>
        <v>428757995</v>
      </c>
      <c r="G982" s="2">
        <f t="shared" si="123"/>
        <v>5</v>
      </c>
      <c r="H982" s="2">
        <f>SUM($G$2:G982)</f>
        <v>8102</v>
      </c>
      <c r="I982" s="10">
        <f t="shared" si="124"/>
        <v>45701.291909722226</v>
      </c>
      <c r="J982" s="10">
        <f t="shared" si="125"/>
        <v>45701.291909722218</v>
      </c>
      <c r="K982" s="3">
        <f t="shared" si="127"/>
        <v>7009</v>
      </c>
      <c r="L982">
        <f t="shared" si="120"/>
        <v>17.244444439999999</v>
      </c>
      <c r="M982">
        <f t="shared" si="126"/>
        <v>62.079999983999997</v>
      </c>
    </row>
    <row r="983" spans="1:13" x14ac:dyDescent="0.25">
      <c r="A983" s="9">
        <f>Speed!A983</f>
        <v>45701.291921296295</v>
      </c>
      <c r="B983" s="9">
        <f t="shared" si="121"/>
        <v>45701.291921296295</v>
      </c>
      <c r="C983" s="2">
        <f>Speed!B983</f>
        <v>17.31666667</v>
      </c>
      <c r="D983" s="9">
        <f>Odometer!A983</f>
        <v>45701.29277777778</v>
      </c>
      <c r="E983" s="9">
        <f t="shared" si="122"/>
        <v>45701.292777777773</v>
      </c>
      <c r="F983" s="2">
        <f>Odometer!B983</f>
        <v>428758000</v>
      </c>
      <c r="G983" s="2">
        <f t="shared" si="123"/>
        <v>11</v>
      </c>
      <c r="H983" s="2">
        <f>SUM($G$2:G983)</f>
        <v>8113</v>
      </c>
      <c r="I983" s="10">
        <f t="shared" si="124"/>
        <v>45701.291921296295</v>
      </c>
      <c r="J983" s="10">
        <f t="shared" si="125"/>
        <v>45701.291921296295</v>
      </c>
      <c r="K983" s="3">
        <f t="shared" si="127"/>
        <v>7029</v>
      </c>
      <c r="L983">
        <f t="shared" si="120"/>
        <v>17.31666667</v>
      </c>
      <c r="M983">
        <f t="shared" si="126"/>
        <v>62.340000012000004</v>
      </c>
    </row>
    <row r="984" spans="1:13" x14ac:dyDescent="0.25">
      <c r="A984" s="9">
        <f>Speed!A984</f>
        <v>45701.291932870372</v>
      </c>
      <c r="B984" s="9">
        <f t="shared" si="121"/>
        <v>45701.291932870365</v>
      </c>
      <c r="C984" s="2">
        <f>Speed!B984</f>
        <v>17.358333330000001</v>
      </c>
      <c r="D984" s="9">
        <f>Odometer!A984</f>
        <v>45701.29277777778</v>
      </c>
      <c r="E984" s="9">
        <f t="shared" si="122"/>
        <v>45701.292777777773</v>
      </c>
      <c r="F984" s="2">
        <f>Odometer!B984</f>
        <v>428758011</v>
      </c>
      <c r="G984" s="2">
        <f t="shared" si="123"/>
        <v>2</v>
      </c>
      <c r="H984" s="2">
        <f>SUM($G$2:G984)</f>
        <v>8115</v>
      </c>
      <c r="I984" s="10">
        <f t="shared" si="124"/>
        <v>45701.291932870372</v>
      </c>
      <c r="J984" s="10">
        <f t="shared" si="125"/>
        <v>45701.291932870365</v>
      </c>
      <c r="K984" s="3">
        <f t="shared" si="127"/>
        <v>7055</v>
      </c>
      <c r="L984">
        <f t="shared" si="120"/>
        <v>17.358333330000001</v>
      </c>
      <c r="M984">
        <f t="shared" si="126"/>
        <v>62.489999988000001</v>
      </c>
    </row>
    <row r="985" spans="1:13" x14ac:dyDescent="0.25">
      <c r="A985" s="9">
        <f>Speed!A985</f>
        <v>45701.291944444441</v>
      </c>
      <c r="B985" s="9">
        <f t="shared" si="121"/>
        <v>45701.291944444441</v>
      </c>
      <c r="C985" s="2">
        <f>Speed!B985</f>
        <v>17.383333329999999</v>
      </c>
      <c r="D985" s="9">
        <f>Odometer!A985</f>
        <v>45701.29278935185</v>
      </c>
      <c r="E985" s="9">
        <f t="shared" si="122"/>
        <v>45701.29278935185</v>
      </c>
      <c r="F985" s="2">
        <f>Odometer!B985</f>
        <v>428758013</v>
      </c>
      <c r="G985" s="2">
        <f t="shared" si="123"/>
        <v>10</v>
      </c>
      <c r="H985" s="2">
        <f>SUM($G$2:G985)</f>
        <v>8125</v>
      </c>
      <c r="I985" s="10">
        <f t="shared" si="124"/>
        <v>45701.291944444441</v>
      </c>
      <c r="J985" s="10">
        <f t="shared" si="125"/>
        <v>45701.291944444441</v>
      </c>
      <c r="K985" s="3">
        <f t="shared" si="127"/>
        <v>7062</v>
      </c>
      <c r="L985">
        <f t="shared" si="120"/>
        <v>17.383333329999999</v>
      </c>
      <c r="M985">
        <f t="shared" si="126"/>
        <v>62.579999987999997</v>
      </c>
    </row>
    <row r="986" spans="1:13" x14ac:dyDescent="0.25">
      <c r="A986" s="9">
        <f>Speed!A986</f>
        <v>45701.291956018518</v>
      </c>
      <c r="B986" s="9">
        <f t="shared" si="121"/>
        <v>45701.291956018518</v>
      </c>
      <c r="C986" s="2">
        <f>Speed!B986</f>
        <v>17.39722222</v>
      </c>
      <c r="D986" s="9">
        <f>Odometer!A986</f>
        <v>45701.292800925927</v>
      </c>
      <c r="E986" s="9">
        <f t="shared" si="122"/>
        <v>45701.292800925927</v>
      </c>
      <c r="F986" s="2">
        <f>Odometer!B986</f>
        <v>428758023</v>
      </c>
      <c r="G986" s="2">
        <f t="shared" si="123"/>
        <v>2</v>
      </c>
      <c r="H986" s="2">
        <f>SUM($G$2:G986)</f>
        <v>8127</v>
      </c>
      <c r="I986" s="10">
        <f t="shared" si="124"/>
        <v>45701.291956018518</v>
      </c>
      <c r="J986" s="10">
        <f t="shared" si="125"/>
        <v>45701.291956018518</v>
      </c>
      <c r="K986" s="3">
        <f t="shared" si="127"/>
        <v>7079</v>
      </c>
      <c r="L986">
        <f t="shared" si="120"/>
        <v>17.39722222</v>
      </c>
      <c r="M986">
        <f t="shared" si="126"/>
        <v>62.629999992000002</v>
      </c>
    </row>
    <row r="987" spans="1:13" x14ac:dyDescent="0.25">
      <c r="A987" s="9">
        <f>Speed!A987</f>
        <v>45701.291967592595</v>
      </c>
      <c r="B987" s="9">
        <f t="shared" si="121"/>
        <v>45701.291967592588</v>
      </c>
      <c r="C987" s="2">
        <f>Speed!B987</f>
        <v>17.458333329999999</v>
      </c>
      <c r="D987" s="9">
        <f>Odometer!A987</f>
        <v>45701.292800925927</v>
      </c>
      <c r="E987" s="9">
        <f t="shared" si="122"/>
        <v>45701.292800925927</v>
      </c>
      <c r="F987" s="2">
        <f>Odometer!B987</f>
        <v>428758025</v>
      </c>
      <c r="G987" s="2">
        <f t="shared" si="123"/>
        <v>9</v>
      </c>
      <c r="H987" s="2">
        <f>SUM($G$2:G987)</f>
        <v>8136</v>
      </c>
      <c r="I987" s="10">
        <f t="shared" si="124"/>
        <v>45701.291967592595</v>
      </c>
      <c r="J987" s="10">
        <f t="shared" si="125"/>
        <v>45701.291967592588</v>
      </c>
      <c r="K987" s="3">
        <f t="shared" si="127"/>
        <v>7098</v>
      </c>
      <c r="L987">
        <f t="shared" si="120"/>
        <v>17.458333329999999</v>
      </c>
      <c r="M987">
        <f t="shared" si="126"/>
        <v>62.849999987999993</v>
      </c>
    </row>
    <row r="988" spans="1:13" x14ac:dyDescent="0.25">
      <c r="A988" s="9">
        <f>Speed!A988</f>
        <v>45701.291979166665</v>
      </c>
      <c r="B988" s="9">
        <f t="shared" si="121"/>
        <v>45701.291979166665</v>
      </c>
      <c r="C988" s="2">
        <f>Speed!B988</f>
        <v>17.53611111</v>
      </c>
      <c r="D988" s="9">
        <f>Odometer!A988</f>
        <v>45701.292812500003</v>
      </c>
      <c r="E988" s="9">
        <f t="shared" si="122"/>
        <v>45701.292812499996</v>
      </c>
      <c r="F988" s="2">
        <f>Odometer!B988</f>
        <v>428758034</v>
      </c>
      <c r="G988" s="2">
        <f t="shared" si="123"/>
        <v>1</v>
      </c>
      <c r="H988" s="2">
        <f>SUM($G$2:G988)</f>
        <v>8137</v>
      </c>
      <c r="I988" s="10">
        <f t="shared" si="124"/>
        <v>45701.291979166665</v>
      </c>
      <c r="J988" s="10">
        <f t="shared" si="125"/>
        <v>45701.291979166665</v>
      </c>
      <c r="K988" s="3">
        <f t="shared" si="127"/>
        <v>7113</v>
      </c>
      <c r="L988">
        <f t="shared" si="120"/>
        <v>17.53611111</v>
      </c>
      <c r="M988">
        <f t="shared" si="126"/>
        <v>63.129999996000002</v>
      </c>
    </row>
    <row r="989" spans="1:13" x14ac:dyDescent="0.25">
      <c r="A989" s="9">
        <f>Speed!A989</f>
        <v>45701.291990740741</v>
      </c>
      <c r="B989" s="9">
        <f t="shared" si="121"/>
        <v>45701.291990740741</v>
      </c>
      <c r="C989" s="2">
        <f>Speed!B989</f>
        <v>17.505555560000001</v>
      </c>
      <c r="D989" s="9">
        <f>Odometer!A989</f>
        <v>45701.292812500003</v>
      </c>
      <c r="E989" s="9">
        <f t="shared" si="122"/>
        <v>45701.292812499996</v>
      </c>
      <c r="F989" s="2">
        <f>Odometer!B989</f>
        <v>428758035</v>
      </c>
      <c r="G989" s="2">
        <f t="shared" si="123"/>
        <v>9</v>
      </c>
      <c r="H989" s="2">
        <f>SUM($G$2:G989)</f>
        <v>8146</v>
      </c>
      <c r="I989" s="10">
        <f t="shared" si="124"/>
        <v>45701.291990740741</v>
      </c>
      <c r="J989" s="10">
        <f t="shared" si="125"/>
        <v>45701.291990740741</v>
      </c>
      <c r="K989" s="3">
        <f t="shared" si="127"/>
        <v>7131</v>
      </c>
      <c r="L989">
        <f t="shared" si="120"/>
        <v>17.505555560000001</v>
      </c>
      <c r="M989">
        <f t="shared" si="126"/>
        <v>63.020000016000004</v>
      </c>
    </row>
    <row r="990" spans="1:13" x14ac:dyDescent="0.25">
      <c r="A990" s="9">
        <f>Speed!A990</f>
        <v>45701.292002314818</v>
      </c>
      <c r="B990" s="9">
        <f t="shared" si="121"/>
        <v>45701.292002314811</v>
      </c>
      <c r="C990" s="2">
        <f>Speed!B990</f>
        <v>17.327777780000002</v>
      </c>
      <c r="D990" s="9">
        <f>Odometer!A990</f>
        <v>45701.292824074073</v>
      </c>
      <c r="E990" s="9">
        <f t="shared" si="122"/>
        <v>45701.292824074073</v>
      </c>
      <c r="F990" s="2">
        <f>Odometer!B990</f>
        <v>428758044</v>
      </c>
      <c r="G990" s="2">
        <f t="shared" si="123"/>
        <v>9</v>
      </c>
      <c r="H990" s="2">
        <f>SUM($G$2:G990)</f>
        <v>8155</v>
      </c>
      <c r="I990" s="10">
        <f t="shared" si="124"/>
        <v>45701.292002314818</v>
      </c>
      <c r="J990" s="10">
        <f t="shared" si="125"/>
        <v>45701.292002314811</v>
      </c>
      <c r="K990" s="3">
        <f t="shared" si="127"/>
        <v>7149</v>
      </c>
      <c r="L990">
        <f t="shared" si="120"/>
        <v>17.327777780000002</v>
      </c>
      <c r="M990">
        <f t="shared" si="126"/>
        <v>62.38000000800001</v>
      </c>
    </row>
    <row r="991" spans="1:13" x14ac:dyDescent="0.25">
      <c r="A991" s="9">
        <f>Speed!A991</f>
        <v>45701.292002314818</v>
      </c>
      <c r="B991" s="9">
        <f t="shared" si="121"/>
        <v>45701.292002314811</v>
      </c>
      <c r="C991" s="2">
        <f>Speed!B991</f>
        <v>17.230555559999999</v>
      </c>
      <c r="D991" s="9">
        <f>Odometer!A991</f>
        <v>45701.29283564815</v>
      </c>
      <c r="E991" s="9">
        <f t="shared" si="122"/>
        <v>45701.292835648142</v>
      </c>
      <c r="F991" s="2">
        <f>Odometer!B991</f>
        <v>428758053</v>
      </c>
      <c r="G991" s="2">
        <f t="shared" si="123"/>
        <v>8</v>
      </c>
      <c r="H991" s="2">
        <f>SUM($G$2:G991)</f>
        <v>8163</v>
      </c>
      <c r="I991" s="10">
        <f t="shared" si="124"/>
        <v>45701.292002314818</v>
      </c>
      <c r="J991" s="10">
        <f t="shared" si="125"/>
        <v>45701.292002314811</v>
      </c>
      <c r="K991" s="3">
        <f t="shared" si="127"/>
        <v>7149</v>
      </c>
      <c r="L991">
        <f t="shared" si="120"/>
        <v>17.327777780000002</v>
      </c>
      <c r="M991">
        <f t="shared" si="126"/>
        <v>62.38000000800001</v>
      </c>
    </row>
    <row r="992" spans="1:13" x14ac:dyDescent="0.25">
      <c r="A992" s="9">
        <f>Speed!A992</f>
        <v>45701.292025462964</v>
      </c>
      <c r="B992" s="9">
        <f t="shared" si="121"/>
        <v>45701.292025462957</v>
      </c>
      <c r="C992" s="2">
        <f>Speed!B992</f>
        <v>17.097222219999999</v>
      </c>
      <c r="D992" s="9">
        <f>Odometer!A992</f>
        <v>45701.292847222219</v>
      </c>
      <c r="E992" s="9">
        <f t="shared" si="122"/>
        <v>45701.292847222219</v>
      </c>
      <c r="F992" s="2">
        <f>Odometer!B992</f>
        <v>428758061</v>
      </c>
      <c r="G992" s="2">
        <f t="shared" si="123"/>
        <v>7</v>
      </c>
      <c r="H992" s="2">
        <f>SUM($G$2:G992)</f>
        <v>8170</v>
      </c>
      <c r="I992" s="10">
        <f t="shared" si="124"/>
        <v>45701.292025462964</v>
      </c>
      <c r="J992" s="10">
        <f t="shared" si="125"/>
        <v>45701.292025462957</v>
      </c>
      <c r="K992" s="3">
        <f t="shared" si="127"/>
        <v>7184</v>
      </c>
      <c r="L992">
        <f t="shared" si="120"/>
        <v>17.097222219999999</v>
      </c>
      <c r="M992">
        <f t="shared" si="126"/>
        <v>61.549999991999996</v>
      </c>
    </row>
    <row r="993" spans="1:13" x14ac:dyDescent="0.25">
      <c r="A993" s="9">
        <f>Speed!A993</f>
        <v>45701.292037037034</v>
      </c>
      <c r="B993" s="9">
        <f t="shared" si="121"/>
        <v>45701.292037037034</v>
      </c>
      <c r="C993" s="2">
        <f>Speed!B993</f>
        <v>17.044444439999999</v>
      </c>
      <c r="D993" s="9">
        <f>Odometer!A993</f>
        <v>45701.292847222219</v>
      </c>
      <c r="E993" s="9">
        <f t="shared" si="122"/>
        <v>45701.292847222219</v>
      </c>
      <c r="F993" s="2">
        <f>Odometer!B993</f>
        <v>428758068</v>
      </c>
      <c r="G993" s="2">
        <f t="shared" si="123"/>
        <v>6</v>
      </c>
      <c r="H993" s="2">
        <f>SUM($G$2:G993)</f>
        <v>8176</v>
      </c>
      <c r="I993" s="10">
        <f t="shared" si="124"/>
        <v>45701.292037037034</v>
      </c>
      <c r="J993" s="10">
        <f t="shared" si="125"/>
        <v>45701.292037037034</v>
      </c>
      <c r="K993" s="3">
        <f t="shared" si="127"/>
        <v>7200</v>
      </c>
      <c r="L993">
        <f t="shared" si="120"/>
        <v>17.044444439999999</v>
      </c>
      <c r="M993">
        <f t="shared" si="126"/>
        <v>61.359999983999998</v>
      </c>
    </row>
    <row r="994" spans="1:13" x14ac:dyDescent="0.25">
      <c r="A994" s="9">
        <f>Speed!A994</f>
        <v>45701.292048611111</v>
      </c>
      <c r="B994" s="9">
        <f t="shared" si="121"/>
        <v>45701.292048611111</v>
      </c>
      <c r="C994" s="2">
        <f>Speed!B994</f>
        <v>16.983333330000001</v>
      </c>
      <c r="D994" s="9">
        <f>Odometer!A994</f>
        <v>45701.292870370373</v>
      </c>
      <c r="E994" s="9">
        <f t="shared" si="122"/>
        <v>45701.292870370366</v>
      </c>
      <c r="F994" s="2">
        <f>Odometer!B994</f>
        <v>428758074</v>
      </c>
      <c r="G994" s="2">
        <f t="shared" si="123"/>
        <v>6</v>
      </c>
      <c r="H994" s="2">
        <f>SUM($G$2:G994)</f>
        <v>8182</v>
      </c>
      <c r="I994" s="10">
        <f t="shared" si="124"/>
        <v>45701.292048611111</v>
      </c>
      <c r="J994" s="10">
        <f t="shared" si="125"/>
        <v>45701.292048611111</v>
      </c>
      <c r="K994" s="3">
        <f t="shared" si="127"/>
        <v>7204</v>
      </c>
      <c r="L994">
        <f t="shared" si="120"/>
        <v>16.983333330000001</v>
      </c>
      <c r="M994">
        <f t="shared" si="126"/>
        <v>61.139999988000007</v>
      </c>
    </row>
    <row r="995" spans="1:13" x14ac:dyDescent="0.25">
      <c r="A995" s="9">
        <f>Speed!A995</f>
        <v>45701.292048611111</v>
      </c>
      <c r="B995" s="9">
        <f t="shared" si="121"/>
        <v>45701.292048611111</v>
      </c>
      <c r="C995" s="2">
        <f>Speed!B995</f>
        <v>16.891666669999999</v>
      </c>
      <c r="D995" s="9">
        <f>Odometer!A995</f>
        <v>45701.292881944442</v>
      </c>
      <c r="E995" s="9">
        <f t="shared" si="122"/>
        <v>45701.292881944442</v>
      </c>
      <c r="F995" s="2">
        <f>Odometer!B995</f>
        <v>428758080</v>
      </c>
      <c r="G995" s="2">
        <f t="shared" si="123"/>
        <v>5</v>
      </c>
      <c r="H995" s="2">
        <f>SUM($G$2:G995)</f>
        <v>8187</v>
      </c>
      <c r="I995" s="10">
        <f t="shared" si="124"/>
        <v>45701.292048611111</v>
      </c>
      <c r="J995" s="10">
        <f t="shared" si="125"/>
        <v>45701.292048611111</v>
      </c>
      <c r="K995" s="3">
        <f t="shared" si="127"/>
        <v>7204</v>
      </c>
      <c r="L995">
        <f t="shared" si="120"/>
        <v>16.983333330000001</v>
      </c>
      <c r="M995">
        <f t="shared" si="126"/>
        <v>61.139999988000007</v>
      </c>
    </row>
    <row r="996" spans="1:13" x14ac:dyDescent="0.25">
      <c r="A996" s="9">
        <f>Speed!A996</f>
        <v>45701.292048611111</v>
      </c>
      <c r="B996" s="9">
        <f t="shared" si="121"/>
        <v>45701.292048611111</v>
      </c>
      <c r="C996" s="2">
        <f>Speed!B996</f>
        <v>16.78055556</v>
      </c>
      <c r="D996" s="9">
        <f>Odometer!A996</f>
        <v>45701.292893518519</v>
      </c>
      <c r="E996" s="9">
        <f t="shared" si="122"/>
        <v>45701.292893518519</v>
      </c>
      <c r="F996" s="2">
        <f>Odometer!B996</f>
        <v>428758085</v>
      </c>
      <c r="G996" s="2">
        <f t="shared" si="123"/>
        <v>4</v>
      </c>
      <c r="H996" s="2">
        <f>SUM($G$2:G996)</f>
        <v>8191</v>
      </c>
      <c r="I996" s="10">
        <f t="shared" si="124"/>
        <v>45701.292048611111</v>
      </c>
      <c r="J996" s="10">
        <f t="shared" si="125"/>
        <v>45701.292048611111</v>
      </c>
      <c r="K996" s="3">
        <f t="shared" si="127"/>
        <v>7204</v>
      </c>
      <c r="L996">
        <f t="shared" si="120"/>
        <v>16.983333330000001</v>
      </c>
      <c r="M996">
        <f t="shared" si="126"/>
        <v>61.139999988000007</v>
      </c>
    </row>
    <row r="997" spans="1:13" x14ac:dyDescent="0.25">
      <c r="A997" s="9">
        <f>Speed!A997</f>
        <v>45701.292060185187</v>
      </c>
      <c r="B997" s="9">
        <f t="shared" si="121"/>
        <v>45701.29206018518</v>
      </c>
      <c r="C997" s="2">
        <f>Speed!B997</f>
        <v>16.55277778</v>
      </c>
      <c r="D997" s="9">
        <f>Odometer!A997</f>
        <v>45701.292905092596</v>
      </c>
      <c r="E997" s="9">
        <f t="shared" si="122"/>
        <v>45701.292905092589</v>
      </c>
      <c r="F997" s="2">
        <f>Odometer!B997</f>
        <v>428758089</v>
      </c>
      <c r="G997" s="2">
        <f t="shared" si="123"/>
        <v>2</v>
      </c>
      <c r="H997" s="2">
        <f>SUM($G$2:G997)</f>
        <v>8193</v>
      </c>
      <c r="I997" s="10">
        <f t="shared" si="124"/>
        <v>45701.292060185187</v>
      </c>
      <c r="J997" s="10">
        <f t="shared" si="125"/>
        <v>45701.29206018518</v>
      </c>
      <c r="K997" s="3">
        <f t="shared" si="127"/>
        <v>7232</v>
      </c>
      <c r="L997">
        <f t="shared" si="120"/>
        <v>16.55277778</v>
      </c>
      <c r="M997">
        <f t="shared" si="126"/>
        <v>59.590000007999997</v>
      </c>
    </row>
    <row r="998" spans="1:13" x14ac:dyDescent="0.25">
      <c r="A998" s="9">
        <f>Speed!A998</f>
        <v>45701.292071759257</v>
      </c>
      <c r="B998" s="9">
        <f t="shared" si="121"/>
        <v>45701.292071759257</v>
      </c>
      <c r="C998" s="2">
        <f>Speed!B998</f>
        <v>16.02222222</v>
      </c>
      <c r="D998" s="9">
        <f>Odometer!A998</f>
        <v>45701.292916666665</v>
      </c>
      <c r="E998" s="9">
        <f t="shared" si="122"/>
        <v>45701.292916666665</v>
      </c>
      <c r="F998" s="2">
        <f>Odometer!B998</f>
        <v>428758091</v>
      </c>
      <c r="G998" s="2">
        <f t="shared" si="123"/>
        <v>3</v>
      </c>
      <c r="H998" s="2">
        <f>SUM($G$2:G998)</f>
        <v>8196</v>
      </c>
      <c r="I998" s="10">
        <f t="shared" si="124"/>
        <v>45701.292071759257</v>
      </c>
      <c r="J998" s="10">
        <f t="shared" si="125"/>
        <v>45701.292071759257</v>
      </c>
      <c r="K998" s="3">
        <f t="shared" si="127"/>
        <v>7249</v>
      </c>
      <c r="L998">
        <f t="shared" si="120"/>
        <v>16.02222222</v>
      </c>
      <c r="M998">
        <f t="shared" si="126"/>
        <v>57.679999991999999</v>
      </c>
    </row>
    <row r="999" spans="1:13" x14ac:dyDescent="0.25">
      <c r="A999" s="9">
        <f>Speed!A999</f>
        <v>45701.292083333334</v>
      </c>
      <c r="B999" s="9">
        <f t="shared" si="121"/>
        <v>45701.292083333334</v>
      </c>
      <c r="C999" s="2">
        <f>Speed!B999</f>
        <v>15.29166667</v>
      </c>
      <c r="D999" s="9">
        <f>Odometer!A999</f>
        <v>45701.292928240742</v>
      </c>
      <c r="E999" s="9">
        <f t="shared" si="122"/>
        <v>45701.292928240735</v>
      </c>
      <c r="F999" s="2">
        <f>Odometer!B999</f>
        <v>428758094</v>
      </c>
      <c r="G999" s="2">
        <f t="shared" si="123"/>
        <v>2</v>
      </c>
      <c r="H999" s="2">
        <f>SUM($G$2:G999)</f>
        <v>8198</v>
      </c>
      <c r="I999" s="10">
        <f t="shared" si="124"/>
        <v>45701.292083333334</v>
      </c>
      <c r="J999" s="10">
        <f t="shared" si="125"/>
        <v>45701.292083333334</v>
      </c>
      <c r="K999" s="3">
        <f t="shared" si="127"/>
        <v>7263</v>
      </c>
      <c r="L999">
        <f t="shared" si="120"/>
        <v>15.29166667</v>
      </c>
      <c r="M999">
        <f t="shared" si="126"/>
        <v>55.050000011999998</v>
      </c>
    </row>
    <row r="1000" spans="1:13" x14ac:dyDescent="0.25">
      <c r="A1000" s="9">
        <f>Speed!A1000</f>
        <v>45701.292094907411</v>
      </c>
      <c r="B1000" s="9">
        <f t="shared" si="121"/>
        <v>45701.292094907403</v>
      </c>
      <c r="C1000" s="2">
        <f>Speed!B1000</f>
        <v>14.69166667</v>
      </c>
      <c r="D1000" s="9">
        <f>Odometer!A1000</f>
        <v>45701.292939814812</v>
      </c>
      <c r="E1000" s="9">
        <f t="shared" si="122"/>
        <v>45701.292939814812</v>
      </c>
      <c r="F1000" s="2">
        <f>Odometer!B1000</f>
        <v>428758096</v>
      </c>
      <c r="G1000" s="2">
        <f t="shared" si="123"/>
        <v>1</v>
      </c>
      <c r="H1000" s="2">
        <f>SUM($G$2:G1000)</f>
        <v>8199</v>
      </c>
      <c r="I1000" s="10">
        <f t="shared" si="124"/>
        <v>45701.292094907411</v>
      </c>
      <c r="J1000" s="10">
        <f t="shared" si="125"/>
        <v>45701.292094907403</v>
      </c>
      <c r="K1000" s="3">
        <f t="shared" si="127"/>
        <v>7277</v>
      </c>
      <c r="L1000">
        <f t="shared" si="120"/>
        <v>14.69166667</v>
      </c>
      <c r="M1000">
        <f t="shared" si="126"/>
        <v>52.890000012000002</v>
      </c>
    </row>
    <row r="1001" spans="1:13" x14ac:dyDescent="0.25">
      <c r="A1001" s="9">
        <f>Speed!A1001</f>
        <v>45701.292094907411</v>
      </c>
      <c r="B1001" s="9">
        <f t="shared" si="121"/>
        <v>45701.292094907403</v>
      </c>
      <c r="C1001" s="2">
        <f>Speed!B1001</f>
        <v>14.080555560000001</v>
      </c>
      <c r="D1001" s="9">
        <f>Odometer!A1001</f>
        <v>45701.292951388888</v>
      </c>
      <c r="E1001" s="9">
        <f t="shared" si="122"/>
        <v>45701.292951388888</v>
      </c>
      <c r="F1001" s="2">
        <f>Odometer!B1001</f>
        <v>428758097</v>
      </c>
      <c r="G1001" s="2">
        <f t="shared" si="123"/>
        <v>1</v>
      </c>
      <c r="H1001" s="2">
        <f>SUM($G$2:G1001)</f>
        <v>8200</v>
      </c>
      <c r="I1001" s="10">
        <f t="shared" si="124"/>
        <v>45701.292094907411</v>
      </c>
      <c r="J1001" s="10">
        <f t="shared" si="125"/>
        <v>45701.292094907403</v>
      </c>
      <c r="K1001" s="3">
        <f t="shared" si="127"/>
        <v>7277</v>
      </c>
      <c r="L1001">
        <f t="shared" si="120"/>
        <v>14.69166667</v>
      </c>
      <c r="M1001">
        <f t="shared" si="126"/>
        <v>52.890000012000002</v>
      </c>
    </row>
    <row r="1002" spans="1:13" x14ac:dyDescent="0.25">
      <c r="A1002" s="9">
        <f>Speed!A1002</f>
        <v>45701.29210648148</v>
      </c>
      <c r="B1002" s="9">
        <f t="shared" si="121"/>
        <v>45701.29210648148</v>
      </c>
      <c r="C1002" s="2">
        <f>Speed!B1002</f>
        <v>13.983333330000001</v>
      </c>
      <c r="D1002" s="9">
        <f>Odometer!A1002</f>
        <v>45701.293194444443</v>
      </c>
      <c r="E1002" s="9">
        <f t="shared" si="122"/>
        <v>45701.293194444443</v>
      </c>
      <c r="F1002" s="2">
        <f>Odometer!B1002</f>
        <v>428758098</v>
      </c>
      <c r="G1002" s="2">
        <f t="shared" si="123"/>
        <v>2</v>
      </c>
      <c r="H1002" s="2">
        <f>SUM($G$2:G1002)</f>
        <v>8202</v>
      </c>
      <c r="I1002" s="10">
        <f t="shared" si="124"/>
        <v>45701.29210648148</v>
      </c>
      <c r="J1002" s="10">
        <f t="shared" si="125"/>
        <v>45701.29210648148</v>
      </c>
      <c r="K1002" s="3">
        <f t="shared" si="127"/>
        <v>7291</v>
      </c>
      <c r="L1002">
        <f t="shared" si="120"/>
        <v>13.983333330000001</v>
      </c>
      <c r="M1002">
        <f t="shared" si="126"/>
        <v>50.339999988000002</v>
      </c>
    </row>
    <row r="1003" spans="1:13" x14ac:dyDescent="0.25">
      <c r="A1003" s="9">
        <f>Speed!A1003</f>
        <v>45701.292118055557</v>
      </c>
      <c r="B1003" s="9">
        <f t="shared" si="121"/>
        <v>45701.292118055557</v>
      </c>
      <c r="C1003" s="2">
        <f>Speed!B1003</f>
        <v>13.494444440000001</v>
      </c>
      <c r="D1003" s="9">
        <f>Odometer!A1003</f>
        <v>45701.293206018519</v>
      </c>
      <c r="E1003" s="9">
        <f t="shared" si="122"/>
        <v>45701.293206018519</v>
      </c>
      <c r="F1003" s="2">
        <f>Odometer!B1003</f>
        <v>428758100</v>
      </c>
      <c r="G1003" s="2">
        <f t="shared" si="123"/>
        <v>3</v>
      </c>
      <c r="H1003" s="2">
        <f>SUM($G$2:G1003)</f>
        <v>8205</v>
      </c>
      <c r="I1003" s="10">
        <f t="shared" si="124"/>
        <v>45701.292118055557</v>
      </c>
      <c r="J1003" s="10">
        <f t="shared" si="125"/>
        <v>45701.292118055557</v>
      </c>
      <c r="K1003" s="3">
        <f t="shared" si="127"/>
        <v>7302</v>
      </c>
      <c r="L1003">
        <f t="shared" si="120"/>
        <v>13.494444440000001</v>
      </c>
      <c r="M1003">
        <f t="shared" si="126"/>
        <v>48.579999984000004</v>
      </c>
    </row>
    <row r="1004" spans="1:13" x14ac:dyDescent="0.25">
      <c r="A1004" s="9">
        <f>Speed!A1004</f>
        <v>45701.292129629626</v>
      </c>
      <c r="B1004" s="9">
        <f t="shared" si="121"/>
        <v>45701.292129629626</v>
      </c>
      <c r="C1004" s="2">
        <f>Speed!B1004</f>
        <v>13.063888889999999</v>
      </c>
      <c r="D1004" s="9">
        <f>Odometer!A1004</f>
        <v>45701.293217592596</v>
      </c>
      <c r="E1004" s="9">
        <f t="shared" si="122"/>
        <v>45701.293217592589</v>
      </c>
      <c r="F1004" s="2">
        <f>Odometer!B1004</f>
        <v>428758103</v>
      </c>
      <c r="G1004" s="2">
        <f t="shared" si="123"/>
        <v>4</v>
      </c>
      <c r="H1004" s="2">
        <f>SUM($G$2:G1004)</f>
        <v>8209</v>
      </c>
      <c r="I1004" s="10">
        <f t="shared" si="124"/>
        <v>45701.292129629626</v>
      </c>
      <c r="J1004" s="10">
        <f t="shared" si="125"/>
        <v>45701.292129629626</v>
      </c>
      <c r="K1004" s="3">
        <f t="shared" si="127"/>
        <v>7307</v>
      </c>
      <c r="L1004">
        <f t="shared" si="120"/>
        <v>13.063888889999999</v>
      </c>
      <c r="M1004">
        <f t="shared" si="126"/>
        <v>47.030000004000001</v>
      </c>
    </row>
    <row r="1005" spans="1:13" x14ac:dyDescent="0.25">
      <c r="A1005" s="9">
        <f>Speed!A1005</f>
        <v>45701.292129629626</v>
      </c>
      <c r="B1005" s="9">
        <f t="shared" si="121"/>
        <v>45701.292129629626</v>
      </c>
      <c r="C1005" s="2">
        <f>Speed!B1005</f>
        <v>12.89722222</v>
      </c>
      <c r="D1005" s="9">
        <f>Odometer!A1005</f>
        <v>45701.293229166666</v>
      </c>
      <c r="E1005" s="9">
        <f t="shared" si="122"/>
        <v>45701.293229166666</v>
      </c>
      <c r="F1005" s="2">
        <f>Odometer!B1005</f>
        <v>428758107</v>
      </c>
      <c r="G1005" s="2">
        <f t="shared" si="123"/>
        <v>6</v>
      </c>
      <c r="H1005" s="2">
        <f>SUM($G$2:G1005)</f>
        <v>8215</v>
      </c>
      <c r="I1005" s="10">
        <f t="shared" si="124"/>
        <v>45701.292129629626</v>
      </c>
      <c r="J1005" s="10">
        <f t="shared" si="125"/>
        <v>45701.292129629626</v>
      </c>
      <c r="K1005" s="3">
        <f t="shared" si="127"/>
        <v>7307</v>
      </c>
      <c r="L1005">
        <f t="shared" si="120"/>
        <v>13.063888889999999</v>
      </c>
      <c r="M1005">
        <f t="shared" si="126"/>
        <v>47.030000004000001</v>
      </c>
    </row>
    <row r="1006" spans="1:13" x14ac:dyDescent="0.25">
      <c r="A1006" s="9">
        <f>Speed!A1006</f>
        <v>45701.292141203703</v>
      </c>
      <c r="B1006" s="9">
        <f t="shared" si="121"/>
        <v>45701.292141203703</v>
      </c>
      <c r="C1006" s="2">
        <f>Speed!B1006</f>
        <v>12.80833333</v>
      </c>
      <c r="D1006" s="9">
        <f>Odometer!A1006</f>
        <v>45701.293240740742</v>
      </c>
      <c r="E1006" s="9">
        <f t="shared" si="122"/>
        <v>45701.293240740735</v>
      </c>
      <c r="F1006" s="2">
        <f>Odometer!B1006</f>
        <v>428758113</v>
      </c>
      <c r="G1006" s="2">
        <f t="shared" si="123"/>
        <v>1</v>
      </c>
      <c r="H1006" s="2">
        <f>SUM($G$2:G1006)</f>
        <v>8216</v>
      </c>
      <c r="I1006" s="10">
        <f t="shared" si="124"/>
        <v>45701.292141203703</v>
      </c>
      <c r="J1006" s="10">
        <f t="shared" si="125"/>
        <v>45701.292141203703</v>
      </c>
      <c r="K1006" s="3">
        <f t="shared" si="127"/>
        <v>7330</v>
      </c>
      <c r="L1006">
        <f t="shared" si="120"/>
        <v>12.80833333</v>
      </c>
      <c r="M1006">
        <f t="shared" si="126"/>
        <v>46.109999987999998</v>
      </c>
    </row>
    <row r="1007" spans="1:13" x14ac:dyDescent="0.25">
      <c r="A1007" s="9">
        <f>Speed!A1007</f>
        <v>45701.29215277778</v>
      </c>
      <c r="B1007" s="9">
        <f t="shared" si="121"/>
        <v>45701.292152777773</v>
      </c>
      <c r="C1007" s="2">
        <f>Speed!B1007</f>
        <v>12.79722222</v>
      </c>
      <c r="D1007" s="9">
        <f>Odometer!A1007</f>
        <v>45701.293240740742</v>
      </c>
      <c r="E1007" s="9">
        <f t="shared" si="122"/>
        <v>45701.293240740735</v>
      </c>
      <c r="F1007" s="2">
        <f>Odometer!B1007</f>
        <v>428758114</v>
      </c>
      <c r="G1007" s="2">
        <f t="shared" si="123"/>
        <v>6</v>
      </c>
      <c r="H1007" s="2">
        <f>SUM($G$2:G1007)</f>
        <v>8222</v>
      </c>
      <c r="I1007" s="10">
        <f t="shared" si="124"/>
        <v>45701.29215277778</v>
      </c>
      <c r="J1007" s="10">
        <f t="shared" si="125"/>
        <v>45701.292152777773</v>
      </c>
      <c r="K1007" s="3">
        <f t="shared" si="127"/>
        <v>7343</v>
      </c>
      <c r="L1007">
        <f t="shared" si="120"/>
        <v>12.79722222</v>
      </c>
      <c r="M1007">
        <f t="shared" si="126"/>
        <v>46.069999992</v>
      </c>
    </row>
    <row r="1008" spans="1:13" x14ac:dyDescent="0.25">
      <c r="A1008" s="9">
        <f>Speed!A1008</f>
        <v>45701.292164351849</v>
      </c>
      <c r="B1008" s="9">
        <f t="shared" si="121"/>
        <v>45701.292164351849</v>
      </c>
      <c r="C1008" s="2">
        <f>Speed!B1008</f>
        <v>12.80833333</v>
      </c>
      <c r="D1008" s="9">
        <f>Odometer!A1008</f>
        <v>45701.293252314812</v>
      </c>
      <c r="E1008" s="9">
        <f t="shared" si="122"/>
        <v>45701.293252314812</v>
      </c>
      <c r="F1008" s="2">
        <f>Odometer!B1008</f>
        <v>428758120</v>
      </c>
      <c r="G1008" s="2">
        <f t="shared" si="123"/>
        <v>2</v>
      </c>
      <c r="H1008" s="2">
        <f>SUM($G$2:G1008)</f>
        <v>8224</v>
      </c>
      <c r="I1008" s="10">
        <f t="shared" si="124"/>
        <v>45701.292164351849</v>
      </c>
      <c r="J1008" s="10">
        <f t="shared" si="125"/>
        <v>45701.292164351849</v>
      </c>
      <c r="K1008" s="3">
        <f t="shared" si="127"/>
        <v>7356</v>
      </c>
      <c r="L1008">
        <f t="shared" si="120"/>
        <v>12.80833333</v>
      </c>
      <c r="M1008">
        <f t="shared" si="126"/>
        <v>46.109999987999998</v>
      </c>
    </row>
    <row r="1009" spans="1:13" x14ac:dyDescent="0.25">
      <c r="A1009" s="9">
        <f>Speed!A1009</f>
        <v>45701.292175925926</v>
      </c>
      <c r="B1009" s="9">
        <f t="shared" si="121"/>
        <v>45701.292175925926</v>
      </c>
      <c r="C1009" s="2">
        <f>Speed!B1009</f>
        <v>12.813888889999999</v>
      </c>
      <c r="D1009" s="9">
        <f>Odometer!A1009</f>
        <v>45701.293252314812</v>
      </c>
      <c r="E1009" s="9">
        <f t="shared" si="122"/>
        <v>45701.293252314812</v>
      </c>
      <c r="F1009" s="2">
        <f>Odometer!B1009</f>
        <v>428758122</v>
      </c>
      <c r="G1009" s="2">
        <f t="shared" si="123"/>
        <v>6</v>
      </c>
      <c r="H1009" s="2">
        <f>SUM($G$2:G1009)</f>
        <v>8230</v>
      </c>
      <c r="I1009" s="10">
        <f t="shared" si="124"/>
        <v>45701.292175925926</v>
      </c>
      <c r="J1009" s="10">
        <f t="shared" si="125"/>
        <v>45701.292175925926</v>
      </c>
      <c r="K1009" s="3">
        <f t="shared" si="127"/>
        <v>7369</v>
      </c>
      <c r="L1009">
        <f t="shared" si="120"/>
        <v>12.813888889999999</v>
      </c>
      <c r="M1009">
        <f t="shared" si="126"/>
        <v>46.130000003999996</v>
      </c>
    </row>
    <row r="1010" spans="1:13" x14ac:dyDescent="0.25">
      <c r="A1010" s="9">
        <f>Speed!A1010</f>
        <v>45701.292187500003</v>
      </c>
      <c r="B1010" s="9">
        <f t="shared" si="121"/>
        <v>45701.292187499996</v>
      </c>
      <c r="C1010" s="2">
        <f>Speed!B1010</f>
        <v>12.824999999999999</v>
      </c>
      <c r="D1010" s="9">
        <f>Odometer!A1010</f>
        <v>45701.293263888889</v>
      </c>
      <c r="E1010" s="9">
        <f t="shared" si="122"/>
        <v>45701.293263888889</v>
      </c>
      <c r="F1010" s="2">
        <f>Odometer!B1010</f>
        <v>428758128</v>
      </c>
      <c r="G1010" s="2">
        <f t="shared" si="123"/>
        <v>10</v>
      </c>
      <c r="H1010" s="2">
        <f>SUM($G$2:G1010)</f>
        <v>8240</v>
      </c>
      <c r="I1010" s="10">
        <f t="shared" si="124"/>
        <v>45701.292187500003</v>
      </c>
      <c r="J1010" s="10">
        <f t="shared" si="125"/>
        <v>45701.292187499996</v>
      </c>
      <c r="K1010" s="3">
        <f t="shared" si="127"/>
        <v>7381</v>
      </c>
      <c r="L1010">
        <f t="shared" si="120"/>
        <v>12.824999999999999</v>
      </c>
      <c r="M1010">
        <f t="shared" si="126"/>
        <v>46.17</v>
      </c>
    </row>
    <row r="1011" spans="1:13" x14ac:dyDescent="0.25">
      <c r="A1011" s="9">
        <f>Speed!A1011</f>
        <v>45701.292199074072</v>
      </c>
      <c r="B1011" s="9">
        <f t="shared" si="121"/>
        <v>45701.292199074072</v>
      </c>
      <c r="C1011" s="2">
        <f>Speed!B1011</f>
        <v>12.8</v>
      </c>
      <c r="D1011" s="9">
        <f>Odometer!A1011</f>
        <v>45701.293275462966</v>
      </c>
      <c r="E1011" s="9">
        <f t="shared" si="122"/>
        <v>45701.293275462958</v>
      </c>
      <c r="F1011" s="2">
        <f>Odometer!B1011</f>
        <v>428758138</v>
      </c>
      <c r="G1011" s="2">
        <f t="shared" si="123"/>
        <v>10</v>
      </c>
      <c r="H1011" s="2">
        <f>SUM($G$2:G1011)</f>
        <v>8250</v>
      </c>
      <c r="I1011" s="10">
        <f t="shared" si="124"/>
        <v>45701.292199074072</v>
      </c>
      <c r="J1011" s="10">
        <f t="shared" si="125"/>
        <v>45701.292199074072</v>
      </c>
      <c r="K1011" s="3">
        <f t="shared" si="127"/>
        <v>7395</v>
      </c>
      <c r="L1011">
        <f t="shared" si="120"/>
        <v>12.8</v>
      </c>
      <c r="M1011">
        <f t="shared" si="126"/>
        <v>46.080000000000005</v>
      </c>
    </row>
    <row r="1012" spans="1:13" x14ac:dyDescent="0.25">
      <c r="A1012" s="9">
        <f>Speed!A1012</f>
        <v>45701.292210648149</v>
      </c>
      <c r="B1012" s="9">
        <f t="shared" si="121"/>
        <v>45701.292210648149</v>
      </c>
      <c r="C1012" s="2">
        <f>Speed!B1012</f>
        <v>12.77222222</v>
      </c>
      <c r="D1012" s="9">
        <f>Odometer!A1012</f>
        <v>45701.293287037035</v>
      </c>
      <c r="E1012" s="9">
        <f t="shared" si="122"/>
        <v>45701.293287037035</v>
      </c>
      <c r="F1012" s="2">
        <f>Odometer!B1012</f>
        <v>428758148</v>
      </c>
      <c r="G1012" s="2">
        <f t="shared" si="123"/>
        <v>14</v>
      </c>
      <c r="H1012" s="2">
        <f>SUM($G$2:G1012)</f>
        <v>8264</v>
      </c>
      <c r="I1012" s="10">
        <f t="shared" si="124"/>
        <v>45701.292210648149</v>
      </c>
      <c r="J1012" s="10">
        <f t="shared" si="125"/>
        <v>45701.292210648149</v>
      </c>
      <c r="K1012" s="3">
        <f t="shared" si="127"/>
        <v>7408</v>
      </c>
      <c r="L1012">
        <f t="shared" si="120"/>
        <v>12.77222222</v>
      </c>
      <c r="M1012">
        <f t="shared" si="126"/>
        <v>45.979999992000003</v>
      </c>
    </row>
    <row r="1013" spans="1:13" x14ac:dyDescent="0.25">
      <c r="A1013" s="9">
        <f>Speed!A1013</f>
        <v>45701.292222222219</v>
      </c>
      <c r="B1013" s="9">
        <f t="shared" si="121"/>
        <v>45701.292222222219</v>
      </c>
      <c r="C1013" s="2">
        <f>Speed!B1013</f>
        <v>12.747222219999999</v>
      </c>
      <c r="D1013" s="9">
        <f>Odometer!A1013</f>
        <v>45701.293298611112</v>
      </c>
      <c r="E1013" s="9">
        <f t="shared" si="122"/>
        <v>45701.293298611112</v>
      </c>
      <c r="F1013" s="2">
        <f>Odometer!B1013</f>
        <v>428758162</v>
      </c>
      <c r="G1013" s="2">
        <f t="shared" si="123"/>
        <v>11</v>
      </c>
      <c r="H1013" s="2">
        <f>SUM($G$2:G1013)</f>
        <v>8275</v>
      </c>
      <c r="I1013" s="10">
        <f t="shared" si="124"/>
        <v>45701.292222222219</v>
      </c>
      <c r="J1013" s="10">
        <f t="shared" si="125"/>
        <v>45701.292222222219</v>
      </c>
      <c r="K1013" s="3">
        <f t="shared" si="127"/>
        <v>7420</v>
      </c>
      <c r="L1013">
        <f t="shared" si="120"/>
        <v>12.747222219999999</v>
      </c>
      <c r="M1013">
        <f t="shared" si="126"/>
        <v>45.889999992</v>
      </c>
    </row>
    <row r="1014" spans="1:13" x14ac:dyDescent="0.25">
      <c r="A1014" s="9">
        <f>Speed!A1014</f>
        <v>45701.292222222219</v>
      </c>
      <c r="B1014" s="9">
        <f t="shared" si="121"/>
        <v>45701.292222222219</v>
      </c>
      <c r="C1014" s="2">
        <f>Speed!B1014</f>
        <v>12.725</v>
      </c>
      <c r="D1014" s="9">
        <f>Odometer!A1014</f>
        <v>45701.293310185189</v>
      </c>
      <c r="E1014" s="9">
        <f t="shared" si="122"/>
        <v>45701.293310185181</v>
      </c>
      <c r="F1014" s="2">
        <f>Odometer!B1014</f>
        <v>428758173</v>
      </c>
      <c r="G1014" s="2">
        <f t="shared" si="123"/>
        <v>15</v>
      </c>
      <c r="H1014" s="2">
        <f>SUM($G$2:G1014)</f>
        <v>8290</v>
      </c>
      <c r="I1014" s="10">
        <f t="shared" si="124"/>
        <v>45701.292222222219</v>
      </c>
      <c r="J1014" s="10">
        <f t="shared" si="125"/>
        <v>45701.292222222219</v>
      </c>
      <c r="K1014" s="3">
        <f t="shared" si="127"/>
        <v>7420</v>
      </c>
      <c r="L1014">
        <f t="shared" si="120"/>
        <v>12.747222219999999</v>
      </c>
      <c r="M1014">
        <f t="shared" si="126"/>
        <v>45.889999992</v>
      </c>
    </row>
    <row r="1015" spans="1:13" x14ac:dyDescent="0.25">
      <c r="A1015" s="9">
        <f>Speed!A1015</f>
        <v>45701.292245370372</v>
      </c>
      <c r="B1015" s="9">
        <f t="shared" si="121"/>
        <v>45701.292245370365</v>
      </c>
      <c r="C1015" s="2">
        <f>Speed!B1015</f>
        <v>12.991666670000001</v>
      </c>
      <c r="D1015" s="9">
        <f>Odometer!A1015</f>
        <v>45701.293321759258</v>
      </c>
      <c r="E1015" s="9">
        <f t="shared" si="122"/>
        <v>45701.293321759258</v>
      </c>
      <c r="F1015" s="2">
        <f>Odometer!B1015</f>
        <v>428758188</v>
      </c>
      <c r="G1015" s="2">
        <f t="shared" si="123"/>
        <v>14</v>
      </c>
      <c r="H1015" s="2">
        <f>SUM($G$2:G1015)</f>
        <v>8304</v>
      </c>
      <c r="I1015" s="10">
        <f t="shared" si="124"/>
        <v>45701.292245370372</v>
      </c>
      <c r="J1015" s="10">
        <f t="shared" si="125"/>
        <v>45701.292245370365</v>
      </c>
      <c r="K1015" s="3">
        <f t="shared" si="127"/>
        <v>7446</v>
      </c>
      <c r="L1015">
        <f t="shared" si="120"/>
        <v>12.991666670000001</v>
      </c>
      <c r="M1015">
        <f t="shared" si="126"/>
        <v>46.770000012000004</v>
      </c>
    </row>
    <row r="1016" spans="1:13" x14ac:dyDescent="0.25">
      <c r="A1016" s="9">
        <f>Speed!A1016</f>
        <v>45701.292245370372</v>
      </c>
      <c r="B1016" s="9">
        <f t="shared" si="121"/>
        <v>45701.292245370365</v>
      </c>
      <c r="C1016" s="2">
        <f>Speed!B1016</f>
        <v>13.991666670000001</v>
      </c>
      <c r="D1016" s="9">
        <f>Odometer!A1016</f>
        <v>45701.293333333335</v>
      </c>
      <c r="E1016" s="9">
        <f t="shared" si="122"/>
        <v>45701.293333333328</v>
      </c>
      <c r="F1016" s="2">
        <f>Odometer!B1016</f>
        <v>428758202</v>
      </c>
      <c r="G1016" s="2">
        <f t="shared" si="123"/>
        <v>16</v>
      </c>
      <c r="H1016" s="2">
        <f>SUM($G$2:G1016)</f>
        <v>8320</v>
      </c>
      <c r="I1016" s="10">
        <f t="shared" si="124"/>
        <v>45701.292245370372</v>
      </c>
      <c r="J1016" s="10">
        <f t="shared" si="125"/>
        <v>45701.292245370365</v>
      </c>
      <c r="K1016" s="3">
        <f t="shared" si="127"/>
        <v>7446</v>
      </c>
      <c r="L1016">
        <f t="shared" si="120"/>
        <v>12.991666670000001</v>
      </c>
      <c r="M1016">
        <f t="shared" si="126"/>
        <v>46.770000012000004</v>
      </c>
    </row>
    <row r="1017" spans="1:13" x14ac:dyDescent="0.25">
      <c r="A1017" s="9">
        <f>Speed!A1017</f>
        <v>45701.292268518519</v>
      </c>
      <c r="B1017" s="9">
        <f t="shared" si="121"/>
        <v>45701.292268518519</v>
      </c>
      <c r="C1017" s="2">
        <f>Speed!B1017</f>
        <v>14.84166667</v>
      </c>
      <c r="D1017" s="9">
        <f>Odometer!A1017</f>
        <v>45701.293344907404</v>
      </c>
      <c r="E1017" s="9">
        <f t="shared" si="122"/>
        <v>45701.293344907404</v>
      </c>
      <c r="F1017" s="2">
        <f>Odometer!B1017</f>
        <v>428758218</v>
      </c>
      <c r="G1017" s="2">
        <f t="shared" si="123"/>
        <v>16</v>
      </c>
      <c r="H1017" s="2">
        <f>SUM($G$2:G1017)</f>
        <v>8336</v>
      </c>
      <c r="I1017" s="10">
        <f t="shared" si="124"/>
        <v>45701.292268518519</v>
      </c>
      <c r="J1017" s="10">
        <f t="shared" si="125"/>
        <v>45701.292268518519</v>
      </c>
      <c r="K1017" s="3">
        <f t="shared" si="127"/>
        <v>7477</v>
      </c>
      <c r="L1017">
        <f t="shared" si="120"/>
        <v>14.84166667</v>
      </c>
      <c r="M1017">
        <f t="shared" si="126"/>
        <v>53.430000012000001</v>
      </c>
    </row>
    <row r="1018" spans="1:13" x14ac:dyDescent="0.25">
      <c r="A1018" s="9">
        <f>Speed!A1018</f>
        <v>45701.292280092595</v>
      </c>
      <c r="B1018" s="9">
        <f t="shared" si="121"/>
        <v>45701.292280092588</v>
      </c>
      <c r="C1018" s="2">
        <f>Speed!B1018</f>
        <v>15.747222219999999</v>
      </c>
      <c r="D1018" s="9">
        <f>Odometer!A1018</f>
        <v>45701.293344907404</v>
      </c>
      <c r="E1018" s="9">
        <f t="shared" si="122"/>
        <v>45701.293344907404</v>
      </c>
      <c r="F1018" s="2">
        <f>Odometer!B1018</f>
        <v>428758234</v>
      </c>
      <c r="G1018" s="2">
        <f t="shared" si="123"/>
        <v>1</v>
      </c>
      <c r="H1018" s="2">
        <f>SUM($G$2:G1018)</f>
        <v>8337</v>
      </c>
      <c r="I1018" s="10">
        <f t="shared" si="124"/>
        <v>45701.292280092595</v>
      </c>
      <c r="J1018" s="10">
        <f t="shared" si="125"/>
        <v>45701.292280092588</v>
      </c>
      <c r="K1018" s="3">
        <f t="shared" si="127"/>
        <v>7492</v>
      </c>
      <c r="L1018">
        <f t="shared" si="120"/>
        <v>15.747222219999999</v>
      </c>
      <c r="M1018">
        <f t="shared" si="126"/>
        <v>56.689999991999997</v>
      </c>
    </row>
    <row r="1019" spans="1:13" x14ac:dyDescent="0.25">
      <c r="A1019" s="9">
        <f>Speed!A1019</f>
        <v>45701.292291666665</v>
      </c>
      <c r="B1019" s="9">
        <f t="shared" si="121"/>
        <v>45701.292291666665</v>
      </c>
      <c r="C1019" s="2">
        <f>Speed!B1019</f>
        <v>16.27222222</v>
      </c>
      <c r="D1019" s="9">
        <f>Odometer!A1019</f>
        <v>45701.293356481481</v>
      </c>
      <c r="E1019" s="9">
        <f t="shared" si="122"/>
        <v>45701.293356481481</v>
      </c>
      <c r="F1019" s="2">
        <f>Odometer!B1019</f>
        <v>428758235</v>
      </c>
      <c r="G1019" s="2">
        <f t="shared" si="123"/>
        <v>16</v>
      </c>
      <c r="H1019" s="2">
        <f>SUM($G$2:G1019)</f>
        <v>8353</v>
      </c>
      <c r="I1019" s="10">
        <f t="shared" si="124"/>
        <v>45701.292291666665</v>
      </c>
      <c r="J1019" s="10">
        <f t="shared" si="125"/>
        <v>45701.292291666665</v>
      </c>
      <c r="K1019" s="3">
        <f t="shared" si="127"/>
        <v>7510</v>
      </c>
      <c r="L1019">
        <f t="shared" si="120"/>
        <v>16.27222222</v>
      </c>
      <c r="M1019">
        <f t="shared" si="126"/>
        <v>58.579999991999998</v>
      </c>
    </row>
    <row r="1020" spans="1:13" x14ac:dyDescent="0.25">
      <c r="A1020" s="9">
        <f>Speed!A1020</f>
        <v>45701.292303240742</v>
      </c>
      <c r="B1020" s="9">
        <f t="shared" si="121"/>
        <v>45701.292303240742</v>
      </c>
      <c r="C1020" s="2">
        <f>Speed!B1020</f>
        <v>16.483333330000001</v>
      </c>
      <c r="D1020" s="9">
        <f>Odometer!A1020</f>
        <v>45701.293368055558</v>
      </c>
      <c r="E1020" s="9">
        <f t="shared" si="122"/>
        <v>45701.293368055551</v>
      </c>
      <c r="F1020" s="2">
        <f>Odometer!B1020</f>
        <v>428758251</v>
      </c>
      <c r="G1020" s="2">
        <f t="shared" si="123"/>
        <v>18</v>
      </c>
      <c r="H1020" s="2">
        <f>SUM($G$2:G1020)</f>
        <v>8371</v>
      </c>
      <c r="I1020" s="10">
        <f t="shared" si="124"/>
        <v>45701.292303240742</v>
      </c>
      <c r="J1020" s="10">
        <f t="shared" si="125"/>
        <v>45701.292303240742</v>
      </c>
      <c r="K1020" s="3">
        <f t="shared" si="127"/>
        <v>7527</v>
      </c>
      <c r="L1020">
        <f t="shared" si="120"/>
        <v>16.483333330000001</v>
      </c>
      <c r="M1020">
        <f t="shared" si="126"/>
        <v>59.339999988000002</v>
      </c>
    </row>
    <row r="1021" spans="1:13" x14ac:dyDescent="0.25">
      <c r="A1021" s="9">
        <f>Speed!A1021</f>
        <v>45701.292314814818</v>
      </c>
      <c r="B1021" s="9">
        <f t="shared" si="121"/>
        <v>45701.292314814811</v>
      </c>
      <c r="C1021" s="2">
        <f>Speed!B1021</f>
        <v>16.494444439999999</v>
      </c>
      <c r="D1021" s="9">
        <f>Odometer!A1021</f>
        <v>45701.293379629627</v>
      </c>
      <c r="E1021" s="9">
        <f t="shared" si="122"/>
        <v>45701.293379629627</v>
      </c>
      <c r="F1021" s="2">
        <f>Odometer!B1021</f>
        <v>428758269</v>
      </c>
      <c r="G1021" s="2">
        <f t="shared" si="123"/>
        <v>18</v>
      </c>
      <c r="H1021" s="2">
        <f>SUM($G$2:G1021)</f>
        <v>8389</v>
      </c>
      <c r="I1021" s="10">
        <f t="shared" si="124"/>
        <v>45701.292314814818</v>
      </c>
      <c r="J1021" s="10">
        <f t="shared" si="125"/>
        <v>45701.292314814811</v>
      </c>
      <c r="K1021" s="3">
        <f t="shared" si="127"/>
        <v>7542</v>
      </c>
      <c r="L1021">
        <f t="shared" si="120"/>
        <v>16.494444439999999</v>
      </c>
      <c r="M1021">
        <f t="shared" si="126"/>
        <v>59.379999983999994</v>
      </c>
    </row>
    <row r="1022" spans="1:13" x14ac:dyDescent="0.25">
      <c r="A1022" s="9">
        <f>Speed!A1022</f>
        <v>45701.292326388888</v>
      </c>
      <c r="B1022" s="9">
        <f t="shared" si="121"/>
        <v>45701.292326388888</v>
      </c>
      <c r="C1022" s="2">
        <f>Speed!B1022</f>
        <v>16.46944444</v>
      </c>
      <c r="D1022" s="9">
        <f>Odometer!A1022</f>
        <v>45701.293391203704</v>
      </c>
      <c r="E1022" s="9">
        <f t="shared" si="122"/>
        <v>45701.293391203704</v>
      </c>
      <c r="F1022" s="2">
        <f>Odometer!B1022</f>
        <v>428758287</v>
      </c>
      <c r="G1022" s="2">
        <f t="shared" si="123"/>
        <v>16</v>
      </c>
      <c r="H1022" s="2">
        <f>SUM($G$2:G1022)</f>
        <v>8405</v>
      </c>
      <c r="I1022" s="10">
        <f t="shared" si="124"/>
        <v>45701.292326388888</v>
      </c>
      <c r="J1022" s="10">
        <f t="shared" si="125"/>
        <v>45701.292326388888</v>
      </c>
      <c r="K1022" s="3">
        <f t="shared" si="127"/>
        <v>7559</v>
      </c>
      <c r="L1022">
        <f t="shared" si="120"/>
        <v>16.46944444</v>
      </c>
      <c r="M1022">
        <f t="shared" si="126"/>
        <v>59.289999984000005</v>
      </c>
    </row>
    <row r="1023" spans="1:13" x14ac:dyDescent="0.25">
      <c r="A1023" s="9">
        <f>Speed!A1023</f>
        <v>45701.292337962965</v>
      </c>
      <c r="B1023" s="9">
        <f t="shared" si="121"/>
        <v>45701.292337962957</v>
      </c>
      <c r="C1023" s="2">
        <f>Speed!B1023</f>
        <v>16.42777778</v>
      </c>
      <c r="D1023" s="9">
        <f>Odometer!A1023</f>
        <v>45701.293391203704</v>
      </c>
      <c r="E1023" s="9">
        <f t="shared" si="122"/>
        <v>45701.293391203704</v>
      </c>
      <c r="F1023" s="2">
        <f>Odometer!B1023</f>
        <v>428758303</v>
      </c>
      <c r="G1023" s="2">
        <f t="shared" si="123"/>
        <v>1</v>
      </c>
      <c r="H1023" s="2">
        <f>SUM($G$2:G1023)</f>
        <v>8406</v>
      </c>
      <c r="I1023" s="10">
        <f t="shared" si="124"/>
        <v>45701.292337962965</v>
      </c>
      <c r="J1023" s="10">
        <f t="shared" si="125"/>
        <v>45701.292337962957</v>
      </c>
      <c r="K1023" s="3">
        <f t="shared" si="127"/>
        <v>7573</v>
      </c>
      <c r="L1023">
        <f t="shared" si="120"/>
        <v>16.42777778</v>
      </c>
      <c r="M1023">
        <f t="shared" si="126"/>
        <v>59.140000008000001</v>
      </c>
    </row>
    <row r="1024" spans="1:13" x14ac:dyDescent="0.25">
      <c r="A1024" s="9">
        <f>Speed!A1024</f>
        <v>45701.292337962965</v>
      </c>
      <c r="B1024" s="9">
        <f t="shared" si="121"/>
        <v>45701.292337962957</v>
      </c>
      <c r="C1024" s="2">
        <f>Speed!B1024</f>
        <v>16.38888889</v>
      </c>
      <c r="D1024" s="9">
        <f>Odometer!A1024</f>
        <v>45701.293402777781</v>
      </c>
      <c r="E1024" s="9">
        <f t="shared" si="122"/>
        <v>45701.293402777774</v>
      </c>
      <c r="F1024" s="2">
        <f>Odometer!B1024</f>
        <v>428758304</v>
      </c>
      <c r="G1024" s="2">
        <f t="shared" si="123"/>
        <v>18</v>
      </c>
      <c r="H1024" s="2">
        <f>SUM($G$2:G1024)</f>
        <v>8424</v>
      </c>
      <c r="I1024" s="10">
        <f t="shared" si="124"/>
        <v>45701.292337962965</v>
      </c>
      <c r="J1024" s="10">
        <f t="shared" si="125"/>
        <v>45701.292337962957</v>
      </c>
      <c r="K1024" s="3">
        <f t="shared" si="127"/>
        <v>7573</v>
      </c>
      <c r="L1024">
        <f t="shared" si="120"/>
        <v>16.42777778</v>
      </c>
      <c r="M1024">
        <f t="shared" si="126"/>
        <v>59.140000008000001</v>
      </c>
    </row>
    <row r="1025" spans="1:13" x14ac:dyDescent="0.25">
      <c r="A1025" s="9">
        <f>Speed!A1025</f>
        <v>45701.292349537034</v>
      </c>
      <c r="B1025" s="9">
        <f t="shared" si="121"/>
        <v>45701.292349537034</v>
      </c>
      <c r="C1025" s="2">
        <f>Speed!B1025</f>
        <v>16.383333329999999</v>
      </c>
      <c r="D1025" s="9">
        <f>Odometer!A1025</f>
        <v>45701.293414351851</v>
      </c>
      <c r="E1025" s="9">
        <f t="shared" si="122"/>
        <v>45701.293414351851</v>
      </c>
      <c r="F1025" s="2">
        <f>Odometer!B1025</f>
        <v>428758322</v>
      </c>
      <c r="G1025" s="2">
        <f t="shared" si="123"/>
        <v>1</v>
      </c>
      <c r="H1025" s="2">
        <f>SUM($G$2:G1025)</f>
        <v>8425</v>
      </c>
      <c r="I1025" s="10">
        <f t="shared" si="124"/>
        <v>45701.292349537034</v>
      </c>
      <c r="J1025" s="10">
        <f t="shared" si="125"/>
        <v>45701.292349537034</v>
      </c>
      <c r="K1025" s="3">
        <f t="shared" si="127"/>
        <v>7584</v>
      </c>
      <c r="L1025">
        <f t="shared" si="120"/>
        <v>16.383333329999999</v>
      </c>
      <c r="M1025">
        <f t="shared" si="126"/>
        <v>58.979999987999996</v>
      </c>
    </row>
    <row r="1026" spans="1:13" x14ac:dyDescent="0.25">
      <c r="A1026" s="9">
        <f>Speed!A1026</f>
        <v>45701.292349537034</v>
      </c>
      <c r="B1026" s="9">
        <f t="shared" si="121"/>
        <v>45701.292349537034</v>
      </c>
      <c r="C1026" s="2">
        <f>Speed!B1026</f>
        <v>16.355555559999999</v>
      </c>
      <c r="D1026" s="9">
        <f>Odometer!A1026</f>
        <v>45701.293414351851</v>
      </c>
      <c r="E1026" s="9">
        <f t="shared" si="122"/>
        <v>45701.293414351851</v>
      </c>
      <c r="F1026" s="2">
        <f>Odometer!B1026</f>
        <v>428758323</v>
      </c>
      <c r="G1026" s="2">
        <f t="shared" si="123"/>
        <v>20</v>
      </c>
      <c r="H1026" s="2">
        <f>SUM($G$2:G1026)</f>
        <v>8445</v>
      </c>
      <c r="I1026" s="10">
        <f t="shared" si="124"/>
        <v>45701.292349537034</v>
      </c>
      <c r="J1026" s="10">
        <f t="shared" si="125"/>
        <v>45701.292349537034</v>
      </c>
      <c r="K1026" s="3">
        <f t="shared" si="127"/>
        <v>7584</v>
      </c>
      <c r="L1026">
        <f t="shared" ref="L1026:L1089" si="128">INDEX($C$2:$C$2000, MATCH(I1026,$A$2:$A$2000,0))</f>
        <v>16.383333329999999</v>
      </c>
      <c r="M1026">
        <f t="shared" si="126"/>
        <v>58.979999987999996</v>
      </c>
    </row>
    <row r="1027" spans="1:13" x14ac:dyDescent="0.25">
      <c r="A1027" s="9">
        <f>Speed!A1027</f>
        <v>45701.292361111111</v>
      </c>
      <c r="B1027" s="9">
        <f t="shared" ref="B1027:B1090" si="129">MROUND(A1027,"00:00:01")</f>
        <v>45701.292361111111</v>
      </c>
      <c r="C1027" s="2">
        <f>Speed!B1027</f>
        <v>16.3</v>
      </c>
      <c r="D1027" s="9">
        <f>Odometer!A1027</f>
        <v>45701.293425925927</v>
      </c>
      <c r="E1027" s="9">
        <f t="shared" ref="E1027:E1090" si="130">MROUND(D1027,"00:00:01")</f>
        <v>45701.29342592592</v>
      </c>
      <c r="F1027" s="2">
        <f>Odometer!B1027</f>
        <v>428758343</v>
      </c>
      <c r="G1027" s="2">
        <f t="shared" ref="G1027:G1090" si="131">IF(F1028-F1027&lt;0,0,F1028-F1027)</f>
        <v>17</v>
      </c>
      <c r="H1027" s="2">
        <f>SUM($G$2:G1027)</f>
        <v>8462</v>
      </c>
      <c r="I1027" s="10">
        <f t="shared" ref="I1027:I1090" si="132">A1027</f>
        <v>45701.292361111111</v>
      </c>
      <c r="J1027" s="10">
        <f t="shared" ref="J1027:J1090" si="133">MROUND(I1027,"0:00:01")</f>
        <v>45701.292361111111</v>
      </c>
      <c r="K1027" s="3">
        <f t="shared" si="127"/>
        <v>7591</v>
      </c>
      <c r="L1027">
        <f t="shared" si="128"/>
        <v>16.3</v>
      </c>
      <c r="M1027">
        <f t="shared" ref="M1027:M1090" si="134">L1027*3.6</f>
        <v>58.680000000000007</v>
      </c>
    </row>
    <row r="1028" spans="1:13" x14ac:dyDescent="0.25">
      <c r="A1028" s="9">
        <f>Speed!A1028</f>
        <v>45701.292361111111</v>
      </c>
      <c r="B1028" s="9">
        <f t="shared" si="129"/>
        <v>45701.292361111111</v>
      </c>
      <c r="C1028" s="2">
        <f>Speed!B1028</f>
        <v>16.277777780000001</v>
      </c>
      <c r="D1028" s="9">
        <f>Odometer!A1028</f>
        <v>45701.293437499997</v>
      </c>
      <c r="E1028" s="9">
        <f t="shared" si="130"/>
        <v>45701.293437499997</v>
      </c>
      <c r="F1028" s="2">
        <f>Odometer!B1028</f>
        <v>428758360</v>
      </c>
      <c r="G1028" s="2">
        <f t="shared" si="131"/>
        <v>19</v>
      </c>
      <c r="H1028" s="2">
        <f>SUM($G$2:G1028)</f>
        <v>8481</v>
      </c>
      <c r="I1028" s="10">
        <f t="shared" si="132"/>
        <v>45701.292361111111</v>
      </c>
      <c r="J1028" s="10">
        <f t="shared" si="133"/>
        <v>45701.292361111111</v>
      </c>
      <c r="K1028" s="3">
        <f t="shared" ref="K1028:K1091" si="135">IFERROR(INDEX($H$2:$H$2000,MATCH(J1028,$E$2:$E$2000,0)),NA())</f>
        <v>7591</v>
      </c>
      <c r="L1028">
        <f t="shared" si="128"/>
        <v>16.3</v>
      </c>
      <c r="M1028">
        <f t="shared" si="134"/>
        <v>58.680000000000007</v>
      </c>
    </row>
    <row r="1029" spans="1:13" x14ac:dyDescent="0.25">
      <c r="A1029" s="9">
        <f>Speed!A1029</f>
        <v>45701.292372685188</v>
      </c>
      <c r="B1029" s="9">
        <f t="shared" si="129"/>
        <v>45701.29237268518</v>
      </c>
      <c r="C1029" s="2">
        <f>Speed!B1029</f>
        <v>15.98611111</v>
      </c>
      <c r="D1029" s="9">
        <f>Odometer!A1029</f>
        <v>45701.293449074074</v>
      </c>
      <c r="E1029" s="9">
        <f t="shared" si="130"/>
        <v>45701.293449074074</v>
      </c>
      <c r="F1029" s="2">
        <f>Odometer!B1029</f>
        <v>428758379</v>
      </c>
      <c r="G1029" s="2">
        <f t="shared" si="131"/>
        <v>17</v>
      </c>
      <c r="H1029" s="2">
        <f>SUM($G$2:G1029)</f>
        <v>8498</v>
      </c>
      <c r="I1029" s="10">
        <f t="shared" si="132"/>
        <v>45701.292372685188</v>
      </c>
      <c r="J1029" s="10">
        <f t="shared" si="133"/>
        <v>45701.29237268518</v>
      </c>
      <c r="K1029" s="3">
        <f t="shared" si="135"/>
        <v>7608</v>
      </c>
      <c r="L1029">
        <f t="shared" si="128"/>
        <v>15.98611111</v>
      </c>
      <c r="M1029">
        <f t="shared" si="134"/>
        <v>57.549999995999997</v>
      </c>
    </row>
    <row r="1030" spans="1:13" x14ac:dyDescent="0.25">
      <c r="A1030" s="9">
        <f>Speed!A1030</f>
        <v>45701.292372685188</v>
      </c>
      <c r="B1030" s="9">
        <f t="shared" si="129"/>
        <v>45701.29237268518</v>
      </c>
      <c r="C1030" s="2">
        <f>Speed!B1030</f>
        <v>15.97777778</v>
      </c>
      <c r="D1030" s="9">
        <f>Odometer!A1030</f>
        <v>45701.293449074074</v>
      </c>
      <c r="E1030" s="9">
        <f t="shared" si="130"/>
        <v>45701.293449074074</v>
      </c>
      <c r="F1030" s="2">
        <f>Odometer!B1030</f>
        <v>428758396</v>
      </c>
      <c r="G1030" s="2">
        <f t="shared" si="131"/>
        <v>1</v>
      </c>
      <c r="H1030" s="2">
        <f>SUM($G$2:G1030)</f>
        <v>8499</v>
      </c>
      <c r="I1030" s="10">
        <f t="shared" si="132"/>
        <v>45701.292372685188</v>
      </c>
      <c r="J1030" s="10">
        <f t="shared" si="133"/>
        <v>45701.29237268518</v>
      </c>
      <c r="K1030" s="3">
        <f t="shared" si="135"/>
        <v>7608</v>
      </c>
      <c r="L1030">
        <f t="shared" si="128"/>
        <v>15.98611111</v>
      </c>
      <c r="M1030">
        <f t="shared" si="134"/>
        <v>57.549999995999997</v>
      </c>
    </row>
    <row r="1031" spans="1:13" x14ac:dyDescent="0.25">
      <c r="A1031" s="9">
        <f>Speed!A1031</f>
        <v>45701.292384259257</v>
      </c>
      <c r="B1031" s="9">
        <f t="shared" si="129"/>
        <v>45701.292384259257</v>
      </c>
      <c r="C1031" s="2">
        <f>Speed!B1031</f>
        <v>15.722222220000001</v>
      </c>
      <c r="D1031" s="9">
        <f>Odometer!A1031</f>
        <v>45701.29346064815</v>
      </c>
      <c r="E1031" s="9">
        <f t="shared" si="130"/>
        <v>45701.293460648143</v>
      </c>
      <c r="F1031" s="2">
        <f>Odometer!B1031</f>
        <v>428758397</v>
      </c>
      <c r="G1031" s="2">
        <f t="shared" si="131"/>
        <v>18</v>
      </c>
      <c r="H1031" s="2">
        <f>SUM($G$2:G1031)</f>
        <v>8517</v>
      </c>
      <c r="I1031" s="10">
        <f t="shared" si="132"/>
        <v>45701.292384259257</v>
      </c>
      <c r="J1031" s="10">
        <f t="shared" si="133"/>
        <v>45701.292384259257</v>
      </c>
      <c r="K1031" s="3">
        <f t="shared" si="135"/>
        <v>7638</v>
      </c>
      <c r="L1031">
        <f t="shared" si="128"/>
        <v>15.722222220000001</v>
      </c>
      <c r="M1031">
        <f t="shared" si="134"/>
        <v>56.599999992000001</v>
      </c>
    </row>
    <row r="1032" spans="1:13" x14ac:dyDescent="0.25">
      <c r="A1032" s="9">
        <f>Speed!A1032</f>
        <v>45701.292395833334</v>
      </c>
      <c r="B1032" s="9">
        <f t="shared" si="129"/>
        <v>45701.292395833334</v>
      </c>
      <c r="C1032" s="2">
        <f>Speed!B1032</f>
        <v>15.605555560000001</v>
      </c>
      <c r="D1032" s="9">
        <f>Odometer!A1032</f>
        <v>45701.29346064815</v>
      </c>
      <c r="E1032" s="9">
        <f t="shared" si="130"/>
        <v>45701.293460648143</v>
      </c>
      <c r="F1032" s="2">
        <f>Odometer!B1032</f>
        <v>428758415</v>
      </c>
      <c r="G1032" s="2">
        <f t="shared" si="131"/>
        <v>18</v>
      </c>
      <c r="H1032" s="2">
        <f>SUM($G$2:G1032)</f>
        <v>8535</v>
      </c>
      <c r="I1032" s="10">
        <f t="shared" si="132"/>
        <v>45701.292395833334</v>
      </c>
      <c r="J1032" s="10">
        <f t="shared" si="133"/>
        <v>45701.292395833334</v>
      </c>
      <c r="K1032" s="3">
        <f t="shared" si="135"/>
        <v>7655</v>
      </c>
      <c r="L1032">
        <f t="shared" si="128"/>
        <v>15.605555560000001</v>
      </c>
      <c r="M1032">
        <f t="shared" si="134"/>
        <v>56.180000016000001</v>
      </c>
    </row>
    <row r="1033" spans="1:13" x14ac:dyDescent="0.25">
      <c r="A1033" s="9">
        <f>Speed!A1033</f>
        <v>45701.292407407411</v>
      </c>
      <c r="B1033" s="9">
        <f t="shared" si="129"/>
        <v>45701.292407407404</v>
      </c>
      <c r="C1033" s="2">
        <f>Speed!B1033</f>
        <v>15.11111111</v>
      </c>
      <c r="D1033" s="9">
        <f>Odometer!A1033</f>
        <v>45701.29347222222</v>
      </c>
      <c r="E1033" s="9">
        <f t="shared" si="130"/>
        <v>45701.29347222222</v>
      </c>
      <c r="F1033" s="2">
        <f>Odometer!B1033</f>
        <v>428758433</v>
      </c>
      <c r="G1033" s="2">
        <f t="shared" si="131"/>
        <v>4</v>
      </c>
      <c r="H1033" s="2">
        <f>SUM($G$2:G1033)</f>
        <v>8539</v>
      </c>
      <c r="I1033" s="10">
        <f t="shared" si="132"/>
        <v>45701.292407407411</v>
      </c>
      <c r="J1033" s="10">
        <f t="shared" si="133"/>
        <v>45701.292407407404</v>
      </c>
      <c r="K1033" s="3">
        <f t="shared" si="135"/>
        <v>7668</v>
      </c>
      <c r="L1033">
        <f t="shared" si="128"/>
        <v>15.11111111</v>
      </c>
      <c r="M1033">
        <f t="shared" si="134"/>
        <v>54.399999995999998</v>
      </c>
    </row>
    <row r="1034" spans="1:13" x14ac:dyDescent="0.25">
      <c r="A1034" s="9">
        <f>Speed!A1034</f>
        <v>45701.29241898148</v>
      </c>
      <c r="B1034" s="9">
        <f t="shared" si="129"/>
        <v>45701.29241898148</v>
      </c>
      <c r="C1034" s="2">
        <f>Speed!B1034</f>
        <v>14.59166667</v>
      </c>
      <c r="D1034" s="9">
        <f>Odometer!A1034</f>
        <v>45701.293483796297</v>
      </c>
      <c r="E1034" s="9">
        <f t="shared" si="130"/>
        <v>45701.293483796297</v>
      </c>
      <c r="F1034" s="2">
        <f>Odometer!B1034</f>
        <v>428758437</v>
      </c>
      <c r="G1034" s="2">
        <f t="shared" si="131"/>
        <v>16</v>
      </c>
      <c r="H1034" s="2">
        <f>SUM($G$2:G1034)</f>
        <v>8555</v>
      </c>
      <c r="I1034" s="10">
        <f t="shared" si="132"/>
        <v>45701.29241898148</v>
      </c>
      <c r="J1034" s="10">
        <f t="shared" si="133"/>
        <v>45701.29241898148</v>
      </c>
      <c r="K1034" s="3">
        <f t="shared" si="135"/>
        <v>7683</v>
      </c>
      <c r="L1034">
        <f t="shared" si="128"/>
        <v>14.59166667</v>
      </c>
      <c r="M1034">
        <f t="shared" si="134"/>
        <v>52.530000012000002</v>
      </c>
    </row>
    <row r="1035" spans="1:13" x14ac:dyDescent="0.25">
      <c r="A1035" s="9">
        <f>Speed!A1035</f>
        <v>45701.292430555557</v>
      </c>
      <c r="B1035" s="9">
        <f t="shared" si="129"/>
        <v>45701.29243055555</v>
      </c>
      <c r="C1035" s="2">
        <f>Speed!B1035</f>
        <v>13.730555560000001</v>
      </c>
      <c r="D1035" s="9">
        <f>Odometer!A1035</f>
        <v>45701.293495370373</v>
      </c>
      <c r="E1035" s="9">
        <f t="shared" si="130"/>
        <v>45701.293495370366</v>
      </c>
      <c r="F1035" s="2">
        <f>Odometer!B1035</f>
        <v>428758453</v>
      </c>
      <c r="G1035" s="2">
        <f t="shared" si="131"/>
        <v>1</v>
      </c>
      <c r="H1035" s="2">
        <f>SUM($G$2:G1035)</f>
        <v>8556</v>
      </c>
      <c r="I1035" s="10">
        <f t="shared" si="132"/>
        <v>45701.292430555557</v>
      </c>
      <c r="J1035" s="10">
        <f t="shared" si="133"/>
        <v>45701.29243055555</v>
      </c>
      <c r="K1035" s="3">
        <f t="shared" si="135"/>
        <v>7696</v>
      </c>
      <c r="L1035">
        <f t="shared" si="128"/>
        <v>13.730555560000001</v>
      </c>
      <c r="M1035">
        <f t="shared" si="134"/>
        <v>49.430000016000001</v>
      </c>
    </row>
    <row r="1036" spans="1:13" x14ac:dyDescent="0.25">
      <c r="A1036" s="9">
        <f>Speed!A1036</f>
        <v>45701.292430555557</v>
      </c>
      <c r="B1036" s="9">
        <f t="shared" si="129"/>
        <v>45701.29243055555</v>
      </c>
      <c r="C1036" s="2">
        <f>Speed!B1036</f>
        <v>13.68055556</v>
      </c>
      <c r="D1036" s="9">
        <f>Odometer!A1036</f>
        <v>45701.293495370373</v>
      </c>
      <c r="E1036" s="9">
        <f t="shared" si="130"/>
        <v>45701.293495370366</v>
      </c>
      <c r="F1036" s="2">
        <f>Odometer!B1036</f>
        <v>428758454</v>
      </c>
      <c r="G1036" s="2">
        <f t="shared" si="131"/>
        <v>12</v>
      </c>
      <c r="H1036" s="2">
        <f>SUM($G$2:G1036)</f>
        <v>8568</v>
      </c>
      <c r="I1036" s="10">
        <f t="shared" si="132"/>
        <v>45701.292430555557</v>
      </c>
      <c r="J1036" s="10">
        <f t="shared" si="133"/>
        <v>45701.29243055555</v>
      </c>
      <c r="K1036" s="3">
        <f t="shared" si="135"/>
        <v>7696</v>
      </c>
      <c r="L1036">
        <f t="shared" si="128"/>
        <v>13.730555560000001</v>
      </c>
      <c r="M1036">
        <f t="shared" si="134"/>
        <v>49.430000016000001</v>
      </c>
    </row>
    <row r="1037" spans="1:13" x14ac:dyDescent="0.25">
      <c r="A1037" s="9">
        <f>Speed!A1037</f>
        <v>45701.292442129627</v>
      </c>
      <c r="B1037" s="9">
        <f t="shared" si="129"/>
        <v>45701.292442129627</v>
      </c>
      <c r="C1037" s="2">
        <f>Speed!B1037</f>
        <v>12.71944444</v>
      </c>
      <c r="D1037" s="9">
        <f>Odometer!A1037</f>
        <v>45701.293506944443</v>
      </c>
      <c r="E1037" s="9">
        <f t="shared" si="130"/>
        <v>45701.293506944443</v>
      </c>
      <c r="F1037" s="2">
        <f>Odometer!B1037</f>
        <v>428758466</v>
      </c>
      <c r="G1037" s="2">
        <f t="shared" si="131"/>
        <v>7</v>
      </c>
      <c r="H1037" s="2">
        <f>SUM($G$2:G1037)</f>
        <v>8575</v>
      </c>
      <c r="I1037" s="10">
        <f t="shared" si="132"/>
        <v>45701.292442129627</v>
      </c>
      <c r="J1037" s="10">
        <f t="shared" si="133"/>
        <v>45701.292442129627</v>
      </c>
      <c r="K1037" s="3">
        <f t="shared" si="135"/>
        <v>7705</v>
      </c>
      <c r="L1037">
        <f t="shared" si="128"/>
        <v>12.71944444</v>
      </c>
      <c r="M1037">
        <f t="shared" si="134"/>
        <v>45.789999984000005</v>
      </c>
    </row>
    <row r="1038" spans="1:13" x14ac:dyDescent="0.25">
      <c r="A1038" s="9">
        <f>Speed!A1038</f>
        <v>45701.292442129627</v>
      </c>
      <c r="B1038" s="9">
        <f t="shared" si="129"/>
        <v>45701.292442129627</v>
      </c>
      <c r="C1038" s="2">
        <f>Speed!B1038</f>
        <v>12.061111110000001</v>
      </c>
      <c r="D1038" s="9">
        <f>Odometer!A1038</f>
        <v>45701.293506944443</v>
      </c>
      <c r="E1038" s="9">
        <f t="shared" si="130"/>
        <v>45701.293506944443</v>
      </c>
      <c r="F1038" s="2">
        <f>Odometer!B1038</f>
        <v>428758473</v>
      </c>
      <c r="G1038" s="2">
        <f t="shared" si="131"/>
        <v>19</v>
      </c>
      <c r="H1038" s="2">
        <f>SUM($G$2:G1038)</f>
        <v>8594</v>
      </c>
      <c r="I1038" s="10">
        <f t="shared" si="132"/>
        <v>45701.292442129627</v>
      </c>
      <c r="J1038" s="10">
        <f t="shared" si="133"/>
        <v>45701.292442129627</v>
      </c>
      <c r="K1038" s="3">
        <f t="shared" si="135"/>
        <v>7705</v>
      </c>
      <c r="L1038">
        <f t="shared" si="128"/>
        <v>12.71944444</v>
      </c>
      <c r="M1038">
        <f t="shared" si="134"/>
        <v>45.789999984000005</v>
      </c>
    </row>
    <row r="1039" spans="1:13" x14ac:dyDescent="0.25">
      <c r="A1039" s="9">
        <f>Speed!A1039</f>
        <v>45701.292453703703</v>
      </c>
      <c r="B1039" s="9">
        <f t="shared" si="129"/>
        <v>45701.292453703703</v>
      </c>
      <c r="C1039" s="2">
        <f>Speed!B1039</f>
        <v>11.85</v>
      </c>
      <c r="D1039" s="9">
        <f>Odometer!A1039</f>
        <v>45701.293506944443</v>
      </c>
      <c r="E1039" s="9">
        <f t="shared" si="130"/>
        <v>45701.293506944443</v>
      </c>
      <c r="F1039" s="2">
        <f>Odometer!B1039</f>
        <v>428758492</v>
      </c>
      <c r="G1039" s="2">
        <f t="shared" si="131"/>
        <v>17</v>
      </c>
      <c r="H1039" s="2">
        <f>SUM($G$2:G1039)</f>
        <v>8611</v>
      </c>
      <c r="I1039" s="10">
        <f t="shared" si="132"/>
        <v>45701.292453703703</v>
      </c>
      <c r="J1039" s="10">
        <f t="shared" si="133"/>
        <v>45701.292453703703</v>
      </c>
      <c r="K1039" s="3">
        <f t="shared" si="135"/>
        <v>7710</v>
      </c>
      <c r="L1039">
        <f t="shared" si="128"/>
        <v>11.85</v>
      </c>
      <c r="M1039">
        <f t="shared" si="134"/>
        <v>42.66</v>
      </c>
    </row>
    <row r="1040" spans="1:13" x14ac:dyDescent="0.25">
      <c r="A1040" s="9">
        <f>Speed!A1040</f>
        <v>45701.292453703703</v>
      </c>
      <c r="B1040" s="9">
        <f t="shared" si="129"/>
        <v>45701.292453703703</v>
      </c>
      <c r="C1040" s="2">
        <f>Speed!B1040</f>
        <v>11.78333333</v>
      </c>
      <c r="D1040" s="9">
        <f>Odometer!A1040</f>
        <v>45701.293530092589</v>
      </c>
      <c r="E1040" s="9">
        <f t="shared" si="130"/>
        <v>45701.293530092589</v>
      </c>
      <c r="F1040" s="2">
        <f>Odometer!B1040</f>
        <v>428758509</v>
      </c>
      <c r="G1040" s="2">
        <f t="shared" si="131"/>
        <v>19</v>
      </c>
      <c r="H1040" s="2">
        <f>SUM($G$2:G1040)</f>
        <v>8630</v>
      </c>
      <c r="I1040" s="10">
        <f t="shared" si="132"/>
        <v>45701.292453703703</v>
      </c>
      <c r="J1040" s="10">
        <f t="shared" si="133"/>
        <v>45701.292453703703</v>
      </c>
      <c r="K1040" s="3">
        <f t="shared" si="135"/>
        <v>7710</v>
      </c>
      <c r="L1040">
        <f t="shared" si="128"/>
        <v>11.85</v>
      </c>
      <c r="M1040">
        <f t="shared" si="134"/>
        <v>42.66</v>
      </c>
    </row>
    <row r="1041" spans="1:13" x14ac:dyDescent="0.25">
      <c r="A1041" s="9">
        <f>Speed!A1041</f>
        <v>45701.29246527778</v>
      </c>
      <c r="B1041" s="9">
        <f t="shared" si="129"/>
        <v>45701.292465277773</v>
      </c>
      <c r="C1041" s="2">
        <f>Speed!B1041</f>
        <v>11.652777779999999</v>
      </c>
      <c r="D1041" s="9">
        <f>Odometer!A1041</f>
        <v>45701.293541666666</v>
      </c>
      <c r="E1041" s="9">
        <f t="shared" si="130"/>
        <v>45701.293541666666</v>
      </c>
      <c r="F1041" s="2">
        <f>Odometer!B1041</f>
        <v>428758528</v>
      </c>
      <c r="G1041" s="2">
        <f t="shared" si="131"/>
        <v>18</v>
      </c>
      <c r="H1041" s="2">
        <f>SUM($G$2:G1041)</f>
        <v>8648</v>
      </c>
      <c r="I1041" s="10">
        <f t="shared" si="132"/>
        <v>45701.29246527778</v>
      </c>
      <c r="J1041" s="10">
        <f t="shared" si="133"/>
        <v>45701.292465277773</v>
      </c>
      <c r="K1041" s="3">
        <f t="shared" si="135"/>
        <v>7731</v>
      </c>
      <c r="L1041">
        <f t="shared" si="128"/>
        <v>11.652777779999999</v>
      </c>
      <c r="M1041">
        <f t="shared" si="134"/>
        <v>41.950000007999996</v>
      </c>
    </row>
    <row r="1042" spans="1:13" x14ac:dyDescent="0.25">
      <c r="A1042" s="9">
        <f>Speed!A1042</f>
        <v>45701.29246527778</v>
      </c>
      <c r="B1042" s="9">
        <f t="shared" si="129"/>
        <v>45701.292465277773</v>
      </c>
      <c r="C1042" s="2">
        <f>Speed!B1042</f>
        <v>11.68333333</v>
      </c>
      <c r="D1042" s="9">
        <f>Odometer!A1042</f>
        <v>45701.293553240743</v>
      </c>
      <c r="E1042" s="9">
        <f t="shared" si="130"/>
        <v>45701.293553240735</v>
      </c>
      <c r="F1042" s="2">
        <f>Odometer!B1042</f>
        <v>428758546</v>
      </c>
      <c r="G1042" s="2">
        <f t="shared" si="131"/>
        <v>20</v>
      </c>
      <c r="H1042" s="2">
        <f>SUM($G$2:G1042)</f>
        <v>8668</v>
      </c>
      <c r="I1042" s="10">
        <f t="shared" si="132"/>
        <v>45701.29246527778</v>
      </c>
      <c r="J1042" s="10">
        <f t="shared" si="133"/>
        <v>45701.292465277773</v>
      </c>
      <c r="K1042" s="3">
        <f t="shared" si="135"/>
        <v>7731</v>
      </c>
      <c r="L1042">
        <f t="shared" si="128"/>
        <v>11.652777779999999</v>
      </c>
      <c r="M1042">
        <f t="shared" si="134"/>
        <v>41.950000007999996</v>
      </c>
    </row>
    <row r="1043" spans="1:13" x14ac:dyDescent="0.25">
      <c r="A1043" s="9">
        <f>Speed!A1043</f>
        <v>45701.292488425926</v>
      </c>
      <c r="B1043" s="9">
        <f t="shared" si="129"/>
        <v>45701.292488425926</v>
      </c>
      <c r="C1043" s="2">
        <f>Speed!B1043</f>
        <v>11.71388889</v>
      </c>
      <c r="D1043" s="9">
        <f>Odometer!A1043</f>
        <v>45701.293553240743</v>
      </c>
      <c r="E1043" s="9">
        <f t="shared" si="130"/>
        <v>45701.293553240735</v>
      </c>
      <c r="F1043" s="2">
        <f>Odometer!B1043</f>
        <v>428758566</v>
      </c>
      <c r="G1043" s="2">
        <f t="shared" si="131"/>
        <v>19</v>
      </c>
      <c r="H1043" s="2">
        <f>SUM($G$2:G1043)</f>
        <v>8687</v>
      </c>
      <c r="I1043" s="10">
        <f t="shared" si="132"/>
        <v>45701.292488425926</v>
      </c>
      <c r="J1043" s="10">
        <f t="shared" si="133"/>
        <v>45701.292488425926</v>
      </c>
      <c r="K1043" s="3">
        <f t="shared" si="135"/>
        <v>7755</v>
      </c>
      <c r="L1043">
        <f t="shared" si="128"/>
        <v>11.71388889</v>
      </c>
      <c r="M1043">
        <f t="shared" si="134"/>
        <v>42.170000004000002</v>
      </c>
    </row>
    <row r="1044" spans="1:13" x14ac:dyDescent="0.25">
      <c r="A1044" s="9">
        <f>Speed!A1044</f>
        <v>45701.292488425926</v>
      </c>
      <c r="B1044" s="9">
        <f t="shared" si="129"/>
        <v>45701.292488425926</v>
      </c>
      <c r="C1044" s="2">
        <f>Speed!B1044</f>
        <v>11.82222222</v>
      </c>
      <c r="D1044" s="9">
        <f>Odometer!A1044</f>
        <v>45701.293576388889</v>
      </c>
      <c r="E1044" s="9">
        <f t="shared" si="130"/>
        <v>45701.293576388889</v>
      </c>
      <c r="F1044" s="2">
        <f>Odometer!B1044</f>
        <v>428758585</v>
      </c>
      <c r="G1044" s="2">
        <f t="shared" si="131"/>
        <v>17</v>
      </c>
      <c r="H1044" s="2">
        <f>SUM($G$2:G1044)</f>
        <v>8704</v>
      </c>
      <c r="I1044" s="10">
        <f t="shared" si="132"/>
        <v>45701.292488425926</v>
      </c>
      <c r="J1044" s="10">
        <f t="shared" si="133"/>
        <v>45701.292488425926</v>
      </c>
      <c r="K1044" s="3">
        <f t="shared" si="135"/>
        <v>7755</v>
      </c>
      <c r="L1044">
        <f t="shared" si="128"/>
        <v>11.71388889</v>
      </c>
      <c r="M1044">
        <f t="shared" si="134"/>
        <v>42.170000004000002</v>
      </c>
    </row>
    <row r="1045" spans="1:13" x14ac:dyDescent="0.25">
      <c r="A1045" s="9">
        <f>Speed!A1045</f>
        <v>45701.292511574073</v>
      </c>
      <c r="B1045" s="9">
        <f t="shared" si="129"/>
        <v>45701.292511574073</v>
      </c>
      <c r="C1045" s="2">
        <f>Speed!B1045</f>
        <v>11.94166667</v>
      </c>
      <c r="D1045" s="9">
        <f>Odometer!A1045</f>
        <v>45701.293587962966</v>
      </c>
      <c r="E1045" s="9">
        <f t="shared" si="130"/>
        <v>45701.293587962959</v>
      </c>
      <c r="F1045" s="2">
        <f>Odometer!B1045</f>
        <v>428758602</v>
      </c>
      <c r="G1045" s="2">
        <f t="shared" si="131"/>
        <v>18</v>
      </c>
      <c r="H1045" s="2">
        <f>SUM($G$2:G1045)</f>
        <v>8722</v>
      </c>
      <c r="I1045" s="10">
        <f t="shared" si="132"/>
        <v>45701.292511574073</v>
      </c>
      <c r="J1045" s="10">
        <f t="shared" si="133"/>
        <v>45701.292511574073</v>
      </c>
      <c r="K1045" s="3">
        <f t="shared" si="135"/>
        <v>7780</v>
      </c>
      <c r="L1045">
        <f t="shared" si="128"/>
        <v>11.94166667</v>
      </c>
      <c r="M1045">
        <f t="shared" si="134"/>
        <v>42.990000012000003</v>
      </c>
    </row>
    <row r="1046" spans="1:13" x14ac:dyDescent="0.25">
      <c r="A1046" s="9">
        <f>Speed!A1046</f>
        <v>45701.292523148149</v>
      </c>
      <c r="B1046" s="9">
        <f t="shared" si="129"/>
        <v>45701.292523148149</v>
      </c>
      <c r="C1046" s="2">
        <f>Speed!B1046</f>
        <v>12.6</v>
      </c>
      <c r="D1046" s="9">
        <f>Odometer!A1046</f>
        <v>45701.293599537035</v>
      </c>
      <c r="E1046" s="9">
        <f t="shared" si="130"/>
        <v>45701.293599537035</v>
      </c>
      <c r="F1046" s="2">
        <f>Odometer!B1046</f>
        <v>428758620</v>
      </c>
      <c r="G1046" s="2">
        <f t="shared" si="131"/>
        <v>19</v>
      </c>
      <c r="H1046" s="2">
        <f>SUM($G$2:G1046)</f>
        <v>8741</v>
      </c>
      <c r="I1046" s="10">
        <f t="shared" si="132"/>
        <v>45701.292523148149</v>
      </c>
      <c r="J1046" s="10">
        <f t="shared" si="133"/>
        <v>45701.292523148149</v>
      </c>
      <c r="K1046" s="3">
        <f t="shared" si="135"/>
        <v>7793</v>
      </c>
      <c r="L1046">
        <f t="shared" si="128"/>
        <v>12.6</v>
      </c>
      <c r="M1046">
        <f t="shared" si="134"/>
        <v>45.36</v>
      </c>
    </row>
    <row r="1047" spans="1:13" x14ac:dyDescent="0.25">
      <c r="A1047" s="9">
        <f>Speed!A1047</f>
        <v>45701.292534722219</v>
      </c>
      <c r="B1047" s="9">
        <f t="shared" si="129"/>
        <v>45701.292534722219</v>
      </c>
      <c r="C1047" s="2">
        <f>Speed!B1047</f>
        <v>13.18333333</v>
      </c>
      <c r="D1047" s="9">
        <f>Odometer!A1047</f>
        <v>45701.293611111112</v>
      </c>
      <c r="E1047" s="9">
        <f t="shared" si="130"/>
        <v>45701.293611111112</v>
      </c>
      <c r="F1047" s="2">
        <f>Odometer!B1047</f>
        <v>428758639</v>
      </c>
      <c r="G1047" s="2">
        <f t="shared" si="131"/>
        <v>19</v>
      </c>
      <c r="H1047" s="2">
        <f>SUM($G$2:G1047)</f>
        <v>8760</v>
      </c>
      <c r="I1047" s="10">
        <f t="shared" si="132"/>
        <v>45701.292534722219</v>
      </c>
      <c r="J1047" s="10">
        <f t="shared" si="133"/>
        <v>45701.292534722219</v>
      </c>
      <c r="K1047" s="3">
        <f t="shared" si="135"/>
        <v>7805</v>
      </c>
      <c r="L1047">
        <f t="shared" si="128"/>
        <v>13.18333333</v>
      </c>
      <c r="M1047">
        <f t="shared" si="134"/>
        <v>47.459999988</v>
      </c>
    </row>
    <row r="1048" spans="1:13" x14ac:dyDescent="0.25">
      <c r="A1048" s="9">
        <f>Speed!A1048</f>
        <v>45701.292546296296</v>
      </c>
      <c r="B1048" s="9">
        <f t="shared" si="129"/>
        <v>45701.292546296296</v>
      </c>
      <c r="C1048" s="2">
        <f>Speed!B1048</f>
        <v>13.127777780000001</v>
      </c>
      <c r="D1048" s="9">
        <f>Odometer!A1048</f>
        <v>45701.293622685182</v>
      </c>
      <c r="E1048" s="9">
        <f t="shared" si="130"/>
        <v>45701.293622685182</v>
      </c>
      <c r="F1048" s="2">
        <f>Odometer!B1048</f>
        <v>428758658</v>
      </c>
      <c r="G1048" s="2">
        <f t="shared" si="131"/>
        <v>18</v>
      </c>
      <c r="H1048" s="2">
        <f>SUM($G$2:G1048)</f>
        <v>8778</v>
      </c>
      <c r="I1048" s="10">
        <f t="shared" si="132"/>
        <v>45701.292546296296</v>
      </c>
      <c r="J1048" s="10">
        <f t="shared" si="133"/>
        <v>45701.292546296296</v>
      </c>
      <c r="K1048" s="3">
        <f t="shared" si="135"/>
        <v>7806</v>
      </c>
      <c r="L1048">
        <f t="shared" si="128"/>
        <v>13.127777780000001</v>
      </c>
      <c r="M1048">
        <f t="shared" si="134"/>
        <v>47.260000008000006</v>
      </c>
    </row>
    <row r="1049" spans="1:13" x14ac:dyDescent="0.25">
      <c r="A1049" s="9">
        <f>Speed!A1049</f>
        <v>45701.292546296296</v>
      </c>
      <c r="B1049" s="9">
        <f t="shared" si="129"/>
        <v>45701.292546296296</v>
      </c>
      <c r="C1049" s="2">
        <f>Speed!B1049</f>
        <v>13.10277778</v>
      </c>
      <c r="D1049" s="9">
        <f>Odometer!A1049</f>
        <v>45701.293634259258</v>
      </c>
      <c r="E1049" s="9">
        <f t="shared" si="130"/>
        <v>45701.293634259258</v>
      </c>
      <c r="F1049" s="2">
        <f>Odometer!B1049</f>
        <v>428758676</v>
      </c>
      <c r="G1049" s="2">
        <f t="shared" si="131"/>
        <v>16</v>
      </c>
      <c r="H1049" s="2">
        <f>SUM($G$2:G1049)</f>
        <v>8794</v>
      </c>
      <c r="I1049" s="10">
        <f t="shared" si="132"/>
        <v>45701.292546296296</v>
      </c>
      <c r="J1049" s="10">
        <f t="shared" si="133"/>
        <v>45701.292546296296</v>
      </c>
      <c r="K1049" s="3">
        <f t="shared" si="135"/>
        <v>7806</v>
      </c>
      <c r="L1049">
        <f t="shared" si="128"/>
        <v>13.127777780000001</v>
      </c>
      <c r="M1049">
        <f t="shared" si="134"/>
        <v>47.260000008000006</v>
      </c>
    </row>
    <row r="1050" spans="1:13" x14ac:dyDescent="0.25">
      <c r="A1050" s="9">
        <f>Speed!A1050</f>
        <v>45701.292557870373</v>
      </c>
      <c r="B1050" s="9">
        <f t="shared" si="129"/>
        <v>45701.292557870365</v>
      </c>
      <c r="C1050" s="2">
        <f>Speed!B1050</f>
        <v>13.29722222</v>
      </c>
      <c r="D1050" s="9">
        <f>Odometer!A1050</f>
        <v>45701.293645833335</v>
      </c>
      <c r="E1050" s="9">
        <f t="shared" si="130"/>
        <v>45701.293645833328</v>
      </c>
      <c r="F1050" s="2">
        <f>Odometer!B1050</f>
        <v>428758692</v>
      </c>
      <c r="G1050" s="2">
        <f t="shared" si="131"/>
        <v>5</v>
      </c>
      <c r="H1050" s="2">
        <f>SUM($G$2:G1050)</f>
        <v>8799</v>
      </c>
      <c r="I1050" s="10">
        <f t="shared" si="132"/>
        <v>45701.292557870373</v>
      </c>
      <c r="J1050" s="10">
        <f t="shared" si="133"/>
        <v>45701.292557870365</v>
      </c>
      <c r="K1050" s="3">
        <f t="shared" si="135"/>
        <v>7831</v>
      </c>
      <c r="L1050">
        <f t="shared" si="128"/>
        <v>13.29722222</v>
      </c>
      <c r="M1050">
        <f t="shared" si="134"/>
        <v>47.869999992000004</v>
      </c>
    </row>
    <row r="1051" spans="1:13" x14ac:dyDescent="0.25">
      <c r="A1051" s="9">
        <f>Speed!A1051</f>
        <v>45701.292569444442</v>
      </c>
      <c r="B1051" s="9">
        <f t="shared" si="129"/>
        <v>45701.292569444442</v>
      </c>
      <c r="C1051" s="2">
        <f>Speed!B1051</f>
        <v>14.10277778</v>
      </c>
      <c r="D1051" s="9">
        <f>Odometer!A1051</f>
        <v>45701.293645833335</v>
      </c>
      <c r="E1051" s="9">
        <f t="shared" si="130"/>
        <v>45701.293645833328</v>
      </c>
      <c r="F1051" s="2">
        <f>Odometer!B1051</f>
        <v>428758697</v>
      </c>
      <c r="G1051" s="2">
        <f t="shared" si="131"/>
        <v>13</v>
      </c>
      <c r="H1051" s="2">
        <f>SUM($G$2:G1051)</f>
        <v>8812</v>
      </c>
      <c r="I1051" s="10">
        <f t="shared" si="132"/>
        <v>45701.292569444442</v>
      </c>
      <c r="J1051" s="10">
        <f t="shared" si="133"/>
        <v>45701.292569444442</v>
      </c>
      <c r="K1051" s="3">
        <f t="shared" si="135"/>
        <v>7847</v>
      </c>
      <c r="L1051">
        <f t="shared" si="128"/>
        <v>14.10277778</v>
      </c>
      <c r="M1051">
        <f t="shared" si="134"/>
        <v>50.770000008000004</v>
      </c>
    </row>
    <row r="1052" spans="1:13" x14ac:dyDescent="0.25">
      <c r="A1052" s="9">
        <f>Speed!A1052</f>
        <v>45701.292581018519</v>
      </c>
      <c r="B1052" s="9">
        <f t="shared" si="129"/>
        <v>45701.292581018519</v>
      </c>
      <c r="C1052" s="2">
        <f>Speed!B1052</f>
        <v>14.92777778</v>
      </c>
      <c r="D1052" s="9">
        <f>Odometer!A1052</f>
        <v>45701.293657407405</v>
      </c>
      <c r="E1052" s="9">
        <f t="shared" si="130"/>
        <v>45701.293657407405</v>
      </c>
      <c r="F1052" s="2">
        <f>Odometer!B1052</f>
        <v>428758710</v>
      </c>
      <c r="G1052" s="2">
        <f t="shared" si="131"/>
        <v>17</v>
      </c>
      <c r="H1052" s="2">
        <f>SUM($G$2:G1052)</f>
        <v>8829</v>
      </c>
      <c r="I1052" s="10">
        <f t="shared" si="132"/>
        <v>45701.292581018519</v>
      </c>
      <c r="J1052" s="10">
        <f t="shared" si="133"/>
        <v>45701.292581018519</v>
      </c>
      <c r="K1052" s="3">
        <f t="shared" si="135"/>
        <v>7862</v>
      </c>
      <c r="L1052">
        <f t="shared" si="128"/>
        <v>14.92777778</v>
      </c>
      <c r="M1052">
        <f t="shared" si="134"/>
        <v>53.740000008000003</v>
      </c>
    </row>
    <row r="1053" spans="1:13" x14ac:dyDescent="0.25">
      <c r="A1053" s="9">
        <f>Speed!A1053</f>
        <v>45701.292592592596</v>
      </c>
      <c r="B1053" s="9">
        <f t="shared" si="129"/>
        <v>45701.292592592588</v>
      </c>
      <c r="C1053" s="2">
        <f>Speed!B1053</f>
        <v>15.324999999999999</v>
      </c>
      <c r="D1053" s="9">
        <f>Odometer!A1053</f>
        <v>45701.293668981481</v>
      </c>
      <c r="E1053" s="9">
        <f t="shared" si="130"/>
        <v>45701.293668981481</v>
      </c>
      <c r="F1053" s="2">
        <f>Odometer!B1053</f>
        <v>428758727</v>
      </c>
      <c r="G1053" s="2">
        <f t="shared" si="131"/>
        <v>2</v>
      </c>
      <c r="H1053" s="2">
        <f>SUM($G$2:G1053)</f>
        <v>8831</v>
      </c>
      <c r="I1053" s="10">
        <f t="shared" si="132"/>
        <v>45701.292592592596</v>
      </c>
      <c r="J1053" s="10">
        <f t="shared" si="133"/>
        <v>45701.292592592588</v>
      </c>
      <c r="K1053" s="3">
        <f t="shared" si="135"/>
        <v>7876</v>
      </c>
      <c r="L1053">
        <f t="shared" si="128"/>
        <v>15.324999999999999</v>
      </c>
      <c r="M1053">
        <f t="shared" si="134"/>
        <v>55.17</v>
      </c>
    </row>
    <row r="1054" spans="1:13" x14ac:dyDescent="0.25">
      <c r="A1054" s="9">
        <f>Speed!A1054</f>
        <v>45701.292604166665</v>
      </c>
      <c r="B1054" s="9">
        <f t="shared" si="129"/>
        <v>45701.292604166665</v>
      </c>
      <c r="C1054" s="2">
        <f>Speed!B1054</f>
        <v>15.53333333</v>
      </c>
      <c r="D1054" s="9">
        <f>Odometer!A1054</f>
        <v>45701.293668981481</v>
      </c>
      <c r="E1054" s="9">
        <f t="shared" si="130"/>
        <v>45701.293668981481</v>
      </c>
      <c r="F1054" s="2">
        <f>Odometer!B1054</f>
        <v>428758729</v>
      </c>
      <c r="G1054" s="2">
        <f t="shared" si="131"/>
        <v>16</v>
      </c>
      <c r="H1054" s="2">
        <f>SUM($G$2:G1054)</f>
        <v>8847</v>
      </c>
      <c r="I1054" s="10">
        <f t="shared" si="132"/>
        <v>45701.292604166665</v>
      </c>
      <c r="J1054" s="10">
        <f t="shared" si="133"/>
        <v>45701.292604166665</v>
      </c>
      <c r="K1054" s="3">
        <f t="shared" si="135"/>
        <v>7892</v>
      </c>
      <c r="L1054">
        <f t="shared" si="128"/>
        <v>15.53333333</v>
      </c>
      <c r="M1054">
        <f t="shared" si="134"/>
        <v>55.919999988000001</v>
      </c>
    </row>
    <row r="1055" spans="1:13" x14ac:dyDescent="0.25">
      <c r="A1055" s="9">
        <f>Speed!A1055</f>
        <v>45701.292615740742</v>
      </c>
      <c r="B1055" s="9">
        <f t="shared" si="129"/>
        <v>45701.292615740742</v>
      </c>
      <c r="C1055" s="2">
        <f>Speed!B1055</f>
        <v>15.71388889</v>
      </c>
      <c r="D1055" s="9">
        <f>Odometer!A1055</f>
        <v>45701.293680555558</v>
      </c>
      <c r="E1055" s="9">
        <f t="shared" si="130"/>
        <v>45701.293680555551</v>
      </c>
      <c r="F1055" s="2">
        <f>Odometer!B1055</f>
        <v>428758745</v>
      </c>
      <c r="G1055" s="2">
        <f t="shared" si="131"/>
        <v>17</v>
      </c>
      <c r="H1055" s="2">
        <f>SUM($G$2:G1055)</f>
        <v>8864</v>
      </c>
      <c r="I1055" s="10">
        <f t="shared" si="132"/>
        <v>45701.292615740742</v>
      </c>
      <c r="J1055" s="10">
        <f t="shared" si="133"/>
        <v>45701.292615740742</v>
      </c>
      <c r="K1055" s="3">
        <f t="shared" si="135"/>
        <v>7909</v>
      </c>
      <c r="L1055">
        <f t="shared" si="128"/>
        <v>15.71388889</v>
      </c>
      <c r="M1055">
        <f t="shared" si="134"/>
        <v>56.570000004000001</v>
      </c>
    </row>
    <row r="1056" spans="1:13" x14ac:dyDescent="0.25">
      <c r="A1056" s="9">
        <f>Speed!A1056</f>
        <v>45701.292627314811</v>
      </c>
      <c r="B1056" s="9">
        <f t="shared" si="129"/>
        <v>45701.292627314811</v>
      </c>
      <c r="C1056" s="2">
        <f>Speed!B1056</f>
        <v>15.811111110000001</v>
      </c>
      <c r="D1056" s="9">
        <f>Odometer!A1056</f>
        <v>45701.293692129628</v>
      </c>
      <c r="E1056" s="9">
        <f t="shared" si="130"/>
        <v>45701.293692129628</v>
      </c>
      <c r="F1056" s="2">
        <f>Odometer!B1056</f>
        <v>428758762</v>
      </c>
      <c r="G1056" s="2">
        <f t="shared" si="131"/>
        <v>15</v>
      </c>
      <c r="H1056" s="2">
        <f>SUM($G$2:G1056)</f>
        <v>8879</v>
      </c>
      <c r="I1056" s="10">
        <f t="shared" si="132"/>
        <v>45701.292627314811</v>
      </c>
      <c r="J1056" s="10">
        <f t="shared" si="133"/>
        <v>45701.292627314811</v>
      </c>
      <c r="K1056" s="3">
        <f t="shared" si="135"/>
        <v>7924</v>
      </c>
      <c r="L1056">
        <f t="shared" si="128"/>
        <v>15.811111110000001</v>
      </c>
      <c r="M1056">
        <f t="shared" si="134"/>
        <v>56.919999996000001</v>
      </c>
    </row>
    <row r="1057" spans="1:13" x14ac:dyDescent="0.25">
      <c r="A1057" s="9">
        <f>Speed!A1057</f>
        <v>45701.292638888888</v>
      </c>
      <c r="B1057" s="9">
        <f t="shared" si="129"/>
        <v>45701.292638888888</v>
      </c>
      <c r="C1057" s="2">
        <f>Speed!B1057</f>
        <v>15.902777779999999</v>
      </c>
      <c r="D1057" s="9">
        <f>Odometer!A1057</f>
        <v>45701.293703703705</v>
      </c>
      <c r="E1057" s="9">
        <f t="shared" si="130"/>
        <v>45701.293703703705</v>
      </c>
      <c r="F1057" s="2">
        <f>Odometer!B1057</f>
        <v>428758777</v>
      </c>
      <c r="G1057" s="2">
        <f t="shared" si="131"/>
        <v>8</v>
      </c>
      <c r="H1057" s="2">
        <f>SUM($G$2:G1057)</f>
        <v>8887</v>
      </c>
      <c r="I1057" s="10">
        <f t="shared" si="132"/>
        <v>45701.292638888888</v>
      </c>
      <c r="J1057" s="10">
        <f t="shared" si="133"/>
        <v>45701.292638888888</v>
      </c>
      <c r="K1057" s="3">
        <f t="shared" si="135"/>
        <v>7941</v>
      </c>
      <c r="L1057">
        <f t="shared" si="128"/>
        <v>15.902777779999999</v>
      </c>
      <c r="M1057">
        <f t="shared" si="134"/>
        <v>57.250000008000001</v>
      </c>
    </row>
    <row r="1058" spans="1:13" x14ac:dyDescent="0.25">
      <c r="A1058" s="9">
        <f>Speed!A1058</f>
        <v>45701.292650462965</v>
      </c>
      <c r="B1058" s="9">
        <f t="shared" si="129"/>
        <v>45701.292650462958</v>
      </c>
      <c r="C1058" s="2">
        <f>Speed!B1058</f>
        <v>15.96944444</v>
      </c>
      <c r="D1058" s="9">
        <f>Odometer!A1058</f>
        <v>45701.293703703705</v>
      </c>
      <c r="E1058" s="9">
        <f t="shared" si="130"/>
        <v>45701.293703703705</v>
      </c>
      <c r="F1058" s="2">
        <f>Odometer!B1058</f>
        <v>428758785</v>
      </c>
      <c r="G1058" s="2">
        <f t="shared" si="131"/>
        <v>4</v>
      </c>
      <c r="H1058" s="2">
        <f>SUM($G$2:G1058)</f>
        <v>8891</v>
      </c>
      <c r="I1058" s="10">
        <f t="shared" si="132"/>
        <v>45701.292650462965</v>
      </c>
      <c r="J1058" s="10">
        <f t="shared" si="133"/>
        <v>45701.292650462958</v>
      </c>
      <c r="K1058" s="3">
        <f t="shared" si="135"/>
        <v>7955</v>
      </c>
      <c r="L1058">
        <f t="shared" si="128"/>
        <v>15.96944444</v>
      </c>
      <c r="M1058">
        <f t="shared" si="134"/>
        <v>57.489999984000001</v>
      </c>
    </row>
    <row r="1059" spans="1:13" x14ac:dyDescent="0.25">
      <c r="A1059" s="9">
        <f>Speed!A1059</f>
        <v>45701.292662037034</v>
      </c>
      <c r="B1059" s="9">
        <f t="shared" si="129"/>
        <v>45701.292662037034</v>
      </c>
      <c r="C1059" s="2">
        <f>Speed!B1059</f>
        <v>15.777777779999999</v>
      </c>
      <c r="D1059" s="9">
        <f>Odometer!A1059</f>
        <v>45701.293703703705</v>
      </c>
      <c r="E1059" s="9">
        <f t="shared" si="130"/>
        <v>45701.293703703705</v>
      </c>
      <c r="F1059" s="2">
        <f>Odometer!B1059</f>
        <v>428758789</v>
      </c>
      <c r="G1059" s="2">
        <f t="shared" si="131"/>
        <v>4</v>
      </c>
      <c r="H1059" s="2">
        <f>SUM($G$2:G1059)</f>
        <v>8895</v>
      </c>
      <c r="I1059" s="10">
        <f t="shared" si="132"/>
        <v>45701.292662037034</v>
      </c>
      <c r="J1059" s="10">
        <f t="shared" si="133"/>
        <v>45701.292662037034</v>
      </c>
      <c r="K1059" s="3">
        <f t="shared" si="135"/>
        <v>7972</v>
      </c>
      <c r="L1059">
        <f t="shared" si="128"/>
        <v>15.777777779999999</v>
      </c>
      <c r="M1059">
        <f t="shared" si="134"/>
        <v>56.800000007999998</v>
      </c>
    </row>
    <row r="1060" spans="1:13" x14ac:dyDescent="0.25">
      <c r="A1060" s="9">
        <f>Speed!A1060</f>
        <v>45701.292673611111</v>
      </c>
      <c r="B1060" s="9">
        <f t="shared" si="129"/>
        <v>45701.292673611111</v>
      </c>
      <c r="C1060" s="2">
        <f>Speed!B1060</f>
        <v>15.497222219999999</v>
      </c>
      <c r="D1060" s="9">
        <f>Odometer!A1060</f>
        <v>45701.293715277781</v>
      </c>
      <c r="E1060" s="9">
        <f t="shared" si="130"/>
        <v>45701.293715277774</v>
      </c>
      <c r="F1060" s="2">
        <f>Odometer!B1060</f>
        <v>428758793</v>
      </c>
      <c r="G1060" s="2">
        <f t="shared" si="131"/>
        <v>16</v>
      </c>
      <c r="H1060" s="2">
        <f>SUM($G$2:G1060)</f>
        <v>8911</v>
      </c>
      <c r="I1060" s="10">
        <f t="shared" si="132"/>
        <v>45701.292673611111</v>
      </c>
      <c r="J1060" s="10">
        <f t="shared" si="133"/>
        <v>45701.292673611111</v>
      </c>
      <c r="K1060" s="3">
        <f t="shared" si="135"/>
        <v>7987</v>
      </c>
      <c r="L1060">
        <f t="shared" si="128"/>
        <v>15.497222219999999</v>
      </c>
      <c r="M1060">
        <f t="shared" si="134"/>
        <v>55.789999991999998</v>
      </c>
    </row>
    <row r="1061" spans="1:13" x14ac:dyDescent="0.25">
      <c r="A1061" s="9">
        <f>Speed!A1061</f>
        <v>45701.292685185188</v>
      </c>
      <c r="B1061" s="9">
        <f t="shared" si="129"/>
        <v>45701.292685185181</v>
      </c>
      <c r="C1061" s="2">
        <f>Speed!B1061</f>
        <v>15.230555560000001</v>
      </c>
      <c r="D1061" s="9">
        <f>Odometer!A1061</f>
        <v>45701.293726851851</v>
      </c>
      <c r="E1061" s="9">
        <f t="shared" si="130"/>
        <v>45701.293726851851</v>
      </c>
      <c r="F1061" s="2">
        <f>Odometer!B1061</f>
        <v>428758809</v>
      </c>
      <c r="G1061" s="2">
        <f t="shared" si="131"/>
        <v>1</v>
      </c>
      <c r="H1061" s="2">
        <f>SUM($G$2:G1061)</f>
        <v>8912</v>
      </c>
      <c r="I1061" s="10">
        <f t="shared" si="132"/>
        <v>45701.292685185188</v>
      </c>
      <c r="J1061" s="10">
        <f t="shared" si="133"/>
        <v>45701.292685185181</v>
      </c>
      <c r="K1061" s="3">
        <f t="shared" si="135"/>
        <v>8002</v>
      </c>
      <c r="L1061">
        <f t="shared" si="128"/>
        <v>15.230555560000001</v>
      </c>
      <c r="M1061">
        <f t="shared" si="134"/>
        <v>54.830000016000007</v>
      </c>
    </row>
    <row r="1062" spans="1:13" x14ac:dyDescent="0.25">
      <c r="A1062" s="9">
        <f>Speed!A1062</f>
        <v>45701.292696759258</v>
      </c>
      <c r="B1062" s="9">
        <f t="shared" si="129"/>
        <v>45701.292696759258</v>
      </c>
      <c r="C1062" s="2">
        <f>Speed!B1062</f>
        <v>15.04166667</v>
      </c>
      <c r="D1062" s="9">
        <f>Odometer!A1062</f>
        <v>45701.293726851851</v>
      </c>
      <c r="E1062" s="9">
        <f t="shared" si="130"/>
        <v>45701.293726851851</v>
      </c>
      <c r="F1062" s="2">
        <f>Odometer!B1062</f>
        <v>428758810</v>
      </c>
      <c r="G1062" s="2">
        <f t="shared" si="131"/>
        <v>15</v>
      </c>
      <c r="H1062" s="2">
        <f>SUM($G$2:G1062)</f>
        <v>8927</v>
      </c>
      <c r="I1062" s="10">
        <f t="shared" si="132"/>
        <v>45701.292696759258</v>
      </c>
      <c r="J1062" s="10">
        <f t="shared" si="133"/>
        <v>45701.292696759258</v>
      </c>
      <c r="K1062" s="3">
        <f t="shared" si="135"/>
        <v>8018</v>
      </c>
      <c r="L1062">
        <f t="shared" si="128"/>
        <v>15.04166667</v>
      </c>
      <c r="M1062">
        <f t="shared" si="134"/>
        <v>54.150000012</v>
      </c>
    </row>
    <row r="1063" spans="1:13" x14ac:dyDescent="0.25">
      <c r="A1063" s="9">
        <f>Speed!A1063</f>
        <v>45701.292708333334</v>
      </c>
      <c r="B1063" s="9">
        <f t="shared" si="129"/>
        <v>45701.292708333334</v>
      </c>
      <c r="C1063" s="2">
        <f>Speed!B1063</f>
        <v>14.80833333</v>
      </c>
      <c r="D1063" s="9">
        <f>Odometer!A1063</f>
        <v>45701.293738425928</v>
      </c>
      <c r="E1063" s="9">
        <f t="shared" si="130"/>
        <v>45701.29373842592</v>
      </c>
      <c r="F1063" s="2">
        <f>Odometer!B1063</f>
        <v>428758825</v>
      </c>
      <c r="G1063" s="2">
        <f t="shared" si="131"/>
        <v>4</v>
      </c>
      <c r="H1063" s="2">
        <f>SUM($G$2:G1063)</f>
        <v>8931</v>
      </c>
      <c r="I1063" s="10">
        <f t="shared" si="132"/>
        <v>45701.292708333334</v>
      </c>
      <c r="J1063" s="10">
        <f t="shared" si="133"/>
        <v>45701.292708333334</v>
      </c>
      <c r="K1063" s="3">
        <f t="shared" si="135"/>
        <v>8033</v>
      </c>
      <c r="L1063">
        <f t="shared" si="128"/>
        <v>14.80833333</v>
      </c>
      <c r="M1063">
        <f t="shared" si="134"/>
        <v>53.309999988000001</v>
      </c>
    </row>
    <row r="1064" spans="1:13" x14ac:dyDescent="0.25">
      <c r="A1064" s="9">
        <f>Speed!A1064</f>
        <v>45701.292708333334</v>
      </c>
      <c r="B1064" s="9">
        <f t="shared" si="129"/>
        <v>45701.292708333334</v>
      </c>
      <c r="C1064" s="2">
        <f>Speed!B1064</f>
        <v>14.68333333</v>
      </c>
      <c r="D1064" s="9">
        <f>Odometer!A1064</f>
        <v>45701.293738425928</v>
      </c>
      <c r="E1064" s="9">
        <f t="shared" si="130"/>
        <v>45701.29373842592</v>
      </c>
      <c r="F1064" s="2">
        <f>Odometer!B1064</f>
        <v>428758829</v>
      </c>
      <c r="G1064" s="2">
        <f t="shared" si="131"/>
        <v>11</v>
      </c>
      <c r="H1064" s="2">
        <f>SUM($G$2:G1064)</f>
        <v>8942</v>
      </c>
      <c r="I1064" s="10">
        <f t="shared" si="132"/>
        <v>45701.292708333334</v>
      </c>
      <c r="J1064" s="10">
        <f t="shared" si="133"/>
        <v>45701.292708333334</v>
      </c>
      <c r="K1064" s="3">
        <f t="shared" si="135"/>
        <v>8033</v>
      </c>
      <c r="L1064">
        <f t="shared" si="128"/>
        <v>14.80833333</v>
      </c>
      <c r="M1064">
        <f t="shared" si="134"/>
        <v>53.309999988000001</v>
      </c>
    </row>
    <row r="1065" spans="1:13" x14ac:dyDescent="0.25">
      <c r="A1065" s="9">
        <f>Speed!A1065</f>
        <v>45701.292719907404</v>
      </c>
      <c r="B1065" s="9">
        <f t="shared" si="129"/>
        <v>45701.292719907404</v>
      </c>
      <c r="C1065" s="2">
        <f>Speed!B1065</f>
        <v>14.675000000000001</v>
      </c>
      <c r="D1065" s="9">
        <f>Odometer!A1065</f>
        <v>45701.293749999997</v>
      </c>
      <c r="E1065" s="9">
        <f t="shared" si="130"/>
        <v>45701.293749999997</v>
      </c>
      <c r="F1065" s="2">
        <f>Odometer!B1065</f>
        <v>428758840</v>
      </c>
      <c r="G1065" s="2">
        <f t="shared" si="131"/>
        <v>15</v>
      </c>
      <c r="H1065" s="2">
        <f>SUM($G$2:G1065)</f>
        <v>8957</v>
      </c>
      <c r="I1065" s="10">
        <f t="shared" si="132"/>
        <v>45701.292719907404</v>
      </c>
      <c r="J1065" s="10">
        <f t="shared" si="133"/>
        <v>45701.292719907404</v>
      </c>
      <c r="K1065" s="3" t="e">
        <f t="shared" si="135"/>
        <v>#N/A</v>
      </c>
      <c r="L1065">
        <f t="shared" si="128"/>
        <v>14.675000000000001</v>
      </c>
      <c r="M1065">
        <f t="shared" si="134"/>
        <v>52.830000000000005</v>
      </c>
    </row>
    <row r="1066" spans="1:13" x14ac:dyDescent="0.25">
      <c r="A1066" s="9">
        <f>Speed!A1066</f>
        <v>45701.292731481481</v>
      </c>
      <c r="B1066" s="9">
        <f t="shared" si="129"/>
        <v>45701.292731481481</v>
      </c>
      <c r="C1066" s="2">
        <f>Speed!B1066</f>
        <v>14.42222222</v>
      </c>
      <c r="D1066" s="9">
        <f>Odometer!A1066</f>
        <v>45701.293761574074</v>
      </c>
      <c r="E1066" s="9">
        <f t="shared" si="130"/>
        <v>45701.293761574074</v>
      </c>
      <c r="F1066" s="2">
        <f>Odometer!B1066</f>
        <v>428758855</v>
      </c>
      <c r="G1066" s="2">
        <f t="shared" si="131"/>
        <v>13</v>
      </c>
      <c r="H1066" s="2">
        <f>SUM($G$2:G1066)</f>
        <v>8970</v>
      </c>
      <c r="I1066" s="10">
        <f t="shared" si="132"/>
        <v>45701.292731481481</v>
      </c>
      <c r="J1066" s="10">
        <f t="shared" si="133"/>
        <v>45701.292731481481</v>
      </c>
      <c r="K1066" s="3">
        <f t="shared" si="135"/>
        <v>8053</v>
      </c>
      <c r="L1066">
        <f t="shared" si="128"/>
        <v>14.42222222</v>
      </c>
      <c r="M1066">
        <f t="shared" si="134"/>
        <v>51.919999992000001</v>
      </c>
    </row>
    <row r="1067" spans="1:13" x14ac:dyDescent="0.25">
      <c r="A1067" s="9">
        <f>Speed!A1067</f>
        <v>45701.292731481481</v>
      </c>
      <c r="B1067" s="9">
        <f t="shared" si="129"/>
        <v>45701.292731481481</v>
      </c>
      <c r="C1067" s="2">
        <f>Speed!B1067</f>
        <v>14.366666670000001</v>
      </c>
      <c r="D1067" s="9">
        <f>Odometer!A1067</f>
        <v>45701.293773148151</v>
      </c>
      <c r="E1067" s="9">
        <f t="shared" si="130"/>
        <v>45701.293773148143</v>
      </c>
      <c r="F1067" s="2">
        <f>Odometer!B1067</f>
        <v>428758868</v>
      </c>
      <c r="G1067" s="2">
        <f t="shared" si="131"/>
        <v>14</v>
      </c>
      <c r="H1067" s="2">
        <f>SUM($G$2:G1067)</f>
        <v>8984</v>
      </c>
      <c r="I1067" s="10">
        <f t="shared" si="132"/>
        <v>45701.292731481481</v>
      </c>
      <c r="J1067" s="10">
        <f t="shared" si="133"/>
        <v>45701.292731481481</v>
      </c>
      <c r="K1067" s="3">
        <f t="shared" si="135"/>
        <v>8053</v>
      </c>
      <c r="L1067">
        <f t="shared" si="128"/>
        <v>14.42222222</v>
      </c>
      <c r="M1067">
        <f t="shared" si="134"/>
        <v>51.919999992000001</v>
      </c>
    </row>
    <row r="1068" spans="1:13" x14ac:dyDescent="0.25">
      <c r="A1068" s="9">
        <f>Speed!A1068</f>
        <v>45701.292743055557</v>
      </c>
      <c r="B1068" s="9">
        <f t="shared" si="129"/>
        <v>45701.29274305555</v>
      </c>
      <c r="C1068" s="2">
        <f>Speed!B1068</f>
        <v>14.152777779999999</v>
      </c>
      <c r="D1068" s="9">
        <f>Odometer!A1068</f>
        <v>45701.29378472222</v>
      </c>
      <c r="E1068" s="9">
        <f t="shared" si="130"/>
        <v>45701.29378472222</v>
      </c>
      <c r="F1068" s="2">
        <f>Odometer!B1068</f>
        <v>428758882</v>
      </c>
      <c r="G1068" s="2">
        <f t="shared" si="131"/>
        <v>13</v>
      </c>
      <c r="H1068" s="2">
        <f>SUM($G$2:G1068)</f>
        <v>8997</v>
      </c>
      <c r="I1068" s="10">
        <f t="shared" si="132"/>
        <v>45701.292743055557</v>
      </c>
      <c r="J1068" s="10">
        <f t="shared" si="133"/>
        <v>45701.29274305555</v>
      </c>
      <c r="K1068" s="3">
        <f t="shared" si="135"/>
        <v>8075</v>
      </c>
      <c r="L1068">
        <f t="shared" si="128"/>
        <v>14.152777779999999</v>
      </c>
      <c r="M1068">
        <f t="shared" si="134"/>
        <v>50.950000007999996</v>
      </c>
    </row>
    <row r="1069" spans="1:13" x14ac:dyDescent="0.25">
      <c r="A1069" s="9">
        <f>Speed!A1069</f>
        <v>45701.292754629627</v>
      </c>
      <c r="B1069" s="9">
        <f t="shared" si="129"/>
        <v>45701.292754629627</v>
      </c>
      <c r="C1069" s="2">
        <f>Speed!B1069</f>
        <v>13.741666670000001</v>
      </c>
      <c r="D1069" s="9">
        <f>Odometer!A1069</f>
        <v>45701.293796296297</v>
      </c>
      <c r="E1069" s="9">
        <f t="shared" si="130"/>
        <v>45701.293796296297</v>
      </c>
      <c r="F1069" s="2">
        <f>Odometer!B1069</f>
        <v>428758895</v>
      </c>
      <c r="G1069" s="2">
        <f t="shared" si="131"/>
        <v>11</v>
      </c>
      <c r="H1069" s="2">
        <f>SUM($G$2:G1069)</f>
        <v>9008</v>
      </c>
      <c r="I1069" s="10">
        <f t="shared" si="132"/>
        <v>45701.292754629627</v>
      </c>
      <c r="J1069" s="10">
        <f t="shared" si="133"/>
        <v>45701.292754629627</v>
      </c>
      <c r="K1069" s="3">
        <f t="shared" si="135"/>
        <v>8089</v>
      </c>
      <c r="L1069">
        <f t="shared" si="128"/>
        <v>13.741666670000001</v>
      </c>
      <c r="M1069">
        <f t="shared" si="134"/>
        <v>49.470000012000007</v>
      </c>
    </row>
    <row r="1070" spans="1:13" x14ac:dyDescent="0.25">
      <c r="A1070" s="9">
        <f>Speed!A1070</f>
        <v>45701.292754629627</v>
      </c>
      <c r="B1070" s="9">
        <f t="shared" si="129"/>
        <v>45701.292754629627</v>
      </c>
      <c r="C1070" s="2">
        <f>Speed!B1070</f>
        <v>13.30833333</v>
      </c>
      <c r="D1070" s="9">
        <f>Odometer!A1070</f>
        <v>45701.293807870374</v>
      </c>
      <c r="E1070" s="9">
        <f t="shared" si="130"/>
        <v>45701.293807870366</v>
      </c>
      <c r="F1070" s="2">
        <f>Odometer!B1070</f>
        <v>428758906</v>
      </c>
      <c r="G1070" s="2">
        <f t="shared" si="131"/>
        <v>12</v>
      </c>
      <c r="H1070" s="2">
        <f>SUM($G$2:G1070)</f>
        <v>9020</v>
      </c>
      <c r="I1070" s="10">
        <f t="shared" si="132"/>
        <v>45701.292754629627</v>
      </c>
      <c r="J1070" s="10">
        <f t="shared" si="133"/>
        <v>45701.292754629627</v>
      </c>
      <c r="K1070" s="3">
        <f t="shared" si="135"/>
        <v>8089</v>
      </c>
      <c r="L1070">
        <f t="shared" si="128"/>
        <v>13.741666670000001</v>
      </c>
      <c r="M1070">
        <f t="shared" si="134"/>
        <v>49.470000012000007</v>
      </c>
    </row>
    <row r="1071" spans="1:13" x14ac:dyDescent="0.25">
      <c r="A1071" s="9">
        <f>Speed!A1071</f>
        <v>45701.29277777778</v>
      </c>
      <c r="B1071" s="9">
        <f t="shared" si="129"/>
        <v>45701.292777777773</v>
      </c>
      <c r="C1071" s="2">
        <f>Speed!B1071</f>
        <v>13.074999999999999</v>
      </c>
      <c r="D1071" s="9">
        <f>Odometer!A1071</f>
        <v>45701.293819444443</v>
      </c>
      <c r="E1071" s="9">
        <f t="shared" si="130"/>
        <v>45701.293819444443</v>
      </c>
      <c r="F1071" s="2">
        <f>Odometer!B1071</f>
        <v>428758918</v>
      </c>
      <c r="G1071" s="2">
        <f t="shared" si="131"/>
        <v>11</v>
      </c>
      <c r="H1071" s="2">
        <f>SUM($G$2:G1071)</f>
        <v>9031</v>
      </c>
      <c r="I1071" s="10">
        <f t="shared" si="132"/>
        <v>45701.29277777778</v>
      </c>
      <c r="J1071" s="10">
        <f t="shared" si="133"/>
        <v>45701.292777777773</v>
      </c>
      <c r="K1071" s="3">
        <f t="shared" si="135"/>
        <v>8102</v>
      </c>
      <c r="L1071">
        <f t="shared" si="128"/>
        <v>13.074999999999999</v>
      </c>
      <c r="M1071">
        <f t="shared" si="134"/>
        <v>47.07</v>
      </c>
    </row>
    <row r="1072" spans="1:13" x14ac:dyDescent="0.25">
      <c r="A1072" s="9">
        <f>Speed!A1072</f>
        <v>45701.29277777778</v>
      </c>
      <c r="B1072" s="9">
        <f t="shared" si="129"/>
        <v>45701.292777777773</v>
      </c>
      <c r="C1072" s="2">
        <f>Speed!B1072</f>
        <v>12.891666669999999</v>
      </c>
      <c r="D1072" s="9">
        <f>Odometer!A1072</f>
        <v>45701.29383101852</v>
      </c>
      <c r="E1072" s="9">
        <f t="shared" si="130"/>
        <v>45701.293831018513</v>
      </c>
      <c r="F1072" s="2">
        <f>Odometer!B1072</f>
        <v>428758929</v>
      </c>
      <c r="G1072" s="2">
        <f t="shared" si="131"/>
        <v>11</v>
      </c>
      <c r="H1072" s="2">
        <f>SUM($G$2:G1072)</f>
        <v>9042</v>
      </c>
      <c r="I1072" s="10">
        <f t="shared" si="132"/>
        <v>45701.29277777778</v>
      </c>
      <c r="J1072" s="10">
        <f t="shared" si="133"/>
        <v>45701.292777777773</v>
      </c>
      <c r="K1072" s="3">
        <f t="shared" si="135"/>
        <v>8102</v>
      </c>
      <c r="L1072">
        <f t="shared" si="128"/>
        <v>13.074999999999999</v>
      </c>
      <c r="M1072">
        <f t="shared" si="134"/>
        <v>47.07</v>
      </c>
    </row>
    <row r="1073" spans="1:13" x14ac:dyDescent="0.25">
      <c r="A1073" s="9">
        <f>Speed!A1073</f>
        <v>45701.29277777778</v>
      </c>
      <c r="B1073" s="9">
        <f t="shared" si="129"/>
        <v>45701.292777777773</v>
      </c>
      <c r="C1073" s="2">
        <f>Speed!B1073</f>
        <v>12.211111109999999</v>
      </c>
      <c r="D1073" s="9">
        <f>Odometer!A1073</f>
        <v>45701.293842592589</v>
      </c>
      <c r="E1073" s="9">
        <f t="shared" si="130"/>
        <v>45701.293842592589</v>
      </c>
      <c r="F1073" s="2">
        <f>Odometer!B1073</f>
        <v>428758940</v>
      </c>
      <c r="G1073" s="2">
        <f t="shared" si="131"/>
        <v>10</v>
      </c>
      <c r="H1073" s="2">
        <f>SUM($G$2:G1073)</f>
        <v>9052</v>
      </c>
      <c r="I1073" s="10">
        <f t="shared" si="132"/>
        <v>45701.29277777778</v>
      </c>
      <c r="J1073" s="10">
        <f t="shared" si="133"/>
        <v>45701.292777777773</v>
      </c>
      <c r="K1073" s="3">
        <f t="shared" si="135"/>
        <v>8102</v>
      </c>
      <c r="L1073">
        <f t="shared" si="128"/>
        <v>13.074999999999999</v>
      </c>
      <c r="M1073">
        <f t="shared" si="134"/>
        <v>47.07</v>
      </c>
    </row>
    <row r="1074" spans="1:13" x14ac:dyDescent="0.25">
      <c r="A1074" s="9">
        <f>Speed!A1074</f>
        <v>45701.29278935185</v>
      </c>
      <c r="B1074" s="9">
        <f t="shared" si="129"/>
        <v>45701.29278935185</v>
      </c>
      <c r="C1074" s="2">
        <f>Speed!B1074</f>
        <v>12.08333333</v>
      </c>
      <c r="D1074" s="9">
        <f>Odometer!A1074</f>
        <v>45701.293854166666</v>
      </c>
      <c r="E1074" s="9">
        <f t="shared" si="130"/>
        <v>45701.293854166666</v>
      </c>
      <c r="F1074" s="2">
        <f>Odometer!B1074</f>
        <v>428758950</v>
      </c>
      <c r="G1074" s="2">
        <f t="shared" si="131"/>
        <v>10</v>
      </c>
      <c r="H1074" s="2">
        <f>SUM($G$2:G1074)</f>
        <v>9062</v>
      </c>
      <c r="I1074" s="10">
        <f t="shared" si="132"/>
        <v>45701.29278935185</v>
      </c>
      <c r="J1074" s="10">
        <f t="shared" si="133"/>
        <v>45701.29278935185</v>
      </c>
      <c r="K1074" s="3">
        <f t="shared" si="135"/>
        <v>8125</v>
      </c>
      <c r="L1074">
        <f t="shared" si="128"/>
        <v>12.08333333</v>
      </c>
      <c r="M1074">
        <f t="shared" si="134"/>
        <v>43.499999987999999</v>
      </c>
    </row>
    <row r="1075" spans="1:13" x14ac:dyDescent="0.25">
      <c r="A1075" s="9">
        <f>Speed!A1075</f>
        <v>45701.292800925927</v>
      </c>
      <c r="B1075" s="9">
        <f t="shared" si="129"/>
        <v>45701.292800925927</v>
      </c>
      <c r="C1075" s="2">
        <f>Speed!B1075</f>
        <v>11.205555560000001</v>
      </c>
      <c r="D1075" s="9">
        <f>Odometer!A1075</f>
        <v>45701.293865740743</v>
      </c>
      <c r="E1075" s="9">
        <f t="shared" si="130"/>
        <v>45701.293865740736</v>
      </c>
      <c r="F1075" s="2">
        <f>Odometer!B1075</f>
        <v>428758960</v>
      </c>
      <c r="G1075" s="2">
        <f t="shared" si="131"/>
        <v>11</v>
      </c>
      <c r="H1075" s="2">
        <f>SUM($G$2:G1075)</f>
        <v>9073</v>
      </c>
      <c r="I1075" s="10">
        <f t="shared" si="132"/>
        <v>45701.292800925927</v>
      </c>
      <c r="J1075" s="10">
        <f t="shared" si="133"/>
        <v>45701.292800925927</v>
      </c>
      <c r="K1075" s="3">
        <f t="shared" si="135"/>
        <v>8127</v>
      </c>
      <c r="L1075">
        <f t="shared" si="128"/>
        <v>11.205555560000001</v>
      </c>
      <c r="M1075">
        <f t="shared" si="134"/>
        <v>40.340000016000005</v>
      </c>
    </row>
    <row r="1076" spans="1:13" x14ac:dyDescent="0.25">
      <c r="A1076" s="9">
        <f>Speed!A1076</f>
        <v>45701.292800925927</v>
      </c>
      <c r="B1076" s="9">
        <f t="shared" si="129"/>
        <v>45701.292800925927</v>
      </c>
      <c r="C1076" s="2">
        <f>Speed!B1076</f>
        <v>11.080555560000001</v>
      </c>
      <c r="D1076" s="9">
        <f>Odometer!A1076</f>
        <v>45701.293877314813</v>
      </c>
      <c r="E1076" s="9">
        <f t="shared" si="130"/>
        <v>45701.293877314813</v>
      </c>
      <c r="F1076" s="2">
        <f>Odometer!B1076</f>
        <v>428758971</v>
      </c>
      <c r="G1076" s="2">
        <f t="shared" si="131"/>
        <v>10</v>
      </c>
      <c r="H1076" s="2">
        <f>SUM($G$2:G1076)</f>
        <v>9083</v>
      </c>
      <c r="I1076" s="10">
        <f t="shared" si="132"/>
        <v>45701.292800925927</v>
      </c>
      <c r="J1076" s="10">
        <f t="shared" si="133"/>
        <v>45701.292800925927</v>
      </c>
      <c r="K1076" s="3">
        <f t="shared" si="135"/>
        <v>8127</v>
      </c>
      <c r="L1076">
        <f t="shared" si="128"/>
        <v>11.205555560000001</v>
      </c>
      <c r="M1076">
        <f t="shared" si="134"/>
        <v>40.340000016000005</v>
      </c>
    </row>
    <row r="1077" spans="1:13" x14ac:dyDescent="0.25">
      <c r="A1077" s="9">
        <f>Speed!A1077</f>
        <v>45701.292812500003</v>
      </c>
      <c r="B1077" s="9">
        <f t="shared" si="129"/>
        <v>45701.292812499996</v>
      </c>
      <c r="C1077" s="2">
        <f>Speed!B1077</f>
        <v>10.29722222</v>
      </c>
      <c r="D1077" s="9">
        <f>Odometer!A1077</f>
        <v>45701.293888888889</v>
      </c>
      <c r="E1077" s="9">
        <f t="shared" si="130"/>
        <v>45701.293888888889</v>
      </c>
      <c r="F1077" s="2">
        <f>Odometer!B1077</f>
        <v>428758981</v>
      </c>
      <c r="G1077" s="2">
        <f t="shared" si="131"/>
        <v>10</v>
      </c>
      <c r="H1077" s="2">
        <f>SUM($G$2:G1077)</f>
        <v>9093</v>
      </c>
      <c r="I1077" s="10">
        <f t="shared" si="132"/>
        <v>45701.292812500003</v>
      </c>
      <c r="J1077" s="10">
        <f t="shared" si="133"/>
        <v>45701.292812499996</v>
      </c>
      <c r="K1077" s="3">
        <f t="shared" si="135"/>
        <v>8137</v>
      </c>
      <c r="L1077">
        <f t="shared" si="128"/>
        <v>10.29722222</v>
      </c>
      <c r="M1077">
        <f t="shared" si="134"/>
        <v>37.069999992</v>
      </c>
    </row>
    <row r="1078" spans="1:13" x14ac:dyDescent="0.25">
      <c r="A1078" s="9">
        <f>Speed!A1078</f>
        <v>45701.292812500003</v>
      </c>
      <c r="B1078" s="9">
        <f t="shared" si="129"/>
        <v>45701.292812499996</v>
      </c>
      <c r="C1078" s="2">
        <f>Speed!B1078</f>
        <v>10.23888889</v>
      </c>
      <c r="D1078" s="9">
        <f>Odometer!A1078</f>
        <v>45701.293900462966</v>
      </c>
      <c r="E1078" s="9">
        <f t="shared" si="130"/>
        <v>45701.293900462959</v>
      </c>
      <c r="F1078" s="2">
        <f>Odometer!B1078</f>
        <v>428758991</v>
      </c>
      <c r="G1078" s="2">
        <f t="shared" si="131"/>
        <v>9</v>
      </c>
      <c r="H1078" s="2">
        <f>SUM($G$2:G1078)</f>
        <v>9102</v>
      </c>
      <c r="I1078" s="10">
        <f t="shared" si="132"/>
        <v>45701.292812500003</v>
      </c>
      <c r="J1078" s="10">
        <f t="shared" si="133"/>
        <v>45701.292812499996</v>
      </c>
      <c r="K1078" s="3">
        <f t="shared" si="135"/>
        <v>8137</v>
      </c>
      <c r="L1078">
        <f t="shared" si="128"/>
        <v>10.29722222</v>
      </c>
      <c r="M1078">
        <f t="shared" si="134"/>
        <v>37.069999992</v>
      </c>
    </row>
    <row r="1079" spans="1:13" x14ac:dyDescent="0.25">
      <c r="A1079" s="9">
        <f>Speed!A1079</f>
        <v>45701.292824074073</v>
      </c>
      <c r="B1079" s="9">
        <f t="shared" si="129"/>
        <v>45701.292824074073</v>
      </c>
      <c r="C1079" s="2">
        <f>Speed!B1079</f>
        <v>9.3916666670000009</v>
      </c>
      <c r="D1079" s="9">
        <f>Odometer!A1079</f>
        <v>45701.293912037036</v>
      </c>
      <c r="E1079" s="9">
        <f t="shared" si="130"/>
        <v>45701.293912037036</v>
      </c>
      <c r="F1079" s="2">
        <f>Odometer!B1079</f>
        <v>428759000</v>
      </c>
      <c r="G1079" s="2">
        <f t="shared" si="131"/>
        <v>9</v>
      </c>
      <c r="H1079" s="2">
        <f>SUM($G$2:G1079)</f>
        <v>9111</v>
      </c>
      <c r="I1079" s="10">
        <f t="shared" si="132"/>
        <v>45701.292824074073</v>
      </c>
      <c r="J1079" s="10">
        <f t="shared" si="133"/>
        <v>45701.292824074073</v>
      </c>
      <c r="K1079" s="3">
        <f t="shared" si="135"/>
        <v>8155</v>
      </c>
      <c r="L1079">
        <f t="shared" si="128"/>
        <v>9.3916666670000009</v>
      </c>
      <c r="M1079">
        <f t="shared" si="134"/>
        <v>33.810000001200002</v>
      </c>
    </row>
    <row r="1080" spans="1:13" x14ac:dyDescent="0.25">
      <c r="A1080" s="9">
        <f>Speed!A1080</f>
        <v>45701.29283564815</v>
      </c>
      <c r="B1080" s="9">
        <f t="shared" si="129"/>
        <v>45701.292835648142</v>
      </c>
      <c r="C1080" s="2">
        <f>Speed!B1080</f>
        <v>8.4055555559999995</v>
      </c>
      <c r="D1080" s="9">
        <f>Odometer!A1080</f>
        <v>45701.293923611112</v>
      </c>
      <c r="E1080" s="9">
        <f t="shared" si="130"/>
        <v>45701.293923611112</v>
      </c>
      <c r="F1080" s="2">
        <f>Odometer!B1080</f>
        <v>428759009</v>
      </c>
      <c r="G1080" s="2">
        <f t="shared" si="131"/>
        <v>1</v>
      </c>
      <c r="H1080" s="2">
        <f>SUM($G$2:G1080)</f>
        <v>9112</v>
      </c>
      <c r="I1080" s="10">
        <f t="shared" si="132"/>
        <v>45701.29283564815</v>
      </c>
      <c r="J1080" s="10">
        <f t="shared" si="133"/>
        <v>45701.292835648142</v>
      </c>
      <c r="K1080" s="3">
        <f t="shared" si="135"/>
        <v>8163</v>
      </c>
      <c r="L1080">
        <f t="shared" si="128"/>
        <v>8.4055555559999995</v>
      </c>
      <c r="M1080">
        <f t="shared" si="134"/>
        <v>30.260000001599998</v>
      </c>
    </row>
    <row r="1081" spans="1:13" x14ac:dyDescent="0.25">
      <c r="A1081" s="9">
        <f>Speed!A1081</f>
        <v>45701.292847222219</v>
      </c>
      <c r="B1081" s="9">
        <f t="shared" si="129"/>
        <v>45701.292847222219</v>
      </c>
      <c r="C1081" s="2">
        <f>Speed!B1081</f>
        <v>7.5194444440000003</v>
      </c>
      <c r="D1081" s="9">
        <f>Odometer!A1081</f>
        <v>45701.293923611112</v>
      </c>
      <c r="E1081" s="9">
        <f t="shared" si="130"/>
        <v>45701.293923611112</v>
      </c>
      <c r="F1081" s="2">
        <f>Odometer!B1081</f>
        <v>428759010</v>
      </c>
      <c r="G1081" s="2">
        <f t="shared" si="131"/>
        <v>7</v>
      </c>
      <c r="H1081" s="2">
        <f>SUM($G$2:G1081)</f>
        <v>9119</v>
      </c>
      <c r="I1081" s="10">
        <f t="shared" si="132"/>
        <v>45701.292847222219</v>
      </c>
      <c r="J1081" s="10">
        <f t="shared" si="133"/>
        <v>45701.292847222219</v>
      </c>
      <c r="K1081" s="3">
        <f t="shared" si="135"/>
        <v>8170</v>
      </c>
      <c r="L1081">
        <f t="shared" si="128"/>
        <v>7.5194444440000003</v>
      </c>
      <c r="M1081">
        <f t="shared" si="134"/>
        <v>27.0699999984</v>
      </c>
    </row>
    <row r="1082" spans="1:13" x14ac:dyDescent="0.25">
      <c r="A1082" s="9">
        <f>Speed!A1082</f>
        <v>45701.292847222219</v>
      </c>
      <c r="B1082" s="9">
        <f t="shared" si="129"/>
        <v>45701.292847222219</v>
      </c>
      <c r="C1082" s="2">
        <f>Speed!B1082</f>
        <v>6.625</v>
      </c>
      <c r="D1082" s="9">
        <f>Odometer!A1082</f>
        <v>45701.293935185182</v>
      </c>
      <c r="E1082" s="9">
        <f t="shared" si="130"/>
        <v>45701.293935185182</v>
      </c>
      <c r="F1082" s="2">
        <f>Odometer!B1082</f>
        <v>428759017</v>
      </c>
      <c r="G1082" s="2">
        <f t="shared" si="131"/>
        <v>9</v>
      </c>
      <c r="H1082" s="2">
        <f>SUM($G$2:G1082)</f>
        <v>9128</v>
      </c>
      <c r="I1082" s="10">
        <f t="shared" si="132"/>
        <v>45701.292847222219</v>
      </c>
      <c r="J1082" s="10">
        <f t="shared" si="133"/>
        <v>45701.292847222219</v>
      </c>
      <c r="K1082" s="3">
        <f t="shared" si="135"/>
        <v>8170</v>
      </c>
      <c r="L1082">
        <f t="shared" si="128"/>
        <v>7.5194444440000003</v>
      </c>
      <c r="M1082">
        <f t="shared" si="134"/>
        <v>27.0699999984</v>
      </c>
    </row>
    <row r="1083" spans="1:13" x14ac:dyDescent="0.25">
      <c r="A1083" s="9">
        <f>Speed!A1083</f>
        <v>45701.292858796296</v>
      </c>
      <c r="B1083" s="9">
        <f t="shared" si="129"/>
        <v>45701.292858796296</v>
      </c>
      <c r="C1083" s="2">
        <f>Speed!B1083</f>
        <v>6.5805555560000002</v>
      </c>
      <c r="D1083" s="9">
        <f>Odometer!A1083</f>
        <v>45701.293946759259</v>
      </c>
      <c r="E1083" s="9">
        <f t="shared" si="130"/>
        <v>45701.293946759259</v>
      </c>
      <c r="F1083" s="2">
        <f>Odometer!B1083</f>
        <v>428759026</v>
      </c>
      <c r="G1083" s="2">
        <f t="shared" si="131"/>
        <v>9</v>
      </c>
      <c r="H1083" s="2">
        <f>SUM($G$2:G1083)</f>
        <v>9137</v>
      </c>
      <c r="I1083" s="10">
        <f t="shared" si="132"/>
        <v>45701.292858796296</v>
      </c>
      <c r="J1083" s="10">
        <f t="shared" si="133"/>
        <v>45701.292858796296</v>
      </c>
      <c r="K1083" s="3" t="e">
        <f t="shared" si="135"/>
        <v>#N/A</v>
      </c>
      <c r="L1083">
        <f t="shared" si="128"/>
        <v>6.5805555560000002</v>
      </c>
      <c r="M1083">
        <f t="shared" si="134"/>
        <v>23.690000001600001</v>
      </c>
    </row>
    <row r="1084" spans="1:13" x14ac:dyDescent="0.25">
      <c r="A1084" s="9">
        <f>Speed!A1084</f>
        <v>45701.292870370373</v>
      </c>
      <c r="B1084" s="9">
        <f t="shared" si="129"/>
        <v>45701.292870370366</v>
      </c>
      <c r="C1084" s="2">
        <f>Speed!B1084</f>
        <v>5.7805555560000004</v>
      </c>
      <c r="D1084" s="9">
        <f>Odometer!A1084</f>
        <v>45701.293958333335</v>
      </c>
      <c r="E1084" s="9">
        <f t="shared" si="130"/>
        <v>45701.293958333328</v>
      </c>
      <c r="F1084" s="2">
        <f>Odometer!B1084</f>
        <v>428759035</v>
      </c>
      <c r="G1084" s="2">
        <f t="shared" si="131"/>
        <v>7</v>
      </c>
      <c r="H1084" s="2">
        <f>SUM($G$2:G1084)</f>
        <v>9144</v>
      </c>
      <c r="I1084" s="10">
        <f t="shared" si="132"/>
        <v>45701.292870370373</v>
      </c>
      <c r="J1084" s="10">
        <f t="shared" si="133"/>
        <v>45701.292870370366</v>
      </c>
      <c r="K1084" s="3">
        <f t="shared" si="135"/>
        <v>8182</v>
      </c>
      <c r="L1084">
        <f t="shared" si="128"/>
        <v>5.7805555560000004</v>
      </c>
      <c r="M1084">
        <f t="shared" si="134"/>
        <v>20.810000001600002</v>
      </c>
    </row>
    <row r="1085" spans="1:13" x14ac:dyDescent="0.25">
      <c r="A1085" s="9">
        <f>Speed!A1085</f>
        <v>45701.292881944442</v>
      </c>
      <c r="B1085" s="9">
        <f t="shared" si="129"/>
        <v>45701.292881944442</v>
      </c>
      <c r="C1085" s="2">
        <f>Speed!B1085</f>
        <v>5.0722222219999997</v>
      </c>
      <c r="D1085" s="9">
        <f>Odometer!A1085</f>
        <v>45701.293969907405</v>
      </c>
      <c r="E1085" s="9">
        <f t="shared" si="130"/>
        <v>45701.293969907405</v>
      </c>
      <c r="F1085" s="2">
        <f>Odometer!B1085</f>
        <v>428759042</v>
      </c>
      <c r="G1085" s="2">
        <f t="shared" si="131"/>
        <v>4</v>
      </c>
      <c r="H1085" s="2">
        <f>SUM($G$2:G1085)</f>
        <v>9148</v>
      </c>
      <c r="I1085" s="10">
        <f t="shared" si="132"/>
        <v>45701.292881944442</v>
      </c>
      <c r="J1085" s="10">
        <f t="shared" si="133"/>
        <v>45701.292881944442</v>
      </c>
      <c r="K1085" s="3">
        <f t="shared" si="135"/>
        <v>8187</v>
      </c>
      <c r="L1085">
        <f t="shared" si="128"/>
        <v>5.0722222219999997</v>
      </c>
      <c r="M1085">
        <f t="shared" si="134"/>
        <v>18.259999999199998</v>
      </c>
    </row>
    <row r="1086" spans="1:13" x14ac:dyDescent="0.25">
      <c r="A1086" s="9">
        <f>Speed!A1086</f>
        <v>45701.292893518519</v>
      </c>
      <c r="B1086" s="9">
        <f t="shared" si="129"/>
        <v>45701.292893518519</v>
      </c>
      <c r="C1086" s="2">
        <f>Speed!B1086</f>
        <v>4.3555555559999997</v>
      </c>
      <c r="D1086" s="9">
        <f>Odometer!A1086</f>
        <v>45701.293969907405</v>
      </c>
      <c r="E1086" s="9">
        <f t="shared" si="130"/>
        <v>45701.293969907405</v>
      </c>
      <c r="F1086" s="2">
        <f>Odometer!B1086</f>
        <v>428759046</v>
      </c>
      <c r="G1086" s="2">
        <f t="shared" si="131"/>
        <v>3</v>
      </c>
      <c r="H1086" s="2">
        <f>SUM($G$2:G1086)</f>
        <v>9151</v>
      </c>
      <c r="I1086" s="10">
        <f t="shared" si="132"/>
        <v>45701.292893518519</v>
      </c>
      <c r="J1086" s="10">
        <f t="shared" si="133"/>
        <v>45701.292893518519</v>
      </c>
      <c r="K1086" s="3">
        <f t="shared" si="135"/>
        <v>8191</v>
      </c>
      <c r="L1086">
        <f t="shared" si="128"/>
        <v>4.3555555559999997</v>
      </c>
      <c r="M1086">
        <f t="shared" si="134"/>
        <v>15.6800000016</v>
      </c>
    </row>
    <row r="1087" spans="1:13" x14ac:dyDescent="0.25">
      <c r="A1087" s="9">
        <f>Speed!A1087</f>
        <v>45701.292905092596</v>
      </c>
      <c r="B1087" s="9">
        <f t="shared" si="129"/>
        <v>45701.292905092589</v>
      </c>
      <c r="C1087" s="2">
        <f>Speed!B1087</f>
        <v>3.5388888889999999</v>
      </c>
      <c r="D1087" s="9">
        <f>Odometer!A1087</f>
        <v>45701.293969907405</v>
      </c>
      <c r="E1087" s="9">
        <f t="shared" si="130"/>
        <v>45701.293969907405</v>
      </c>
      <c r="F1087" s="2">
        <f>Odometer!B1087</f>
        <v>428759049</v>
      </c>
      <c r="G1087" s="2">
        <f t="shared" si="131"/>
        <v>1</v>
      </c>
      <c r="H1087" s="2">
        <f>SUM($G$2:G1087)</f>
        <v>9152</v>
      </c>
      <c r="I1087" s="10">
        <f t="shared" si="132"/>
        <v>45701.292905092596</v>
      </c>
      <c r="J1087" s="10">
        <f t="shared" si="133"/>
        <v>45701.292905092589</v>
      </c>
      <c r="K1087" s="3">
        <f t="shared" si="135"/>
        <v>8193</v>
      </c>
      <c r="L1087">
        <f t="shared" si="128"/>
        <v>3.5388888889999999</v>
      </c>
      <c r="M1087">
        <f t="shared" si="134"/>
        <v>12.7400000004</v>
      </c>
    </row>
    <row r="1088" spans="1:13" x14ac:dyDescent="0.25">
      <c r="A1088" s="9">
        <f>Speed!A1088</f>
        <v>45701.292916666665</v>
      </c>
      <c r="B1088" s="9">
        <f t="shared" si="129"/>
        <v>45701.292916666665</v>
      </c>
      <c r="C1088" s="2">
        <f>Speed!B1088</f>
        <v>2.8444444440000001</v>
      </c>
      <c r="D1088" s="9">
        <f>Odometer!A1088</f>
        <v>45701.293981481482</v>
      </c>
      <c r="E1088" s="9">
        <f t="shared" si="130"/>
        <v>45701.293981481482</v>
      </c>
      <c r="F1088" s="2">
        <f>Odometer!B1088</f>
        <v>428759050</v>
      </c>
      <c r="G1088" s="2">
        <f t="shared" si="131"/>
        <v>6</v>
      </c>
      <c r="H1088" s="2">
        <f>SUM($G$2:G1088)</f>
        <v>9158</v>
      </c>
      <c r="I1088" s="10">
        <f t="shared" si="132"/>
        <v>45701.292916666665</v>
      </c>
      <c r="J1088" s="10">
        <f t="shared" si="133"/>
        <v>45701.292916666665</v>
      </c>
      <c r="K1088" s="3">
        <f t="shared" si="135"/>
        <v>8196</v>
      </c>
      <c r="L1088">
        <f t="shared" si="128"/>
        <v>2.8444444440000001</v>
      </c>
      <c r="M1088">
        <f t="shared" si="134"/>
        <v>10.2399999984</v>
      </c>
    </row>
    <row r="1089" spans="1:13" x14ac:dyDescent="0.25">
      <c r="A1089" s="9">
        <f>Speed!A1089</f>
        <v>45701.292928240742</v>
      </c>
      <c r="B1089" s="9">
        <f t="shared" si="129"/>
        <v>45701.292928240735</v>
      </c>
      <c r="C1089" s="2">
        <f>Speed!B1089</f>
        <v>2.122222222</v>
      </c>
      <c r="D1089" s="9">
        <f>Odometer!A1089</f>
        <v>45701.293993055559</v>
      </c>
      <c r="E1089" s="9">
        <f t="shared" si="130"/>
        <v>45701.293993055551</v>
      </c>
      <c r="F1089" s="2">
        <f>Odometer!B1089</f>
        <v>428759056</v>
      </c>
      <c r="G1089" s="2">
        <f t="shared" si="131"/>
        <v>5</v>
      </c>
      <c r="H1089" s="2">
        <f>SUM($G$2:G1089)</f>
        <v>9163</v>
      </c>
      <c r="I1089" s="10">
        <f t="shared" si="132"/>
        <v>45701.292928240742</v>
      </c>
      <c r="J1089" s="10">
        <f t="shared" si="133"/>
        <v>45701.292928240735</v>
      </c>
      <c r="K1089" s="3">
        <f t="shared" si="135"/>
        <v>8198</v>
      </c>
      <c r="L1089">
        <f t="shared" si="128"/>
        <v>2.122222222</v>
      </c>
      <c r="M1089">
        <f t="shared" si="134"/>
        <v>7.6399999992000005</v>
      </c>
    </row>
    <row r="1090" spans="1:13" x14ac:dyDescent="0.25">
      <c r="A1090" s="9">
        <f>Speed!A1090</f>
        <v>45701.292939814812</v>
      </c>
      <c r="B1090" s="9">
        <f t="shared" si="129"/>
        <v>45701.292939814812</v>
      </c>
      <c r="C1090" s="2">
        <f>Speed!B1090</f>
        <v>1.316666667</v>
      </c>
      <c r="D1090" s="9">
        <f>Odometer!A1090</f>
        <v>45701.294004629628</v>
      </c>
      <c r="E1090" s="9">
        <f t="shared" si="130"/>
        <v>45701.294004629628</v>
      </c>
      <c r="F1090" s="2">
        <f>Odometer!B1090</f>
        <v>428759061</v>
      </c>
      <c r="G1090" s="2">
        <f t="shared" si="131"/>
        <v>5</v>
      </c>
      <c r="H1090" s="2">
        <f>SUM($G$2:G1090)</f>
        <v>9168</v>
      </c>
      <c r="I1090" s="10">
        <f t="shared" si="132"/>
        <v>45701.292939814812</v>
      </c>
      <c r="J1090" s="10">
        <f t="shared" si="133"/>
        <v>45701.292939814812</v>
      </c>
      <c r="K1090" s="3">
        <f t="shared" si="135"/>
        <v>8199</v>
      </c>
      <c r="L1090">
        <f t="shared" ref="L1090:L1153" si="136">INDEX($C$2:$C$2000, MATCH(I1090,$A$2:$A$2000,0))</f>
        <v>1.316666667</v>
      </c>
      <c r="M1090">
        <f t="shared" si="134"/>
        <v>4.7400000012000003</v>
      </c>
    </row>
    <row r="1091" spans="1:13" x14ac:dyDescent="0.25">
      <c r="A1091" s="9">
        <f>Speed!A1091</f>
        <v>45701.292951388888</v>
      </c>
      <c r="B1091" s="9">
        <f t="shared" ref="B1091:B1154" si="137">MROUND(A1091,"00:00:01")</f>
        <v>45701.292951388888</v>
      </c>
      <c r="C1091" s="2">
        <f>Speed!B1091</f>
        <v>0.47222222200000002</v>
      </c>
      <c r="D1091" s="9">
        <f>Odometer!A1091</f>
        <v>45701.294016203705</v>
      </c>
      <c r="E1091" s="9">
        <f t="shared" ref="E1091:E1154" si="138">MROUND(D1091,"00:00:01")</f>
        <v>45701.294016203705</v>
      </c>
      <c r="F1091" s="2">
        <f>Odometer!B1091</f>
        <v>428759066</v>
      </c>
      <c r="G1091" s="2">
        <f t="shared" ref="G1091:G1154" si="139">IF(F1092-F1091&lt;0,0,F1092-F1091)</f>
        <v>4</v>
      </c>
      <c r="H1091" s="2">
        <f>SUM($G$2:G1091)</f>
        <v>9172</v>
      </c>
      <c r="I1091" s="10">
        <f t="shared" ref="I1091:I1154" si="140">A1091</f>
        <v>45701.292951388888</v>
      </c>
      <c r="J1091" s="10">
        <f t="shared" ref="J1091:J1154" si="141">MROUND(I1091,"0:00:01")</f>
        <v>45701.292951388888</v>
      </c>
      <c r="K1091" s="3">
        <f t="shared" si="135"/>
        <v>8200</v>
      </c>
      <c r="L1091">
        <f t="shared" si="136"/>
        <v>0.47222222200000002</v>
      </c>
      <c r="M1091">
        <f t="shared" ref="M1091:M1154" si="142">L1091*3.6</f>
        <v>1.6999999992000001</v>
      </c>
    </row>
    <row r="1092" spans="1:13" x14ac:dyDescent="0.25">
      <c r="A1092" s="9">
        <f>Speed!A1092</f>
        <v>45701.292962962965</v>
      </c>
      <c r="B1092" s="9">
        <f t="shared" si="137"/>
        <v>45701.292962962958</v>
      </c>
      <c r="C1092" s="2">
        <f>Speed!B1092</f>
        <v>5.5555555999999999E-2</v>
      </c>
      <c r="D1092" s="9">
        <f>Odometer!A1092</f>
        <v>45701.294027777774</v>
      </c>
      <c r="E1092" s="9">
        <f t="shared" si="138"/>
        <v>45701.294027777774</v>
      </c>
      <c r="F1092" s="2">
        <f>Odometer!B1092</f>
        <v>428759070</v>
      </c>
      <c r="G1092" s="2">
        <f t="shared" si="139"/>
        <v>1</v>
      </c>
      <c r="H1092" s="2">
        <f>SUM($G$2:G1092)</f>
        <v>9173</v>
      </c>
      <c r="I1092" s="10">
        <f t="shared" si="140"/>
        <v>45701.292962962965</v>
      </c>
      <c r="J1092" s="10">
        <f t="shared" si="141"/>
        <v>45701.292962962958</v>
      </c>
      <c r="K1092" s="3" t="e">
        <f t="shared" ref="K1092:K1155" si="143">IFERROR(INDEX($H$2:$H$2000,MATCH(J1092,$E$2:$E$2000,0)),NA())</f>
        <v>#N/A</v>
      </c>
      <c r="L1092">
        <f t="shared" si="136"/>
        <v>5.5555555999999999E-2</v>
      </c>
      <c r="M1092">
        <f t="shared" si="142"/>
        <v>0.2000000016</v>
      </c>
    </row>
    <row r="1093" spans="1:13" x14ac:dyDescent="0.25">
      <c r="A1093" s="9">
        <f>Speed!A1093</f>
        <v>45701.292974537035</v>
      </c>
      <c r="B1093" s="9">
        <f t="shared" si="137"/>
        <v>45701.292974537035</v>
      </c>
      <c r="C1093" s="2">
        <f>Speed!B1093</f>
        <v>4.7222222000000001E-2</v>
      </c>
      <c r="D1093" s="9">
        <f>Odometer!A1093</f>
        <v>45701.294027777774</v>
      </c>
      <c r="E1093" s="9">
        <f t="shared" si="138"/>
        <v>45701.294027777774</v>
      </c>
      <c r="F1093" s="2">
        <f>Odometer!B1093</f>
        <v>428759071</v>
      </c>
      <c r="G1093" s="2">
        <f t="shared" si="139"/>
        <v>3</v>
      </c>
      <c r="H1093" s="2">
        <f>SUM($G$2:G1093)</f>
        <v>9176</v>
      </c>
      <c r="I1093" s="10">
        <f t="shared" si="140"/>
        <v>45701.292974537035</v>
      </c>
      <c r="J1093" s="10">
        <f t="shared" si="141"/>
        <v>45701.292974537035</v>
      </c>
      <c r="K1093" s="3" t="e">
        <f t="shared" si="143"/>
        <v>#N/A</v>
      </c>
      <c r="L1093">
        <f t="shared" si="136"/>
        <v>4.7222222000000001E-2</v>
      </c>
      <c r="M1093">
        <f t="shared" si="142"/>
        <v>0.1699999992</v>
      </c>
    </row>
    <row r="1094" spans="1:13" x14ac:dyDescent="0.25">
      <c r="A1094" s="9">
        <f>Speed!A1094</f>
        <v>45701.292986111112</v>
      </c>
      <c r="B1094" s="9">
        <f t="shared" si="137"/>
        <v>45701.292986111112</v>
      </c>
      <c r="C1094" s="2">
        <f>Speed!B1094</f>
        <v>0</v>
      </c>
      <c r="D1094" s="9">
        <f>Odometer!A1094</f>
        <v>45701.294027777774</v>
      </c>
      <c r="E1094" s="9">
        <f t="shared" si="138"/>
        <v>45701.294027777774</v>
      </c>
      <c r="F1094" s="2">
        <f>Odometer!B1094</f>
        <v>428759074</v>
      </c>
      <c r="G1094" s="2">
        <f t="shared" si="139"/>
        <v>2</v>
      </c>
      <c r="H1094" s="2">
        <f>SUM($G$2:G1094)</f>
        <v>9178</v>
      </c>
      <c r="I1094" s="10">
        <f t="shared" si="140"/>
        <v>45701.292986111112</v>
      </c>
      <c r="J1094" s="10">
        <f t="shared" si="141"/>
        <v>45701.292986111112</v>
      </c>
      <c r="K1094" s="3" t="e">
        <f t="shared" si="143"/>
        <v>#N/A</v>
      </c>
      <c r="L1094">
        <f t="shared" si="136"/>
        <v>0</v>
      </c>
      <c r="M1094">
        <f t="shared" si="142"/>
        <v>0</v>
      </c>
    </row>
    <row r="1095" spans="1:13" x14ac:dyDescent="0.25">
      <c r="A1095" s="9">
        <f>Speed!A1095</f>
        <v>45701.293182870373</v>
      </c>
      <c r="B1095" s="9">
        <f t="shared" si="137"/>
        <v>45701.293182870366</v>
      </c>
      <c r="C1095" s="2">
        <f>Speed!B1095</f>
        <v>0.29166666699999999</v>
      </c>
      <c r="D1095" s="9">
        <f>Odometer!A1095</f>
        <v>45701.294050925928</v>
      </c>
      <c r="E1095" s="9">
        <f t="shared" si="138"/>
        <v>45701.294050925921</v>
      </c>
      <c r="F1095" s="2">
        <f>Odometer!B1095</f>
        <v>428759076</v>
      </c>
      <c r="G1095" s="2">
        <f t="shared" si="139"/>
        <v>1</v>
      </c>
      <c r="H1095" s="2">
        <f>SUM($G$2:G1095)</f>
        <v>9179</v>
      </c>
      <c r="I1095" s="10">
        <f t="shared" si="140"/>
        <v>45701.293182870373</v>
      </c>
      <c r="J1095" s="10">
        <f t="shared" si="141"/>
        <v>45701.293182870366</v>
      </c>
      <c r="K1095" s="3" t="e">
        <f t="shared" si="143"/>
        <v>#N/A</v>
      </c>
      <c r="L1095">
        <f t="shared" si="136"/>
        <v>0.29166666699999999</v>
      </c>
      <c r="M1095">
        <f t="shared" si="142"/>
        <v>1.0500000011999999</v>
      </c>
    </row>
    <row r="1096" spans="1:13" x14ac:dyDescent="0.25">
      <c r="A1096" s="9">
        <f>Speed!A1096</f>
        <v>45701.293182870373</v>
      </c>
      <c r="B1096" s="9">
        <f t="shared" si="137"/>
        <v>45701.293182870366</v>
      </c>
      <c r="C1096" s="2">
        <f>Speed!B1096</f>
        <v>0.77222222200000001</v>
      </c>
      <c r="D1096" s="9">
        <f>Odometer!A1096</f>
        <v>45701.294050925928</v>
      </c>
      <c r="E1096" s="9">
        <f t="shared" si="138"/>
        <v>45701.294050925921</v>
      </c>
      <c r="F1096" s="2">
        <f>Odometer!B1096</f>
        <v>428759077</v>
      </c>
      <c r="G1096" s="2">
        <f t="shared" si="139"/>
        <v>1</v>
      </c>
      <c r="H1096" s="2">
        <f>SUM($G$2:G1096)</f>
        <v>9180</v>
      </c>
      <c r="I1096" s="10">
        <f t="shared" si="140"/>
        <v>45701.293182870373</v>
      </c>
      <c r="J1096" s="10">
        <f t="shared" si="141"/>
        <v>45701.293182870366</v>
      </c>
      <c r="K1096" s="3" t="e">
        <f t="shared" si="143"/>
        <v>#N/A</v>
      </c>
      <c r="L1096">
        <f t="shared" si="136"/>
        <v>0.29166666699999999</v>
      </c>
      <c r="M1096">
        <f t="shared" si="142"/>
        <v>1.0500000011999999</v>
      </c>
    </row>
    <row r="1097" spans="1:13" x14ac:dyDescent="0.25">
      <c r="A1097" s="9">
        <f>Speed!A1097</f>
        <v>45701.293194444443</v>
      </c>
      <c r="B1097" s="9">
        <f t="shared" si="137"/>
        <v>45701.293194444443</v>
      </c>
      <c r="C1097" s="2">
        <f>Speed!B1097</f>
        <v>1.386111111</v>
      </c>
      <c r="D1097" s="9">
        <f>Odometer!A1097</f>
        <v>45701.294074074074</v>
      </c>
      <c r="E1097" s="9">
        <f t="shared" si="138"/>
        <v>45701.294074074074</v>
      </c>
      <c r="F1097" s="2">
        <f>Odometer!B1097</f>
        <v>428759078</v>
      </c>
      <c r="G1097" s="2">
        <f t="shared" si="139"/>
        <v>1</v>
      </c>
      <c r="H1097" s="2">
        <f>SUM($G$2:G1097)</f>
        <v>9181</v>
      </c>
      <c r="I1097" s="10">
        <f t="shared" si="140"/>
        <v>45701.293194444443</v>
      </c>
      <c r="J1097" s="10">
        <f t="shared" si="141"/>
        <v>45701.293194444443</v>
      </c>
      <c r="K1097" s="3">
        <f t="shared" si="143"/>
        <v>8202</v>
      </c>
      <c r="L1097">
        <f t="shared" si="136"/>
        <v>1.386111111</v>
      </c>
      <c r="M1097">
        <f t="shared" si="142"/>
        <v>4.9899999996000002</v>
      </c>
    </row>
    <row r="1098" spans="1:13" x14ac:dyDescent="0.25">
      <c r="A1098" s="9">
        <f>Speed!A1098</f>
        <v>45701.293206018519</v>
      </c>
      <c r="B1098" s="9">
        <f t="shared" si="137"/>
        <v>45701.293206018519</v>
      </c>
      <c r="C1098" s="2">
        <f>Speed!B1098</f>
        <v>2.6805555559999998</v>
      </c>
      <c r="D1098" s="9">
        <f>Odometer!A1098</f>
        <v>45701.294340277775</v>
      </c>
      <c r="E1098" s="9">
        <f t="shared" si="138"/>
        <v>45701.294340277775</v>
      </c>
      <c r="F1098" s="2">
        <f>Odometer!B1098</f>
        <v>428759079</v>
      </c>
      <c r="G1098" s="2">
        <f t="shared" si="139"/>
        <v>2</v>
      </c>
      <c r="H1098" s="2">
        <f>SUM($G$2:G1098)</f>
        <v>9183</v>
      </c>
      <c r="I1098" s="10">
        <f t="shared" si="140"/>
        <v>45701.293206018519</v>
      </c>
      <c r="J1098" s="10">
        <f t="shared" si="141"/>
        <v>45701.293206018519</v>
      </c>
      <c r="K1098" s="3">
        <f t="shared" si="143"/>
        <v>8205</v>
      </c>
      <c r="L1098">
        <f t="shared" si="136"/>
        <v>2.6805555559999998</v>
      </c>
      <c r="M1098">
        <f t="shared" si="142"/>
        <v>9.6500000016000005</v>
      </c>
    </row>
    <row r="1099" spans="1:13" x14ac:dyDescent="0.25">
      <c r="A1099" s="9">
        <f>Speed!A1099</f>
        <v>45701.293217592596</v>
      </c>
      <c r="B1099" s="9">
        <f t="shared" si="137"/>
        <v>45701.293217592589</v>
      </c>
      <c r="C1099" s="2">
        <f>Speed!B1099</f>
        <v>3.8277777780000002</v>
      </c>
      <c r="D1099" s="9">
        <f>Odometer!A1099</f>
        <v>45701.294351851851</v>
      </c>
      <c r="E1099" s="9">
        <f t="shared" si="138"/>
        <v>45701.294351851851</v>
      </c>
      <c r="F1099" s="2">
        <f>Odometer!B1099</f>
        <v>428759081</v>
      </c>
      <c r="G1099" s="2">
        <f t="shared" si="139"/>
        <v>4</v>
      </c>
      <c r="H1099" s="2">
        <f>SUM($G$2:G1099)</f>
        <v>9187</v>
      </c>
      <c r="I1099" s="10">
        <f t="shared" si="140"/>
        <v>45701.293217592596</v>
      </c>
      <c r="J1099" s="10">
        <f t="shared" si="141"/>
        <v>45701.293217592589</v>
      </c>
      <c r="K1099" s="3">
        <f t="shared" si="143"/>
        <v>8209</v>
      </c>
      <c r="L1099">
        <f t="shared" si="136"/>
        <v>3.8277777780000002</v>
      </c>
      <c r="M1099">
        <f t="shared" si="142"/>
        <v>13.780000000800001</v>
      </c>
    </row>
    <row r="1100" spans="1:13" x14ac:dyDescent="0.25">
      <c r="A1100" s="9">
        <f>Speed!A1100</f>
        <v>45701.293229166666</v>
      </c>
      <c r="B1100" s="9">
        <f t="shared" si="137"/>
        <v>45701.293229166666</v>
      </c>
      <c r="C1100" s="2">
        <f>Speed!B1100</f>
        <v>4.9694444439999996</v>
      </c>
      <c r="D1100" s="9">
        <f>Odometer!A1100</f>
        <v>45701.294363425928</v>
      </c>
      <c r="E1100" s="9">
        <f t="shared" si="138"/>
        <v>45701.294363425921</v>
      </c>
      <c r="F1100" s="2">
        <f>Odometer!B1100</f>
        <v>428759085</v>
      </c>
      <c r="G1100" s="2">
        <f t="shared" si="139"/>
        <v>5</v>
      </c>
      <c r="H1100" s="2">
        <f>SUM($G$2:G1100)</f>
        <v>9192</v>
      </c>
      <c r="I1100" s="10">
        <f t="shared" si="140"/>
        <v>45701.293229166666</v>
      </c>
      <c r="J1100" s="10">
        <f t="shared" si="141"/>
        <v>45701.293229166666</v>
      </c>
      <c r="K1100" s="3">
        <f t="shared" si="143"/>
        <v>8215</v>
      </c>
      <c r="L1100">
        <f t="shared" si="136"/>
        <v>4.9694444439999996</v>
      </c>
      <c r="M1100">
        <f t="shared" si="142"/>
        <v>17.8899999984</v>
      </c>
    </row>
    <row r="1101" spans="1:13" x14ac:dyDescent="0.25">
      <c r="A1101" s="9">
        <f>Speed!A1101</f>
        <v>45701.293240740742</v>
      </c>
      <c r="B1101" s="9">
        <f t="shared" si="137"/>
        <v>45701.293240740735</v>
      </c>
      <c r="C1101" s="2">
        <f>Speed!B1101</f>
        <v>6.2055555560000002</v>
      </c>
      <c r="D1101" s="9">
        <f>Odometer!A1101</f>
        <v>45701.294374999998</v>
      </c>
      <c r="E1101" s="9">
        <f t="shared" si="138"/>
        <v>45701.294374999998</v>
      </c>
      <c r="F1101" s="2">
        <f>Odometer!B1101</f>
        <v>428759090</v>
      </c>
      <c r="G1101" s="2">
        <f t="shared" si="139"/>
        <v>6</v>
      </c>
      <c r="H1101" s="2">
        <f>SUM($G$2:G1101)</f>
        <v>9198</v>
      </c>
      <c r="I1101" s="10">
        <f t="shared" si="140"/>
        <v>45701.293240740742</v>
      </c>
      <c r="J1101" s="10">
        <f t="shared" si="141"/>
        <v>45701.293240740735</v>
      </c>
      <c r="K1101" s="3">
        <f t="shared" si="143"/>
        <v>8216</v>
      </c>
      <c r="L1101">
        <f t="shared" si="136"/>
        <v>6.2055555560000002</v>
      </c>
      <c r="M1101">
        <f t="shared" si="142"/>
        <v>22.3400000016</v>
      </c>
    </row>
    <row r="1102" spans="1:13" x14ac:dyDescent="0.25">
      <c r="A1102" s="9">
        <f>Speed!A1102</f>
        <v>45701.293240740742</v>
      </c>
      <c r="B1102" s="9">
        <f t="shared" si="137"/>
        <v>45701.293240740735</v>
      </c>
      <c r="C1102" s="2">
        <f>Speed!B1102</f>
        <v>6.3444444439999996</v>
      </c>
      <c r="D1102" s="9">
        <f>Odometer!A1102</f>
        <v>45701.294386574074</v>
      </c>
      <c r="E1102" s="9">
        <f t="shared" si="138"/>
        <v>45701.294386574074</v>
      </c>
      <c r="F1102" s="2">
        <f>Odometer!B1102</f>
        <v>428759096</v>
      </c>
      <c r="G1102" s="2">
        <f t="shared" si="139"/>
        <v>2</v>
      </c>
      <c r="H1102" s="2">
        <f>SUM($G$2:G1102)</f>
        <v>9200</v>
      </c>
      <c r="I1102" s="10">
        <f t="shared" si="140"/>
        <v>45701.293240740742</v>
      </c>
      <c r="J1102" s="10">
        <f t="shared" si="141"/>
        <v>45701.293240740735</v>
      </c>
      <c r="K1102" s="3">
        <f t="shared" si="143"/>
        <v>8216</v>
      </c>
      <c r="L1102">
        <f t="shared" si="136"/>
        <v>6.2055555560000002</v>
      </c>
      <c r="M1102">
        <f t="shared" si="142"/>
        <v>22.3400000016</v>
      </c>
    </row>
    <row r="1103" spans="1:13" x14ac:dyDescent="0.25">
      <c r="A1103" s="9">
        <f>Speed!A1103</f>
        <v>45701.293252314812</v>
      </c>
      <c r="B1103" s="9">
        <f t="shared" si="137"/>
        <v>45701.293252314812</v>
      </c>
      <c r="C1103" s="2">
        <f>Speed!B1103</f>
        <v>7.4416666669999998</v>
      </c>
      <c r="D1103" s="9">
        <f>Odometer!A1103</f>
        <v>45701.294386574074</v>
      </c>
      <c r="E1103" s="9">
        <f t="shared" si="138"/>
        <v>45701.294386574074</v>
      </c>
      <c r="F1103" s="2">
        <f>Odometer!B1103</f>
        <v>428759098</v>
      </c>
      <c r="G1103" s="2">
        <f t="shared" si="139"/>
        <v>5</v>
      </c>
      <c r="H1103" s="2">
        <f>SUM($G$2:G1103)</f>
        <v>9205</v>
      </c>
      <c r="I1103" s="10">
        <f t="shared" si="140"/>
        <v>45701.293252314812</v>
      </c>
      <c r="J1103" s="10">
        <f t="shared" si="141"/>
        <v>45701.293252314812</v>
      </c>
      <c r="K1103" s="3">
        <f t="shared" si="143"/>
        <v>8224</v>
      </c>
      <c r="L1103">
        <f t="shared" si="136"/>
        <v>7.4416666669999998</v>
      </c>
      <c r="M1103">
        <f t="shared" si="142"/>
        <v>26.790000001199999</v>
      </c>
    </row>
    <row r="1104" spans="1:13" x14ac:dyDescent="0.25">
      <c r="A1104" s="9">
        <f>Speed!A1104</f>
        <v>45701.293252314812</v>
      </c>
      <c r="B1104" s="9">
        <f t="shared" si="137"/>
        <v>45701.293252314812</v>
      </c>
      <c r="C1104" s="2">
        <f>Speed!B1104</f>
        <v>7.6472222219999999</v>
      </c>
      <c r="D1104" s="9">
        <f>Odometer!A1104</f>
        <v>45701.294398148151</v>
      </c>
      <c r="E1104" s="9">
        <f t="shared" si="138"/>
        <v>45701.294398148144</v>
      </c>
      <c r="F1104" s="2">
        <f>Odometer!B1104</f>
        <v>428759103</v>
      </c>
      <c r="G1104" s="2">
        <f t="shared" si="139"/>
        <v>8</v>
      </c>
      <c r="H1104" s="2">
        <f>SUM($G$2:G1104)</f>
        <v>9213</v>
      </c>
      <c r="I1104" s="10">
        <f t="shared" si="140"/>
        <v>45701.293252314812</v>
      </c>
      <c r="J1104" s="10">
        <f t="shared" si="141"/>
        <v>45701.293252314812</v>
      </c>
      <c r="K1104" s="3">
        <f t="shared" si="143"/>
        <v>8224</v>
      </c>
      <c r="L1104">
        <f t="shared" si="136"/>
        <v>7.4416666669999998</v>
      </c>
      <c r="M1104">
        <f t="shared" si="142"/>
        <v>26.790000001199999</v>
      </c>
    </row>
    <row r="1105" spans="1:13" x14ac:dyDescent="0.25">
      <c r="A1105" s="9">
        <f>Speed!A1105</f>
        <v>45701.293263888889</v>
      </c>
      <c r="B1105" s="9">
        <f t="shared" si="137"/>
        <v>45701.293263888889</v>
      </c>
      <c r="C1105" s="2">
        <f>Speed!B1105</f>
        <v>8.7166666670000001</v>
      </c>
      <c r="D1105" s="9">
        <f>Odometer!A1105</f>
        <v>45701.294409722221</v>
      </c>
      <c r="E1105" s="9">
        <f t="shared" si="138"/>
        <v>45701.294409722221</v>
      </c>
      <c r="F1105" s="2">
        <f>Odometer!B1105</f>
        <v>428759111</v>
      </c>
      <c r="G1105" s="2">
        <f t="shared" si="139"/>
        <v>8</v>
      </c>
      <c r="H1105" s="2">
        <f>SUM($G$2:G1105)</f>
        <v>9221</v>
      </c>
      <c r="I1105" s="10">
        <f t="shared" si="140"/>
        <v>45701.293263888889</v>
      </c>
      <c r="J1105" s="10">
        <f t="shared" si="141"/>
        <v>45701.293263888889</v>
      </c>
      <c r="K1105" s="3">
        <f t="shared" si="143"/>
        <v>8240</v>
      </c>
      <c r="L1105">
        <f t="shared" si="136"/>
        <v>8.7166666670000001</v>
      </c>
      <c r="M1105">
        <f t="shared" si="142"/>
        <v>31.380000001200003</v>
      </c>
    </row>
    <row r="1106" spans="1:13" x14ac:dyDescent="0.25">
      <c r="A1106" s="9">
        <f>Speed!A1106</f>
        <v>45701.293275462966</v>
      </c>
      <c r="B1106" s="9">
        <f t="shared" si="137"/>
        <v>45701.293275462958</v>
      </c>
      <c r="C1106" s="2">
        <f>Speed!B1106</f>
        <v>10.08333333</v>
      </c>
      <c r="D1106" s="9">
        <f>Odometer!A1106</f>
        <v>45701.294421296298</v>
      </c>
      <c r="E1106" s="9">
        <f t="shared" si="138"/>
        <v>45701.294421296298</v>
      </c>
      <c r="F1106" s="2">
        <f>Odometer!B1106</f>
        <v>428759119</v>
      </c>
      <c r="G1106" s="2">
        <f t="shared" si="139"/>
        <v>7</v>
      </c>
      <c r="H1106" s="2">
        <f>SUM($G$2:G1106)</f>
        <v>9228</v>
      </c>
      <c r="I1106" s="10">
        <f t="shared" si="140"/>
        <v>45701.293275462966</v>
      </c>
      <c r="J1106" s="10">
        <f t="shared" si="141"/>
        <v>45701.293275462958</v>
      </c>
      <c r="K1106" s="3">
        <f t="shared" si="143"/>
        <v>8250</v>
      </c>
      <c r="L1106">
        <f t="shared" si="136"/>
        <v>10.08333333</v>
      </c>
      <c r="M1106">
        <f t="shared" si="142"/>
        <v>36.299999988000003</v>
      </c>
    </row>
    <row r="1107" spans="1:13" x14ac:dyDescent="0.25">
      <c r="A1107" s="9">
        <f>Speed!A1107</f>
        <v>45701.293287037035</v>
      </c>
      <c r="B1107" s="9">
        <f t="shared" si="137"/>
        <v>45701.293287037035</v>
      </c>
      <c r="C1107" s="2">
        <f>Speed!B1107</f>
        <v>11.28055556</v>
      </c>
      <c r="D1107" s="9">
        <f>Odometer!A1107</f>
        <v>45701.294421296298</v>
      </c>
      <c r="E1107" s="9">
        <f t="shared" si="138"/>
        <v>45701.294421296298</v>
      </c>
      <c r="F1107" s="2">
        <f>Odometer!B1107</f>
        <v>428759126</v>
      </c>
      <c r="G1107" s="2">
        <f t="shared" si="139"/>
        <v>8</v>
      </c>
      <c r="H1107" s="2">
        <f>SUM($G$2:G1107)</f>
        <v>9236</v>
      </c>
      <c r="I1107" s="10">
        <f t="shared" si="140"/>
        <v>45701.293287037035</v>
      </c>
      <c r="J1107" s="10">
        <f t="shared" si="141"/>
        <v>45701.293287037035</v>
      </c>
      <c r="K1107" s="3">
        <f t="shared" si="143"/>
        <v>8264</v>
      </c>
      <c r="L1107">
        <f t="shared" si="136"/>
        <v>11.28055556</v>
      </c>
      <c r="M1107">
        <f t="shared" si="142"/>
        <v>40.610000016000001</v>
      </c>
    </row>
    <row r="1108" spans="1:13" x14ac:dyDescent="0.25">
      <c r="A1108" s="9">
        <f>Speed!A1108</f>
        <v>45701.293298611112</v>
      </c>
      <c r="B1108" s="9">
        <f t="shared" si="137"/>
        <v>45701.293298611112</v>
      </c>
      <c r="C1108" s="2">
        <f>Speed!B1108</f>
        <v>12.725</v>
      </c>
      <c r="D1108" s="9">
        <f>Odometer!A1108</f>
        <v>45701.294444444444</v>
      </c>
      <c r="E1108" s="9">
        <f t="shared" si="138"/>
        <v>45701.294444444444</v>
      </c>
      <c r="F1108" s="2">
        <f>Odometer!B1108</f>
        <v>428759134</v>
      </c>
      <c r="G1108" s="2">
        <f t="shared" si="139"/>
        <v>7</v>
      </c>
      <c r="H1108" s="2">
        <f>SUM($G$2:G1108)</f>
        <v>9243</v>
      </c>
      <c r="I1108" s="10">
        <f t="shared" si="140"/>
        <v>45701.293298611112</v>
      </c>
      <c r="J1108" s="10">
        <f t="shared" si="141"/>
        <v>45701.293298611112</v>
      </c>
      <c r="K1108" s="3">
        <f t="shared" si="143"/>
        <v>8275</v>
      </c>
      <c r="L1108">
        <f t="shared" si="136"/>
        <v>12.725</v>
      </c>
      <c r="M1108">
        <f t="shared" si="142"/>
        <v>45.81</v>
      </c>
    </row>
    <row r="1109" spans="1:13" x14ac:dyDescent="0.25">
      <c r="A1109" s="9">
        <f>Speed!A1109</f>
        <v>45701.293310185189</v>
      </c>
      <c r="B1109" s="9">
        <f t="shared" si="137"/>
        <v>45701.293310185181</v>
      </c>
      <c r="C1109" s="2">
        <f>Speed!B1109</f>
        <v>13.65833333</v>
      </c>
      <c r="D1109" s="9">
        <f>Odometer!A1109</f>
        <v>45701.294456018521</v>
      </c>
      <c r="E1109" s="9">
        <f t="shared" si="138"/>
        <v>45701.294456018513</v>
      </c>
      <c r="F1109" s="2">
        <f>Odometer!B1109</f>
        <v>428759141</v>
      </c>
      <c r="G1109" s="2">
        <f t="shared" si="139"/>
        <v>6</v>
      </c>
      <c r="H1109" s="2">
        <f>SUM($G$2:G1109)</f>
        <v>9249</v>
      </c>
      <c r="I1109" s="10">
        <f t="shared" si="140"/>
        <v>45701.293310185189</v>
      </c>
      <c r="J1109" s="10">
        <f t="shared" si="141"/>
        <v>45701.293310185181</v>
      </c>
      <c r="K1109" s="3">
        <f t="shared" si="143"/>
        <v>8290</v>
      </c>
      <c r="L1109">
        <f t="shared" si="136"/>
        <v>13.65833333</v>
      </c>
      <c r="M1109">
        <f t="shared" si="142"/>
        <v>49.169999988000001</v>
      </c>
    </row>
    <row r="1110" spans="1:13" x14ac:dyDescent="0.25">
      <c r="A1110" s="9">
        <f>Speed!A1110</f>
        <v>45701.293321759258</v>
      </c>
      <c r="B1110" s="9">
        <f t="shared" si="137"/>
        <v>45701.293321759258</v>
      </c>
      <c r="C1110" s="2">
        <f>Speed!B1110</f>
        <v>14.63888889</v>
      </c>
      <c r="D1110" s="9">
        <f>Odometer!A1110</f>
        <v>45701.29446759259</v>
      </c>
      <c r="E1110" s="9">
        <f t="shared" si="138"/>
        <v>45701.29446759259</v>
      </c>
      <c r="F1110" s="2">
        <f>Odometer!B1110</f>
        <v>428759147</v>
      </c>
      <c r="G1110" s="2">
        <f t="shared" si="139"/>
        <v>1</v>
      </c>
      <c r="H1110" s="2">
        <f>SUM($G$2:G1110)</f>
        <v>9250</v>
      </c>
      <c r="I1110" s="10">
        <f t="shared" si="140"/>
        <v>45701.293321759258</v>
      </c>
      <c r="J1110" s="10">
        <f t="shared" si="141"/>
        <v>45701.293321759258</v>
      </c>
      <c r="K1110" s="3">
        <f t="shared" si="143"/>
        <v>8304</v>
      </c>
      <c r="L1110">
        <f t="shared" si="136"/>
        <v>14.63888889</v>
      </c>
      <c r="M1110">
        <f t="shared" si="142"/>
        <v>52.700000004000003</v>
      </c>
    </row>
    <row r="1111" spans="1:13" x14ac:dyDescent="0.25">
      <c r="A1111" s="9">
        <f>Speed!A1111</f>
        <v>45701.293333333335</v>
      </c>
      <c r="B1111" s="9">
        <f t="shared" si="137"/>
        <v>45701.293333333328</v>
      </c>
      <c r="C1111" s="2">
        <f>Speed!B1111</f>
        <v>15.4</v>
      </c>
      <c r="D1111" s="9">
        <f>Odometer!A1111</f>
        <v>45701.29446759259</v>
      </c>
      <c r="E1111" s="9">
        <f t="shared" si="138"/>
        <v>45701.29446759259</v>
      </c>
      <c r="F1111" s="2">
        <f>Odometer!B1111</f>
        <v>428759148</v>
      </c>
      <c r="G1111" s="2">
        <f t="shared" si="139"/>
        <v>7</v>
      </c>
      <c r="H1111" s="2">
        <f>SUM($G$2:G1111)</f>
        <v>9257</v>
      </c>
      <c r="I1111" s="10">
        <f t="shared" si="140"/>
        <v>45701.293333333335</v>
      </c>
      <c r="J1111" s="10">
        <f t="shared" si="141"/>
        <v>45701.293333333328</v>
      </c>
      <c r="K1111" s="3">
        <f t="shared" si="143"/>
        <v>8320</v>
      </c>
      <c r="L1111">
        <f t="shared" si="136"/>
        <v>15.4</v>
      </c>
      <c r="M1111">
        <f t="shared" si="142"/>
        <v>55.440000000000005</v>
      </c>
    </row>
    <row r="1112" spans="1:13" x14ac:dyDescent="0.25">
      <c r="A1112" s="9">
        <f>Speed!A1112</f>
        <v>45701.293344907404</v>
      </c>
      <c r="B1112" s="9">
        <f t="shared" si="137"/>
        <v>45701.293344907404</v>
      </c>
      <c r="C1112" s="2">
        <f>Speed!B1112</f>
        <v>16.14722222</v>
      </c>
      <c r="D1112" s="9">
        <f>Odometer!A1112</f>
        <v>45701.294479166667</v>
      </c>
      <c r="E1112" s="9">
        <f t="shared" si="138"/>
        <v>45701.294479166667</v>
      </c>
      <c r="F1112" s="2">
        <f>Odometer!B1112</f>
        <v>428759155</v>
      </c>
      <c r="G1112" s="2">
        <f t="shared" si="139"/>
        <v>7</v>
      </c>
      <c r="H1112" s="2">
        <f>SUM($G$2:G1112)</f>
        <v>9264</v>
      </c>
      <c r="I1112" s="10">
        <f t="shared" si="140"/>
        <v>45701.293344907404</v>
      </c>
      <c r="J1112" s="10">
        <f t="shared" si="141"/>
        <v>45701.293344907404</v>
      </c>
      <c r="K1112" s="3">
        <f t="shared" si="143"/>
        <v>8336</v>
      </c>
      <c r="L1112">
        <f t="shared" si="136"/>
        <v>16.14722222</v>
      </c>
      <c r="M1112">
        <f t="shared" si="142"/>
        <v>58.129999992000002</v>
      </c>
    </row>
    <row r="1113" spans="1:13" x14ac:dyDescent="0.25">
      <c r="A1113" s="9">
        <f>Speed!A1113</f>
        <v>45701.293344907404</v>
      </c>
      <c r="B1113" s="9">
        <f t="shared" si="137"/>
        <v>45701.293344907404</v>
      </c>
      <c r="C1113" s="2">
        <f>Speed!B1113</f>
        <v>16.680555559999998</v>
      </c>
      <c r="D1113" s="9">
        <f>Odometer!A1113</f>
        <v>45701.294490740744</v>
      </c>
      <c r="E1113" s="9">
        <f t="shared" si="138"/>
        <v>45701.294490740736</v>
      </c>
      <c r="F1113" s="2">
        <f>Odometer!B1113</f>
        <v>428759162</v>
      </c>
      <c r="G1113" s="2">
        <f t="shared" si="139"/>
        <v>8</v>
      </c>
      <c r="H1113" s="2">
        <f>SUM($G$2:G1113)</f>
        <v>9272</v>
      </c>
      <c r="I1113" s="10">
        <f t="shared" si="140"/>
        <v>45701.293344907404</v>
      </c>
      <c r="J1113" s="10">
        <f t="shared" si="141"/>
        <v>45701.293344907404</v>
      </c>
      <c r="K1113" s="3">
        <f t="shared" si="143"/>
        <v>8336</v>
      </c>
      <c r="L1113">
        <f t="shared" si="136"/>
        <v>16.14722222</v>
      </c>
      <c r="M1113">
        <f t="shared" si="142"/>
        <v>58.129999992000002</v>
      </c>
    </row>
    <row r="1114" spans="1:13" x14ac:dyDescent="0.25">
      <c r="A1114" s="9">
        <f>Speed!A1114</f>
        <v>45701.293356481481</v>
      </c>
      <c r="B1114" s="9">
        <f t="shared" si="137"/>
        <v>45701.293356481481</v>
      </c>
      <c r="C1114" s="2">
        <f>Speed!B1114</f>
        <v>16.68333333</v>
      </c>
      <c r="D1114" s="9">
        <f>Odometer!A1114</f>
        <v>45701.294502314813</v>
      </c>
      <c r="E1114" s="9">
        <f t="shared" si="138"/>
        <v>45701.294502314813</v>
      </c>
      <c r="F1114" s="2">
        <f>Odometer!B1114</f>
        <v>428759170</v>
      </c>
      <c r="G1114" s="2">
        <f t="shared" si="139"/>
        <v>7</v>
      </c>
      <c r="H1114" s="2">
        <f>SUM($G$2:G1114)</f>
        <v>9279</v>
      </c>
      <c r="I1114" s="10">
        <f t="shared" si="140"/>
        <v>45701.293356481481</v>
      </c>
      <c r="J1114" s="10">
        <f t="shared" si="141"/>
        <v>45701.293356481481</v>
      </c>
      <c r="K1114" s="3">
        <f t="shared" si="143"/>
        <v>8353</v>
      </c>
      <c r="L1114">
        <f t="shared" si="136"/>
        <v>16.68333333</v>
      </c>
      <c r="M1114">
        <f t="shared" si="142"/>
        <v>60.059999988000001</v>
      </c>
    </row>
    <row r="1115" spans="1:13" x14ac:dyDescent="0.25">
      <c r="A1115" s="9">
        <f>Speed!A1115</f>
        <v>45701.293368055558</v>
      </c>
      <c r="B1115" s="9">
        <f t="shared" si="137"/>
        <v>45701.293368055551</v>
      </c>
      <c r="C1115" s="2">
        <f>Speed!B1115</f>
        <v>17.016666669999999</v>
      </c>
      <c r="D1115" s="9">
        <f>Odometer!A1115</f>
        <v>45701.29451388889</v>
      </c>
      <c r="E1115" s="9">
        <f t="shared" si="138"/>
        <v>45701.29451388889</v>
      </c>
      <c r="F1115" s="2">
        <f>Odometer!B1115</f>
        <v>428759177</v>
      </c>
      <c r="G1115" s="2">
        <f t="shared" si="139"/>
        <v>8</v>
      </c>
      <c r="H1115" s="2">
        <f>SUM($G$2:G1115)</f>
        <v>9287</v>
      </c>
      <c r="I1115" s="10">
        <f t="shared" si="140"/>
        <v>45701.293368055558</v>
      </c>
      <c r="J1115" s="10">
        <f t="shared" si="141"/>
        <v>45701.293368055551</v>
      </c>
      <c r="K1115" s="3">
        <f t="shared" si="143"/>
        <v>8371</v>
      </c>
      <c r="L1115">
        <f t="shared" si="136"/>
        <v>17.016666669999999</v>
      </c>
      <c r="M1115">
        <f t="shared" si="142"/>
        <v>61.260000011999999</v>
      </c>
    </row>
    <row r="1116" spans="1:13" x14ac:dyDescent="0.25">
      <c r="A1116" s="9">
        <f>Speed!A1116</f>
        <v>45701.293379629627</v>
      </c>
      <c r="B1116" s="9">
        <f t="shared" si="137"/>
        <v>45701.293379629627</v>
      </c>
      <c r="C1116" s="2">
        <f>Speed!B1116</f>
        <v>17.438888890000001</v>
      </c>
      <c r="D1116" s="9">
        <f>Odometer!A1116</f>
        <v>45701.29451388889</v>
      </c>
      <c r="E1116" s="9">
        <f t="shared" si="138"/>
        <v>45701.29451388889</v>
      </c>
      <c r="F1116" s="2">
        <f>Odometer!B1116</f>
        <v>428759185</v>
      </c>
      <c r="G1116" s="2">
        <f t="shared" si="139"/>
        <v>1</v>
      </c>
      <c r="H1116" s="2">
        <f>SUM($G$2:G1116)</f>
        <v>9288</v>
      </c>
      <c r="I1116" s="10">
        <f t="shared" si="140"/>
        <v>45701.293379629627</v>
      </c>
      <c r="J1116" s="10">
        <f t="shared" si="141"/>
        <v>45701.293379629627</v>
      </c>
      <c r="K1116" s="3">
        <f t="shared" si="143"/>
        <v>8389</v>
      </c>
      <c r="L1116">
        <f t="shared" si="136"/>
        <v>17.438888890000001</v>
      </c>
      <c r="M1116">
        <f t="shared" si="142"/>
        <v>62.780000004000009</v>
      </c>
    </row>
    <row r="1117" spans="1:13" x14ac:dyDescent="0.25">
      <c r="A1117" s="9">
        <f>Speed!A1117</f>
        <v>45701.293391203704</v>
      </c>
      <c r="B1117" s="9">
        <f t="shared" si="137"/>
        <v>45701.293391203704</v>
      </c>
      <c r="C1117" s="2">
        <f>Speed!B1117</f>
        <v>17.78055556</v>
      </c>
      <c r="D1117" s="9">
        <f>Odometer!A1117</f>
        <v>45701.294525462959</v>
      </c>
      <c r="E1117" s="9">
        <f t="shared" si="138"/>
        <v>45701.294525462959</v>
      </c>
      <c r="F1117" s="2">
        <f>Odometer!B1117</f>
        <v>428759186</v>
      </c>
      <c r="G1117" s="2">
        <f t="shared" si="139"/>
        <v>9</v>
      </c>
      <c r="H1117" s="2">
        <f>SUM($G$2:G1117)</f>
        <v>9297</v>
      </c>
      <c r="I1117" s="10">
        <f t="shared" si="140"/>
        <v>45701.293391203704</v>
      </c>
      <c r="J1117" s="10">
        <f t="shared" si="141"/>
        <v>45701.293391203704</v>
      </c>
      <c r="K1117" s="3">
        <f t="shared" si="143"/>
        <v>8405</v>
      </c>
      <c r="L1117">
        <f t="shared" si="136"/>
        <v>17.78055556</v>
      </c>
      <c r="M1117">
        <f t="shared" si="142"/>
        <v>64.010000016000006</v>
      </c>
    </row>
    <row r="1118" spans="1:13" x14ac:dyDescent="0.25">
      <c r="A1118" s="9">
        <f>Speed!A1118</f>
        <v>45701.293391203704</v>
      </c>
      <c r="B1118" s="9">
        <f t="shared" si="137"/>
        <v>45701.293391203704</v>
      </c>
      <c r="C1118" s="2">
        <f>Speed!B1118</f>
        <v>18.01388889</v>
      </c>
      <c r="D1118" s="9">
        <f>Odometer!A1118</f>
        <v>45701.294537037036</v>
      </c>
      <c r="E1118" s="9">
        <f t="shared" si="138"/>
        <v>45701.294537037036</v>
      </c>
      <c r="F1118" s="2">
        <f>Odometer!B1118</f>
        <v>428759195</v>
      </c>
      <c r="G1118" s="2">
        <f t="shared" si="139"/>
        <v>9</v>
      </c>
      <c r="H1118" s="2">
        <f>SUM($G$2:G1118)</f>
        <v>9306</v>
      </c>
      <c r="I1118" s="10">
        <f t="shared" si="140"/>
        <v>45701.293391203704</v>
      </c>
      <c r="J1118" s="10">
        <f t="shared" si="141"/>
        <v>45701.293391203704</v>
      </c>
      <c r="K1118" s="3">
        <f t="shared" si="143"/>
        <v>8405</v>
      </c>
      <c r="L1118">
        <f t="shared" si="136"/>
        <v>17.78055556</v>
      </c>
      <c r="M1118">
        <f t="shared" si="142"/>
        <v>64.010000016000006</v>
      </c>
    </row>
    <row r="1119" spans="1:13" x14ac:dyDescent="0.25">
      <c r="A1119" s="9">
        <f>Speed!A1119</f>
        <v>45701.293402777781</v>
      </c>
      <c r="B1119" s="9">
        <f t="shared" si="137"/>
        <v>45701.293402777774</v>
      </c>
      <c r="C1119" s="2">
        <f>Speed!B1119</f>
        <v>18.005555560000001</v>
      </c>
      <c r="D1119" s="9">
        <f>Odometer!A1119</f>
        <v>45701.294537037036</v>
      </c>
      <c r="E1119" s="9">
        <f t="shared" si="138"/>
        <v>45701.294537037036</v>
      </c>
      <c r="F1119" s="2">
        <f>Odometer!B1119</f>
        <v>428759204</v>
      </c>
      <c r="G1119" s="2">
        <f t="shared" si="139"/>
        <v>12</v>
      </c>
      <c r="H1119" s="2">
        <f>SUM($G$2:G1119)</f>
        <v>9318</v>
      </c>
      <c r="I1119" s="10">
        <f t="shared" si="140"/>
        <v>45701.293402777781</v>
      </c>
      <c r="J1119" s="10">
        <f t="shared" si="141"/>
        <v>45701.293402777774</v>
      </c>
      <c r="K1119" s="3">
        <f t="shared" si="143"/>
        <v>8424</v>
      </c>
      <c r="L1119">
        <f t="shared" si="136"/>
        <v>18.005555560000001</v>
      </c>
      <c r="M1119">
        <f t="shared" si="142"/>
        <v>64.820000016000009</v>
      </c>
    </row>
    <row r="1120" spans="1:13" x14ac:dyDescent="0.25">
      <c r="A1120" s="9">
        <f>Speed!A1120</f>
        <v>45701.293414351851</v>
      </c>
      <c r="B1120" s="9">
        <f t="shared" si="137"/>
        <v>45701.293414351851</v>
      </c>
      <c r="C1120" s="2">
        <f>Speed!B1120</f>
        <v>18.288888889999999</v>
      </c>
      <c r="D1120" s="9">
        <f>Odometer!A1120</f>
        <v>45701.294560185182</v>
      </c>
      <c r="E1120" s="9">
        <f t="shared" si="138"/>
        <v>45701.294560185182</v>
      </c>
      <c r="F1120" s="2">
        <f>Odometer!B1120</f>
        <v>428759216</v>
      </c>
      <c r="G1120" s="2">
        <f t="shared" si="139"/>
        <v>11</v>
      </c>
      <c r="H1120" s="2">
        <f>SUM($G$2:G1120)</f>
        <v>9329</v>
      </c>
      <c r="I1120" s="10">
        <f t="shared" si="140"/>
        <v>45701.293414351851</v>
      </c>
      <c r="J1120" s="10">
        <f t="shared" si="141"/>
        <v>45701.293414351851</v>
      </c>
      <c r="K1120" s="3">
        <f t="shared" si="143"/>
        <v>8425</v>
      </c>
      <c r="L1120">
        <f t="shared" si="136"/>
        <v>18.288888889999999</v>
      </c>
      <c r="M1120">
        <f t="shared" si="142"/>
        <v>65.840000004000004</v>
      </c>
    </row>
    <row r="1121" spans="1:13" x14ac:dyDescent="0.25">
      <c r="A1121" s="9">
        <f>Speed!A1121</f>
        <v>45701.293414351851</v>
      </c>
      <c r="B1121" s="9">
        <f t="shared" si="137"/>
        <v>45701.293414351851</v>
      </c>
      <c r="C1121" s="2">
        <f>Speed!B1121</f>
        <v>18.305555559999998</v>
      </c>
      <c r="D1121" s="9">
        <f>Odometer!A1121</f>
        <v>45701.294571759259</v>
      </c>
      <c r="E1121" s="9">
        <f t="shared" si="138"/>
        <v>45701.294571759259</v>
      </c>
      <c r="F1121" s="2">
        <f>Odometer!B1121</f>
        <v>428759227</v>
      </c>
      <c r="G1121" s="2">
        <f t="shared" si="139"/>
        <v>12</v>
      </c>
      <c r="H1121" s="2">
        <f>SUM($G$2:G1121)</f>
        <v>9341</v>
      </c>
      <c r="I1121" s="10">
        <f t="shared" si="140"/>
        <v>45701.293414351851</v>
      </c>
      <c r="J1121" s="10">
        <f t="shared" si="141"/>
        <v>45701.293414351851</v>
      </c>
      <c r="K1121" s="3">
        <f t="shared" si="143"/>
        <v>8425</v>
      </c>
      <c r="L1121">
        <f t="shared" si="136"/>
        <v>18.288888889999999</v>
      </c>
      <c r="M1121">
        <f t="shared" si="142"/>
        <v>65.840000004000004</v>
      </c>
    </row>
    <row r="1122" spans="1:13" x14ac:dyDescent="0.25">
      <c r="A1122" s="9">
        <f>Speed!A1122</f>
        <v>45701.293425925927</v>
      </c>
      <c r="B1122" s="9">
        <f t="shared" si="137"/>
        <v>45701.29342592592</v>
      </c>
      <c r="C1122" s="2">
        <f>Speed!B1122</f>
        <v>18.524999999999999</v>
      </c>
      <c r="D1122" s="9">
        <f>Odometer!A1122</f>
        <v>45701.294583333336</v>
      </c>
      <c r="E1122" s="9">
        <f t="shared" si="138"/>
        <v>45701.294583333329</v>
      </c>
      <c r="F1122" s="2">
        <f>Odometer!B1122</f>
        <v>428759239</v>
      </c>
      <c r="G1122" s="2">
        <f t="shared" si="139"/>
        <v>2</v>
      </c>
      <c r="H1122" s="2">
        <f>SUM($G$2:G1122)</f>
        <v>9343</v>
      </c>
      <c r="I1122" s="10">
        <f t="shared" si="140"/>
        <v>45701.293425925927</v>
      </c>
      <c r="J1122" s="10">
        <f t="shared" si="141"/>
        <v>45701.29342592592</v>
      </c>
      <c r="K1122" s="3">
        <f t="shared" si="143"/>
        <v>8462</v>
      </c>
      <c r="L1122">
        <f t="shared" si="136"/>
        <v>18.524999999999999</v>
      </c>
      <c r="M1122">
        <f t="shared" si="142"/>
        <v>66.69</v>
      </c>
    </row>
    <row r="1123" spans="1:13" x14ac:dyDescent="0.25">
      <c r="A1123" s="9">
        <f>Speed!A1123</f>
        <v>45701.293437499997</v>
      </c>
      <c r="B1123" s="9">
        <f t="shared" si="137"/>
        <v>45701.293437499997</v>
      </c>
      <c r="C1123" s="2">
        <f>Speed!B1123</f>
        <v>18.725000000000001</v>
      </c>
      <c r="D1123" s="9">
        <f>Odometer!A1123</f>
        <v>45701.294583333336</v>
      </c>
      <c r="E1123" s="9">
        <f t="shared" si="138"/>
        <v>45701.294583333329</v>
      </c>
      <c r="F1123" s="2">
        <f>Odometer!B1123</f>
        <v>428759241</v>
      </c>
      <c r="G1123" s="2">
        <f t="shared" si="139"/>
        <v>13</v>
      </c>
      <c r="H1123" s="2">
        <f>SUM($G$2:G1123)</f>
        <v>9356</v>
      </c>
      <c r="I1123" s="10">
        <f t="shared" si="140"/>
        <v>45701.293437499997</v>
      </c>
      <c r="J1123" s="10">
        <f t="shared" si="141"/>
        <v>45701.293437499997</v>
      </c>
      <c r="K1123" s="3">
        <f t="shared" si="143"/>
        <v>8481</v>
      </c>
      <c r="L1123">
        <f t="shared" si="136"/>
        <v>18.725000000000001</v>
      </c>
      <c r="M1123">
        <f t="shared" si="142"/>
        <v>67.410000000000011</v>
      </c>
    </row>
    <row r="1124" spans="1:13" x14ac:dyDescent="0.25">
      <c r="A1124" s="9">
        <f>Speed!A1124</f>
        <v>45701.293449074074</v>
      </c>
      <c r="B1124" s="9">
        <f t="shared" si="137"/>
        <v>45701.293449074074</v>
      </c>
      <c r="C1124" s="2">
        <f>Speed!B1124</f>
        <v>18.930555559999998</v>
      </c>
      <c r="D1124" s="9">
        <f>Odometer!A1124</f>
        <v>45701.294594907406</v>
      </c>
      <c r="E1124" s="9">
        <f t="shared" si="138"/>
        <v>45701.294594907406</v>
      </c>
      <c r="F1124" s="2">
        <f>Odometer!B1124</f>
        <v>428759254</v>
      </c>
      <c r="G1124" s="2">
        <f t="shared" si="139"/>
        <v>14</v>
      </c>
      <c r="H1124" s="2">
        <f>SUM($G$2:G1124)</f>
        <v>9370</v>
      </c>
      <c r="I1124" s="10">
        <f t="shared" si="140"/>
        <v>45701.293449074074</v>
      </c>
      <c r="J1124" s="10">
        <f t="shared" si="141"/>
        <v>45701.293449074074</v>
      </c>
      <c r="K1124" s="3">
        <f t="shared" si="143"/>
        <v>8498</v>
      </c>
      <c r="L1124">
        <f t="shared" si="136"/>
        <v>18.930555559999998</v>
      </c>
      <c r="M1124">
        <f t="shared" si="142"/>
        <v>68.150000015999993</v>
      </c>
    </row>
    <row r="1125" spans="1:13" x14ac:dyDescent="0.25">
      <c r="A1125" s="9">
        <f>Speed!A1125</f>
        <v>45701.293449074074</v>
      </c>
      <c r="B1125" s="9">
        <f t="shared" si="137"/>
        <v>45701.293449074074</v>
      </c>
      <c r="C1125" s="2">
        <f>Speed!B1125</f>
        <v>18.869444439999999</v>
      </c>
      <c r="D1125" s="9">
        <f>Odometer!A1125</f>
        <v>45701.294606481482</v>
      </c>
      <c r="E1125" s="9">
        <f t="shared" si="138"/>
        <v>45701.294606481482</v>
      </c>
      <c r="F1125" s="2">
        <f>Odometer!B1125</f>
        <v>428759268</v>
      </c>
      <c r="G1125" s="2">
        <f t="shared" si="139"/>
        <v>14</v>
      </c>
      <c r="H1125" s="2">
        <f>SUM($G$2:G1125)</f>
        <v>9384</v>
      </c>
      <c r="I1125" s="10">
        <f t="shared" si="140"/>
        <v>45701.293449074074</v>
      </c>
      <c r="J1125" s="10">
        <f t="shared" si="141"/>
        <v>45701.293449074074</v>
      </c>
      <c r="K1125" s="3">
        <f t="shared" si="143"/>
        <v>8498</v>
      </c>
      <c r="L1125">
        <f t="shared" si="136"/>
        <v>18.930555559999998</v>
      </c>
      <c r="M1125">
        <f t="shared" si="142"/>
        <v>68.150000015999993</v>
      </c>
    </row>
    <row r="1126" spans="1:13" x14ac:dyDescent="0.25">
      <c r="A1126" s="9">
        <f>Speed!A1126</f>
        <v>45701.29346064815</v>
      </c>
      <c r="B1126" s="9">
        <f t="shared" si="137"/>
        <v>45701.293460648143</v>
      </c>
      <c r="C1126" s="2">
        <f>Speed!B1126</f>
        <v>18.86111111</v>
      </c>
      <c r="D1126" s="9">
        <f>Odometer!A1126</f>
        <v>45701.294618055559</v>
      </c>
      <c r="E1126" s="9">
        <f t="shared" si="138"/>
        <v>45701.294618055552</v>
      </c>
      <c r="F1126" s="2">
        <f>Odometer!B1126</f>
        <v>428759282</v>
      </c>
      <c r="G1126" s="2">
        <f t="shared" si="139"/>
        <v>16</v>
      </c>
      <c r="H1126" s="2">
        <f>SUM($G$2:G1126)</f>
        <v>9400</v>
      </c>
      <c r="I1126" s="10">
        <f t="shared" si="140"/>
        <v>45701.29346064815</v>
      </c>
      <c r="J1126" s="10">
        <f t="shared" si="141"/>
        <v>45701.293460648143</v>
      </c>
      <c r="K1126" s="3">
        <f t="shared" si="143"/>
        <v>8517</v>
      </c>
      <c r="L1126">
        <f t="shared" si="136"/>
        <v>18.86111111</v>
      </c>
      <c r="M1126">
        <f t="shared" si="142"/>
        <v>67.899999996000005</v>
      </c>
    </row>
    <row r="1127" spans="1:13" x14ac:dyDescent="0.25">
      <c r="A1127" s="9">
        <f>Speed!A1127</f>
        <v>45701.29347222222</v>
      </c>
      <c r="B1127" s="9">
        <f t="shared" si="137"/>
        <v>45701.29347222222</v>
      </c>
      <c r="C1127" s="2">
        <f>Speed!B1127</f>
        <v>18.93333333</v>
      </c>
      <c r="D1127" s="9">
        <f>Odometer!A1127</f>
        <v>45701.294629629629</v>
      </c>
      <c r="E1127" s="9">
        <f t="shared" si="138"/>
        <v>45701.294629629629</v>
      </c>
      <c r="F1127" s="2">
        <f>Odometer!B1127</f>
        <v>428759298</v>
      </c>
      <c r="G1127" s="2">
        <f t="shared" si="139"/>
        <v>14</v>
      </c>
      <c r="H1127" s="2">
        <f>SUM($G$2:G1127)</f>
        <v>9414</v>
      </c>
      <c r="I1127" s="10">
        <f t="shared" si="140"/>
        <v>45701.29347222222</v>
      </c>
      <c r="J1127" s="10">
        <f t="shared" si="141"/>
        <v>45701.29347222222</v>
      </c>
      <c r="K1127" s="3">
        <f t="shared" si="143"/>
        <v>8539</v>
      </c>
      <c r="L1127">
        <f t="shared" si="136"/>
        <v>18.93333333</v>
      </c>
      <c r="M1127">
        <f t="shared" si="142"/>
        <v>68.159999987999996</v>
      </c>
    </row>
    <row r="1128" spans="1:13" x14ac:dyDescent="0.25">
      <c r="A1128" s="9">
        <f>Speed!A1128</f>
        <v>45701.29347222222</v>
      </c>
      <c r="B1128" s="9">
        <f t="shared" si="137"/>
        <v>45701.29347222222</v>
      </c>
      <c r="C1128" s="2">
        <f>Speed!B1128</f>
        <v>18.89722222</v>
      </c>
      <c r="D1128" s="9">
        <f>Odometer!A1128</f>
        <v>45701.294641203705</v>
      </c>
      <c r="E1128" s="9">
        <f t="shared" si="138"/>
        <v>45701.294641203698</v>
      </c>
      <c r="F1128" s="2">
        <f>Odometer!B1128</f>
        <v>428759312</v>
      </c>
      <c r="G1128" s="2">
        <f t="shared" si="139"/>
        <v>16</v>
      </c>
      <c r="H1128" s="2">
        <f>SUM($G$2:G1128)</f>
        <v>9430</v>
      </c>
      <c r="I1128" s="10">
        <f t="shared" si="140"/>
        <v>45701.29347222222</v>
      </c>
      <c r="J1128" s="10">
        <f t="shared" si="141"/>
        <v>45701.29347222222</v>
      </c>
      <c r="K1128" s="3">
        <f t="shared" si="143"/>
        <v>8539</v>
      </c>
      <c r="L1128">
        <f t="shared" si="136"/>
        <v>18.93333333</v>
      </c>
      <c r="M1128">
        <f t="shared" si="142"/>
        <v>68.159999987999996</v>
      </c>
    </row>
    <row r="1129" spans="1:13" x14ac:dyDescent="0.25">
      <c r="A1129" s="9">
        <f>Speed!A1129</f>
        <v>45701.293483796297</v>
      </c>
      <c r="B1129" s="9">
        <f t="shared" si="137"/>
        <v>45701.293483796297</v>
      </c>
      <c r="C1129" s="2">
        <f>Speed!B1129</f>
        <v>18.875</v>
      </c>
      <c r="D1129" s="9">
        <f>Odometer!A1129</f>
        <v>45701.294652777775</v>
      </c>
      <c r="E1129" s="9">
        <f t="shared" si="138"/>
        <v>45701.294652777775</v>
      </c>
      <c r="F1129" s="2">
        <f>Odometer!B1129</f>
        <v>428759328</v>
      </c>
      <c r="G1129" s="2">
        <f t="shared" si="139"/>
        <v>17</v>
      </c>
      <c r="H1129" s="2">
        <f>SUM($G$2:G1129)</f>
        <v>9447</v>
      </c>
      <c r="I1129" s="10">
        <f t="shared" si="140"/>
        <v>45701.293483796297</v>
      </c>
      <c r="J1129" s="10">
        <f t="shared" si="141"/>
        <v>45701.293483796297</v>
      </c>
      <c r="K1129" s="3">
        <f t="shared" si="143"/>
        <v>8555</v>
      </c>
      <c r="L1129">
        <f t="shared" si="136"/>
        <v>18.875</v>
      </c>
      <c r="M1129">
        <f t="shared" si="142"/>
        <v>67.95</v>
      </c>
    </row>
    <row r="1130" spans="1:13" x14ac:dyDescent="0.25">
      <c r="A1130" s="9">
        <f>Speed!A1130</f>
        <v>45701.293495370373</v>
      </c>
      <c r="B1130" s="9">
        <f t="shared" si="137"/>
        <v>45701.293495370366</v>
      </c>
      <c r="C1130" s="2">
        <f>Speed!B1130</f>
        <v>18.847222219999999</v>
      </c>
      <c r="D1130" s="9">
        <f>Odometer!A1130</f>
        <v>45701.294664351852</v>
      </c>
      <c r="E1130" s="9">
        <f t="shared" si="138"/>
        <v>45701.294664351852</v>
      </c>
      <c r="F1130" s="2">
        <f>Odometer!B1130</f>
        <v>428759345</v>
      </c>
      <c r="G1130" s="2">
        <f t="shared" si="139"/>
        <v>16</v>
      </c>
      <c r="H1130" s="2">
        <f>SUM($G$2:G1130)</f>
        <v>9463</v>
      </c>
      <c r="I1130" s="10">
        <f t="shared" si="140"/>
        <v>45701.293495370373</v>
      </c>
      <c r="J1130" s="10">
        <f t="shared" si="141"/>
        <v>45701.293495370366</v>
      </c>
      <c r="K1130" s="3">
        <f t="shared" si="143"/>
        <v>8556</v>
      </c>
      <c r="L1130">
        <f t="shared" si="136"/>
        <v>18.847222219999999</v>
      </c>
      <c r="M1130">
        <f t="shared" si="142"/>
        <v>67.849999991999994</v>
      </c>
    </row>
    <row r="1131" spans="1:13" x14ac:dyDescent="0.25">
      <c r="A1131" s="9">
        <f>Speed!A1131</f>
        <v>45701.293495370373</v>
      </c>
      <c r="B1131" s="9">
        <f t="shared" si="137"/>
        <v>45701.293495370366</v>
      </c>
      <c r="C1131" s="2">
        <f>Speed!B1131</f>
        <v>18.84444444</v>
      </c>
      <c r="D1131" s="9">
        <f>Odometer!A1131</f>
        <v>45701.294675925928</v>
      </c>
      <c r="E1131" s="9">
        <f t="shared" si="138"/>
        <v>45701.294675925921</v>
      </c>
      <c r="F1131" s="2">
        <f>Odometer!B1131</f>
        <v>428759361</v>
      </c>
      <c r="G1131" s="2">
        <f t="shared" si="139"/>
        <v>17</v>
      </c>
      <c r="H1131" s="2">
        <f>SUM($G$2:G1131)</f>
        <v>9480</v>
      </c>
      <c r="I1131" s="10">
        <f t="shared" si="140"/>
        <v>45701.293495370373</v>
      </c>
      <c r="J1131" s="10">
        <f t="shared" si="141"/>
        <v>45701.293495370366</v>
      </c>
      <c r="K1131" s="3">
        <f t="shared" si="143"/>
        <v>8556</v>
      </c>
      <c r="L1131">
        <f t="shared" si="136"/>
        <v>18.847222219999999</v>
      </c>
      <c r="M1131">
        <f t="shared" si="142"/>
        <v>67.849999991999994</v>
      </c>
    </row>
    <row r="1132" spans="1:13" x14ac:dyDescent="0.25">
      <c r="A1132" s="9">
        <f>Speed!A1132</f>
        <v>45701.293506944443</v>
      </c>
      <c r="B1132" s="9">
        <f t="shared" si="137"/>
        <v>45701.293506944443</v>
      </c>
      <c r="C1132" s="2">
        <f>Speed!B1132</f>
        <v>18.794444439999999</v>
      </c>
      <c r="D1132" s="9">
        <f>Odometer!A1132</f>
        <v>45701.294687499998</v>
      </c>
      <c r="E1132" s="9">
        <f t="shared" si="138"/>
        <v>45701.294687499998</v>
      </c>
      <c r="F1132" s="2">
        <f>Odometer!B1132</f>
        <v>428759378</v>
      </c>
      <c r="G1132" s="2">
        <f t="shared" si="139"/>
        <v>15</v>
      </c>
      <c r="H1132" s="2">
        <f>SUM($G$2:G1132)</f>
        <v>9495</v>
      </c>
      <c r="I1132" s="10">
        <f t="shared" si="140"/>
        <v>45701.293506944443</v>
      </c>
      <c r="J1132" s="10">
        <f t="shared" si="141"/>
        <v>45701.293506944443</v>
      </c>
      <c r="K1132" s="3">
        <f t="shared" si="143"/>
        <v>8575</v>
      </c>
      <c r="L1132">
        <f t="shared" si="136"/>
        <v>18.794444439999999</v>
      </c>
      <c r="M1132">
        <f t="shared" si="142"/>
        <v>67.659999983999995</v>
      </c>
    </row>
    <row r="1133" spans="1:13" x14ac:dyDescent="0.25">
      <c r="A1133" s="9">
        <f>Speed!A1133</f>
        <v>45701.293506944443</v>
      </c>
      <c r="B1133" s="9">
        <f t="shared" si="137"/>
        <v>45701.293506944443</v>
      </c>
      <c r="C1133" s="2">
        <f>Speed!B1133</f>
        <v>18.78055556</v>
      </c>
      <c r="D1133" s="9">
        <f>Odometer!A1133</f>
        <v>45701.294699074075</v>
      </c>
      <c r="E1133" s="9">
        <f t="shared" si="138"/>
        <v>45701.294699074075</v>
      </c>
      <c r="F1133" s="2">
        <f>Odometer!B1133</f>
        <v>428759393</v>
      </c>
      <c r="G1133" s="2">
        <f t="shared" si="139"/>
        <v>16</v>
      </c>
      <c r="H1133" s="2">
        <f>SUM($G$2:G1133)</f>
        <v>9511</v>
      </c>
      <c r="I1133" s="10">
        <f t="shared" si="140"/>
        <v>45701.293506944443</v>
      </c>
      <c r="J1133" s="10">
        <f t="shared" si="141"/>
        <v>45701.293506944443</v>
      </c>
      <c r="K1133" s="3">
        <f t="shared" si="143"/>
        <v>8575</v>
      </c>
      <c r="L1133">
        <f t="shared" si="136"/>
        <v>18.794444439999999</v>
      </c>
      <c r="M1133">
        <f t="shared" si="142"/>
        <v>67.659999983999995</v>
      </c>
    </row>
    <row r="1134" spans="1:13" x14ac:dyDescent="0.25">
      <c r="A1134" s="9">
        <f>Speed!A1134</f>
        <v>45701.293506944443</v>
      </c>
      <c r="B1134" s="9">
        <f t="shared" si="137"/>
        <v>45701.293506944443</v>
      </c>
      <c r="C1134" s="2">
        <f>Speed!B1134</f>
        <v>18.78611111</v>
      </c>
      <c r="D1134" s="9">
        <f>Odometer!A1134</f>
        <v>45701.294699074075</v>
      </c>
      <c r="E1134" s="9">
        <f t="shared" si="138"/>
        <v>45701.294699074075</v>
      </c>
      <c r="F1134" s="2">
        <f>Odometer!B1134</f>
        <v>428759409</v>
      </c>
      <c r="G1134" s="2">
        <f t="shared" si="139"/>
        <v>5</v>
      </c>
      <c r="H1134" s="2">
        <f>SUM($G$2:G1134)</f>
        <v>9516</v>
      </c>
      <c r="I1134" s="10">
        <f t="shared" si="140"/>
        <v>45701.293506944443</v>
      </c>
      <c r="J1134" s="10">
        <f t="shared" si="141"/>
        <v>45701.293506944443</v>
      </c>
      <c r="K1134" s="3">
        <f t="shared" si="143"/>
        <v>8575</v>
      </c>
      <c r="L1134">
        <f t="shared" si="136"/>
        <v>18.794444439999999</v>
      </c>
      <c r="M1134">
        <f t="shared" si="142"/>
        <v>67.659999983999995</v>
      </c>
    </row>
    <row r="1135" spans="1:13" x14ac:dyDescent="0.25">
      <c r="A1135" s="9">
        <f>Speed!A1135</f>
        <v>45701.293530092589</v>
      </c>
      <c r="B1135" s="9">
        <f t="shared" si="137"/>
        <v>45701.293530092589</v>
      </c>
      <c r="C1135" s="2">
        <f>Speed!B1135</f>
        <v>18.725000000000001</v>
      </c>
      <c r="D1135" s="9">
        <f>Odometer!A1135</f>
        <v>45701.294710648152</v>
      </c>
      <c r="E1135" s="9">
        <f t="shared" si="138"/>
        <v>45701.294710648144</v>
      </c>
      <c r="F1135" s="2">
        <f>Odometer!B1135</f>
        <v>428759414</v>
      </c>
      <c r="G1135" s="2">
        <f t="shared" si="139"/>
        <v>13</v>
      </c>
      <c r="H1135" s="2">
        <f>SUM($G$2:G1135)</f>
        <v>9529</v>
      </c>
      <c r="I1135" s="10">
        <f t="shared" si="140"/>
        <v>45701.293530092589</v>
      </c>
      <c r="J1135" s="10">
        <f t="shared" si="141"/>
        <v>45701.293530092589</v>
      </c>
      <c r="K1135" s="3">
        <f t="shared" si="143"/>
        <v>8630</v>
      </c>
      <c r="L1135">
        <f t="shared" si="136"/>
        <v>18.725000000000001</v>
      </c>
      <c r="M1135">
        <f t="shared" si="142"/>
        <v>67.410000000000011</v>
      </c>
    </row>
    <row r="1136" spans="1:13" x14ac:dyDescent="0.25">
      <c r="A1136" s="9">
        <f>Speed!A1136</f>
        <v>45701.293541666666</v>
      </c>
      <c r="B1136" s="9">
        <f t="shared" si="137"/>
        <v>45701.293541666666</v>
      </c>
      <c r="C1136" s="2">
        <f>Speed!B1136</f>
        <v>18.69166667</v>
      </c>
      <c r="D1136" s="9">
        <f>Odometer!A1136</f>
        <v>45701.294722222221</v>
      </c>
      <c r="E1136" s="9">
        <f t="shared" si="138"/>
        <v>45701.294722222221</v>
      </c>
      <c r="F1136" s="2">
        <f>Odometer!B1136</f>
        <v>428759427</v>
      </c>
      <c r="G1136" s="2">
        <f t="shared" si="139"/>
        <v>16</v>
      </c>
      <c r="H1136" s="2">
        <f>SUM($G$2:G1136)</f>
        <v>9545</v>
      </c>
      <c r="I1136" s="10">
        <f t="shared" si="140"/>
        <v>45701.293541666666</v>
      </c>
      <c r="J1136" s="10">
        <f t="shared" si="141"/>
        <v>45701.293541666666</v>
      </c>
      <c r="K1136" s="3">
        <f t="shared" si="143"/>
        <v>8648</v>
      </c>
      <c r="L1136">
        <f t="shared" si="136"/>
        <v>18.69166667</v>
      </c>
      <c r="M1136">
        <f t="shared" si="142"/>
        <v>67.290000012000007</v>
      </c>
    </row>
    <row r="1137" spans="1:13" x14ac:dyDescent="0.25">
      <c r="A1137" s="9">
        <f>Speed!A1137</f>
        <v>45701.293553240743</v>
      </c>
      <c r="B1137" s="9">
        <f t="shared" si="137"/>
        <v>45701.293553240735</v>
      </c>
      <c r="C1137" s="2">
        <f>Speed!B1137</f>
        <v>18.580555560000001</v>
      </c>
      <c r="D1137" s="9">
        <f>Odometer!A1137</f>
        <v>45701.294733796298</v>
      </c>
      <c r="E1137" s="9">
        <f t="shared" si="138"/>
        <v>45701.294733796291</v>
      </c>
      <c r="F1137" s="2">
        <f>Odometer!B1137</f>
        <v>428759443</v>
      </c>
      <c r="G1137" s="2">
        <f t="shared" si="139"/>
        <v>16</v>
      </c>
      <c r="H1137" s="2">
        <f>SUM($G$2:G1137)</f>
        <v>9561</v>
      </c>
      <c r="I1137" s="10">
        <f t="shared" si="140"/>
        <v>45701.293553240743</v>
      </c>
      <c r="J1137" s="10">
        <f t="shared" si="141"/>
        <v>45701.293553240735</v>
      </c>
      <c r="K1137" s="3">
        <f t="shared" si="143"/>
        <v>8668</v>
      </c>
      <c r="L1137">
        <f t="shared" si="136"/>
        <v>18.580555560000001</v>
      </c>
      <c r="M1137">
        <f t="shared" si="142"/>
        <v>66.890000016000002</v>
      </c>
    </row>
    <row r="1138" spans="1:13" x14ac:dyDescent="0.25">
      <c r="A1138" s="9">
        <f>Speed!A1138</f>
        <v>45701.293553240743</v>
      </c>
      <c r="B1138" s="9">
        <f t="shared" si="137"/>
        <v>45701.293553240735</v>
      </c>
      <c r="C1138" s="2">
        <f>Speed!B1138</f>
        <v>18.60277778</v>
      </c>
      <c r="D1138" s="9">
        <f>Odometer!A1138</f>
        <v>45701.294745370367</v>
      </c>
      <c r="E1138" s="9">
        <f t="shared" si="138"/>
        <v>45701.294745370367</v>
      </c>
      <c r="F1138" s="2">
        <f>Odometer!B1138</f>
        <v>428759459</v>
      </c>
      <c r="G1138" s="2">
        <f t="shared" si="139"/>
        <v>16</v>
      </c>
      <c r="H1138" s="2">
        <f>SUM($G$2:G1138)</f>
        <v>9577</v>
      </c>
      <c r="I1138" s="10">
        <f t="shared" si="140"/>
        <v>45701.293553240743</v>
      </c>
      <c r="J1138" s="10">
        <f t="shared" si="141"/>
        <v>45701.293553240735</v>
      </c>
      <c r="K1138" s="3">
        <f t="shared" si="143"/>
        <v>8668</v>
      </c>
      <c r="L1138">
        <f t="shared" si="136"/>
        <v>18.580555560000001</v>
      </c>
      <c r="M1138">
        <f t="shared" si="142"/>
        <v>66.890000016000002</v>
      </c>
    </row>
    <row r="1139" spans="1:13" x14ac:dyDescent="0.25">
      <c r="A1139" s="9">
        <f>Speed!A1139</f>
        <v>45701.293576388889</v>
      </c>
      <c r="B1139" s="9">
        <f t="shared" si="137"/>
        <v>45701.293576388889</v>
      </c>
      <c r="C1139" s="2">
        <f>Speed!B1139</f>
        <v>18.497222220000001</v>
      </c>
      <c r="D1139" s="9">
        <f>Odometer!A1139</f>
        <v>45701.294745370367</v>
      </c>
      <c r="E1139" s="9">
        <f t="shared" si="138"/>
        <v>45701.294745370367</v>
      </c>
      <c r="F1139" s="2">
        <f>Odometer!B1139</f>
        <v>428759475</v>
      </c>
      <c r="G1139" s="2">
        <f t="shared" si="139"/>
        <v>1</v>
      </c>
      <c r="H1139" s="2">
        <f>SUM($G$2:G1139)</f>
        <v>9578</v>
      </c>
      <c r="I1139" s="10">
        <f t="shared" si="140"/>
        <v>45701.293576388889</v>
      </c>
      <c r="J1139" s="10">
        <f t="shared" si="141"/>
        <v>45701.293576388889</v>
      </c>
      <c r="K1139" s="3">
        <f t="shared" si="143"/>
        <v>8704</v>
      </c>
      <c r="L1139">
        <f t="shared" si="136"/>
        <v>18.497222220000001</v>
      </c>
      <c r="M1139">
        <f t="shared" si="142"/>
        <v>66.589999992000003</v>
      </c>
    </row>
    <row r="1140" spans="1:13" x14ac:dyDescent="0.25">
      <c r="A1140" s="9">
        <f>Speed!A1140</f>
        <v>45701.293587962966</v>
      </c>
      <c r="B1140" s="9">
        <f t="shared" si="137"/>
        <v>45701.293587962959</v>
      </c>
      <c r="C1140" s="2">
        <f>Speed!B1140</f>
        <v>18.33888889</v>
      </c>
      <c r="D1140" s="9">
        <f>Odometer!A1140</f>
        <v>45701.294756944444</v>
      </c>
      <c r="E1140" s="9">
        <f t="shared" si="138"/>
        <v>45701.294756944444</v>
      </c>
      <c r="F1140" s="2">
        <f>Odometer!B1140</f>
        <v>428759476</v>
      </c>
      <c r="G1140" s="2">
        <f t="shared" si="139"/>
        <v>16</v>
      </c>
      <c r="H1140" s="2">
        <f>SUM($G$2:G1140)</f>
        <v>9594</v>
      </c>
      <c r="I1140" s="10">
        <f t="shared" si="140"/>
        <v>45701.293587962966</v>
      </c>
      <c r="J1140" s="10">
        <f t="shared" si="141"/>
        <v>45701.293587962959</v>
      </c>
      <c r="K1140" s="3">
        <f t="shared" si="143"/>
        <v>8722</v>
      </c>
      <c r="L1140">
        <f t="shared" si="136"/>
        <v>18.33888889</v>
      </c>
      <c r="M1140">
        <f t="shared" si="142"/>
        <v>66.020000003999996</v>
      </c>
    </row>
    <row r="1141" spans="1:13" x14ac:dyDescent="0.25">
      <c r="A1141" s="9">
        <f>Speed!A1141</f>
        <v>45701.293599537035</v>
      </c>
      <c r="B1141" s="9">
        <f t="shared" si="137"/>
        <v>45701.293599537035</v>
      </c>
      <c r="C1141" s="2">
        <f>Speed!B1141</f>
        <v>18.19166667</v>
      </c>
      <c r="D1141" s="9">
        <f>Odometer!A1141</f>
        <v>45701.294768518521</v>
      </c>
      <c r="E1141" s="9">
        <f t="shared" si="138"/>
        <v>45701.294768518514</v>
      </c>
      <c r="F1141" s="2">
        <f>Odometer!B1141</f>
        <v>428759492</v>
      </c>
      <c r="G1141" s="2">
        <f t="shared" si="139"/>
        <v>1</v>
      </c>
      <c r="H1141" s="2">
        <f>SUM($G$2:G1141)</f>
        <v>9595</v>
      </c>
      <c r="I1141" s="10">
        <f t="shared" si="140"/>
        <v>45701.293599537035</v>
      </c>
      <c r="J1141" s="10">
        <f t="shared" si="141"/>
        <v>45701.293599537035</v>
      </c>
      <c r="K1141" s="3">
        <f t="shared" si="143"/>
        <v>8741</v>
      </c>
      <c r="L1141">
        <f t="shared" si="136"/>
        <v>18.19166667</v>
      </c>
      <c r="M1141">
        <f t="shared" si="142"/>
        <v>65.490000011999996</v>
      </c>
    </row>
    <row r="1142" spans="1:13" x14ac:dyDescent="0.25">
      <c r="A1142" s="9">
        <f>Speed!A1142</f>
        <v>45701.293611111112</v>
      </c>
      <c r="B1142" s="9">
        <f t="shared" si="137"/>
        <v>45701.293611111112</v>
      </c>
      <c r="C1142" s="2">
        <f>Speed!B1142</f>
        <v>18.06666667</v>
      </c>
      <c r="D1142" s="9">
        <f>Odometer!A1142</f>
        <v>45701.294768518521</v>
      </c>
      <c r="E1142" s="9">
        <f t="shared" si="138"/>
        <v>45701.294768518514</v>
      </c>
      <c r="F1142" s="2">
        <f>Odometer!B1142</f>
        <v>428759493</v>
      </c>
      <c r="G1142" s="2">
        <f t="shared" si="139"/>
        <v>17</v>
      </c>
      <c r="H1142" s="2">
        <f>SUM($G$2:G1142)</f>
        <v>9612</v>
      </c>
      <c r="I1142" s="10">
        <f t="shared" si="140"/>
        <v>45701.293611111112</v>
      </c>
      <c r="J1142" s="10">
        <f t="shared" si="141"/>
        <v>45701.293611111112</v>
      </c>
      <c r="K1142" s="3">
        <f t="shared" si="143"/>
        <v>8760</v>
      </c>
      <c r="L1142">
        <f t="shared" si="136"/>
        <v>18.06666667</v>
      </c>
      <c r="M1142">
        <f t="shared" si="142"/>
        <v>65.040000012000007</v>
      </c>
    </row>
    <row r="1143" spans="1:13" x14ac:dyDescent="0.25">
      <c r="A1143" s="9">
        <f>Speed!A1143</f>
        <v>45701.293622685182</v>
      </c>
      <c r="B1143" s="9">
        <f t="shared" si="137"/>
        <v>45701.293622685182</v>
      </c>
      <c r="C1143" s="2">
        <f>Speed!B1143</f>
        <v>17.936111109999999</v>
      </c>
      <c r="D1143" s="9">
        <f>Odometer!A1143</f>
        <v>45701.29478009259</v>
      </c>
      <c r="E1143" s="9">
        <f t="shared" si="138"/>
        <v>45701.29478009259</v>
      </c>
      <c r="F1143" s="2">
        <f>Odometer!B1143</f>
        <v>428759510</v>
      </c>
      <c r="G1143" s="2">
        <f t="shared" si="139"/>
        <v>15</v>
      </c>
      <c r="H1143" s="2">
        <f>SUM($G$2:G1143)</f>
        <v>9627</v>
      </c>
      <c r="I1143" s="10">
        <f t="shared" si="140"/>
        <v>45701.293622685182</v>
      </c>
      <c r="J1143" s="10">
        <f t="shared" si="141"/>
        <v>45701.293622685182</v>
      </c>
      <c r="K1143" s="3">
        <f t="shared" si="143"/>
        <v>8778</v>
      </c>
      <c r="L1143">
        <f t="shared" si="136"/>
        <v>17.936111109999999</v>
      </c>
      <c r="M1143">
        <f t="shared" si="142"/>
        <v>64.569999995999993</v>
      </c>
    </row>
    <row r="1144" spans="1:13" x14ac:dyDescent="0.25">
      <c r="A1144" s="9">
        <f>Speed!A1144</f>
        <v>45701.293634259258</v>
      </c>
      <c r="B1144" s="9">
        <f t="shared" si="137"/>
        <v>45701.293634259258</v>
      </c>
      <c r="C1144" s="2">
        <f>Speed!B1144</f>
        <v>17.76388889</v>
      </c>
      <c r="D1144" s="9">
        <f>Odometer!A1144</f>
        <v>45701.294791666667</v>
      </c>
      <c r="E1144" s="9">
        <f t="shared" si="138"/>
        <v>45701.294791666667</v>
      </c>
      <c r="F1144" s="2">
        <f>Odometer!B1144</f>
        <v>428759525</v>
      </c>
      <c r="G1144" s="2">
        <f t="shared" si="139"/>
        <v>11</v>
      </c>
      <c r="H1144" s="2">
        <f>SUM($G$2:G1144)</f>
        <v>9638</v>
      </c>
      <c r="I1144" s="10">
        <f t="shared" si="140"/>
        <v>45701.293634259258</v>
      </c>
      <c r="J1144" s="10">
        <f t="shared" si="141"/>
        <v>45701.293634259258</v>
      </c>
      <c r="K1144" s="3">
        <f t="shared" si="143"/>
        <v>8794</v>
      </c>
      <c r="L1144">
        <f t="shared" si="136"/>
        <v>17.76388889</v>
      </c>
      <c r="M1144">
        <f t="shared" si="142"/>
        <v>63.950000004000003</v>
      </c>
    </row>
    <row r="1145" spans="1:13" x14ac:dyDescent="0.25">
      <c r="A1145" s="9">
        <f>Speed!A1145</f>
        <v>45701.293645833335</v>
      </c>
      <c r="B1145" s="9">
        <f t="shared" si="137"/>
        <v>45701.293645833328</v>
      </c>
      <c r="C1145" s="2">
        <f>Speed!B1145</f>
        <v>17.600000000000001</v>
      </c>
      <c r="D1145" s="9">
        <f>Odometer!A1145</f>
        <v>45701.294791666667</v>
      </c>
      <c r="E1145" s="9">
        <f t="shared" si="138"/>
        <v>45701.294791666667</v>
      </c>
      <c r="F1145" s="2">
        <f>Odometer!B1145</f>
        <v>428759536</v>
      </c>
      <c r="G1145" s="2">
        <f t="shared" si="139"/>
        <v>6</v>
      </c>
      <c r="H1145" s="2">
        <f>SUM($G$2:G1145)</f>
        <v>9644</v>
      </c>
      <c r="I1145" s="10">
        <f t="shared" si="140"/>
        <v>45701.293645833335</v>
      </c>
      <c r="J1145" s="10">
        <f t="shared" si="141"/>
        <v>45701.293645833328</v>
      </c>
      <c r="K1145" s="3">
        <f t="shared" si="143"/>
        <v>8799</v>
      </c>
      <c r="L1145">
        <f t="shared" si="136"/>
        <v>17.600000000000001</v>
      </c>
      <c r="M1145">
        <f t="shared" si="142"/>
        <v>63.360000000000007</v>
      </c>
    </row>
    <row r="1146" spans="1:13" x14ac:dyDescent="0.25">
      <c r="A1146" s="9">
        <f>Speed!A1146</f>
        <v>45701.293645833335</v>
      </c>
      <c r="B1146" s="9">
        <f t="shared" si="137"/>
        <v>45701.293645833328</v>
      </c>
      <c r="C1146" s="2">
        <f>Speed!B1146</f>
        <v>17.583333329999999</v>
      </c>
      <c r="D1146" s="9">
        <f>Odometer!A1146</f>
        <v>45701.294803240744</v>
      </c>
      <c r="E1146" s="9">
        <f t="shared" si="138"/>
        <v>45701.294803240737</v>
      </c>
      <c r="F1146" s="2">
        <f>Odometer!B1146</f>
        <v>428759542</v>
      </c>
      <c r="G1146" s="2">
        <f t="shared" si="139"/>
        <v>5</v>
      </c>
      <c r="H1146" s="2">
        <f>SUM($G$2:G1146)</f>
        <v>9649</v>
      </c>
      <c r="I1146" s="10">
        <f t="shared" si="140"/>
        <v>45701.293645833335</v>
      </c>
      <c r="J1146" s="10">
        <f t="shared" si="141"/>
        <v>45701.293645833328</v>
      </c>
      <c r="K1146" s="3">
        <f t="shared" si="143"/>
        <v>8799</v>
      </c>
      <c r="L1146">
        <f t="shared" si="136"/>
        <v>17.600000000000001</v>
      </c>
      <c r="M1146">
        <f t="shared" si="142"/>
        <v>63.360000000000007</v>
      </c>
    </row>
    <row r="1147" spans="1:13" x14ac:dyDescent="0.25">
      <c r="A1147" s="9">
        <f>Speed!A1147</f>
        <v>45701.293657407405</v>
      </c>
      <c r="B1147" s="9">
        <f t="shared" si="137"/>
        <v>45701.293657407405</v>
      </c>
      <c r="C1147" s="2">
        <f>Speed!B1147</f>
        <v>17.366666670000001</v>
      </c>
      <c r="D1147" s="9">
        <f>Odometer!A1147</f>
        <v>45701.294803240744</v>
      </c>
      <c r="E1147" s="9">
        <f t="shared" si="138"/>
        <v>45701.294803240737</v>
      </c>
      <c r="F1147" s="2">
        <f>Odometer!B1147</f>
        <v>428759547</v>
      </c>
      <c r="G1147" s="2">
        <f t="shared" si="139"/>
        <v>12</v>
      </c>
      <c r="H1147" s="2">
        <f>SUM($G$2:G1147)</f>
        <v>9661</v>
      </c>
      <c r="I1147" s="10">
        <f t="shared" si="140"/>
        <v>45701.293657407405</v>
      </c>
      <c r="J1147" s="10">
        <f t="shared" si="141"/>
        <v>45701.293657407405</v>
      </c>
      <c r="K1147" s="3">
        <f t="shared" si="143"/>
        <v>8829</v>
      </c>
      <c r="L1147">
        <f t="shared" si="136"/>
        <v>17.366666670000001</v>
      </c>
      <c r="M1147">
        <f t="shared" si="142"/>
        <v>62.520000012000004</v>
      </c>
    </row>
    <row r="1148" spans="1:13" x14ac:dyDescent="0.25">
      <c r="A1148" s="9">
        <f>Speed!A1148</f>
        <v>45701.293668981481</v>
      </c>
      <c r="B1148" s="9">
        <f t="shared" si="137"/>
        <v>45701.293668981481</v>
      </c>
      <c r="C1148" s="2">
        <f>Speed!B1148</f>
        <v>17.113888889999998</v>
      </c>
      <c r="D1148" s="9">
        <f>Odometer!A1148</f>
        <v>45701.294814814813</v>
      </c>
      <c r="E1148" s="9">
        <f t="shared" si="138"/>
        <v>45701.294814814813</v>
      </c>
      <c r="F1148" s="2">
        <f>Odometer!B1148</f>
        <v>428759559</v>
      </c>
      <c r="G1148" s="2">
        <f t="shared" si="139"/>
        <v>15</v>
      </c>
      <c r="H1148" s="2">
        <f>SUM($G$2:G1148)</f>
        <v>9676</v>
      </c>
      <c r="I1148" s="10">
        <f t="shared" si="140"/>
        <v>45701.293668981481</v>
      </c>
      <c r="J1148" s="10">
        <f t="shared" si="141"/>
        <v>45701.293668981481</v>
      </c>
      <c r="K1148" s="3">
        <f t="shared" si="143"/>
        <v>8831</v>
      </c>
      <c r="L1148">
        <f t="shared" si="136"/>
        <v>17.113888889999998</v>
      </c>
      <c r="M1148">
        <f t="shared" si="142"/>
        <v>61.610000003999993</v>
      </c>
    </row>
    <row r="1149" spans="1:13" x14ac:dyDescent="0.25">
      <c r="A1149" s="9">
        <f>Speed!A1149</f>
        <v>45701.293668981481</v>
      </c>
      <c r="B1149" s="9">
        <f t="shared" si="137"/>
        <v>45701.293668981481</v>
      </c>
      <c r="C1149" s="2">
        <f>Speed!B1149</f>
        <v>17.077777780000002</v>
      </c>
      <c r="D1149" s="9">
        <f>Odometer!A1149</f>
        <v>45701.29482638889</v>
      </c>
      <c r="E1149" s="9">
        <f t="shared" si="138"/>
        <v>45701.29482638889</v>
      </c>
      <c r="F1149" s="2">
        <f>Odometer!B1149</f>
        <v>428759574</v>
      </c>
      <c r="G1149" s="2">
        <f t="shared" si="139"/>
        <v>17</v>
      </c>
      <c r="H1149" s="2">
        <f>SUM($G$2:G1149)</f>
        <v>9693</v>
      </c>
      <c r="I1149" s="10">
        <f t="shared" si="140"/>
        <v>45701.293668981481</v>
      </c>
      <c r="J1149" s="10">
        <f t="shared" si="141"/>
        <v>45701.293668981481</v>
      </c>
      <c r="K1149" s="3">
        <f t="shared" si="143"/>
        <v>8831</v>
      </c>
      <c r="L1149">
        <f t="shared" si="136"/>
        <v>17.113888889999998</v>
      </c>
      <c r="M1149">
        <f t="shared" si="142"/>
        <v>61.610000003999993</v>
      </c>
    </row>
    <row r="1150" spans="1:13" x14ac:dyDescent="0.25">
      <c r="A1150" s="9">
        <f>Speed!A1150</f>
        <v>45701.293680555558</v>
      </c>
      <c r="B1150" s="9">
        <f t="shared" si="137"/>
        <v>45701.293680555551</v>
      </c>
      <c r="C1150" s="2">
        <f>Speed!B1150</f>
        <v>16.850000000000001</v>
      </c>
      <c r="D1150" s="9">
        <f>Odometer!A1150</f>
        <v>45701.29483796296</v>
      </c>
      <c r="E1150" s="9">
        <f t="shared" si="138"/>
        <v>45701.29483796296</v>
      </c>
      <c r="F1150" s="2">
        <f>Odometer!B1150</f>
        <v>428759591</v>
      </c>
      <c r="G1150" s="2">
        <f t="shared" si="139"/>
        <v>1</v>
      </c>
      <c r="H1150" s="2">
        <f>SUM($G$2:G1150)</f>
        <v>9694</v>
      </c>
      <c r="I1150" s="10">
        <f t="shared" si="140"/>
        <v>45701.293680555558</v>
      </c>
      <c r="J1150" s="10">
        <f t="shared" si="141"/>
        <v>45701.293680555551</v>
      </c>
      <c r="K1150" s="3">
        <f t="shared" si="143"/>
        <v>8864</v>
      </c>
      <c r="L1150">
        <f t="shared" si="136"/>
        <v>16.850000000000001</v>
      </c>
      <c r="M1150">
        <f t="shared" si="142"/>
        <v>60.660000000000004</v>
      </c>
    </row>
    <row r="1151" spans="1:13" x14ac:dyDescent="0.25">
      <c r="A1151" s="9">
        <f>Speed!A1151</f>
        <v>45701.293692129628</v>
      </c>
      <c r="B1151" s="9">
        <f t="shared" si="137"/>
        <v>45701.293692129628</v>
      </c>
      <c r="C1151" s="2">
        <f>Speed!B1151</f>
        <v>16.563888890000001</v>
      </c>
      <c r="D1151" s="9">
        <f>Odometer!A1151</f>
        <v>45701.29483796296</v>
      </c>
      <c r="E1151" s="9">
        <f t="shared" si="138"/>
        <v>45701.29483796296</v>
      </c>
      <c r="F1151" s="2">
        <f>Odometer!B1151</f>
        <v>428759592</v>
      </c>
      <c r="G1151" s="2">
        <f t="shared" si="139"/>
        <v>15</v>
      </c>
      <c r="H1151" s="2">
        <f>SUM($G$2:G1151)</f>
        <v>9709</v>
      </c>
      <c r="I1151" s="10">
        <f t="shared" si="140"/>
        <v>45701.293692129628</v>
      </c>
      <c r="J1151" s="10">
        <f t="shared" si="141"/>
        <v>45701.293692129628</v>
      </c>
      <c r="K1151" s="3">
        <f t="shared" si="143"/>
        <v>8879</v>
      </c>
      <c r="L1151">
        <f t="shared" si="136"/>
        <v>16.563888890000001</v>
      </c>
      <c r="M1151">
        <f t="shared" si="142"/>
        <v>59.630000004000003</v>
      </c>
    </row>
    <row r="1152" spans="1:13" x14ac:dyDescent="0.25">
      <c r="A1152" s="9">
        <f>Speed!A1152</f>
        <v>45701.293703703705</v>
      </c>
      <c r="B1152" s="9">
        <f t="shared" si="137"/>
        <v>45701.293703703705</v>
      </c>
      <c r="C1152" s="2">
        <f>Speed!B1152</f>
        <v>16.358333330000001</v>
      </c>
      <c r="D1152" s="9">
        <f>Odometer!A1152</f>
        <v>45701.29483796296</v>
      </c>
      <c r="E1152" s="9">
        <f t="shared" si="138"/>
        <v>45701.29483796296</v>
      </c>
      <c r="F1152" s="2">
        <f>Odometer!B1152</f>
        <v>428759607</v>
      </c>
      <c r="G1152" s="2">
        <f t="shared" si="139"/>
        <v>15</v>
      </c>
      <c r="H1152" s="2">
        <f>SUM($G$2:G1152)</f>
        <v>9724</v>
      </c>
      <c r="I1152" s="10">
        <f t="shared" si="140"/>
        <v>45701.293703703705</v>
      </c>
      <c r="J1152" s="10">
        <f t="shared" si="141"/>
        <v>45701.293703703705</v>
      </c>
      <c r="K1152" s="3">
        <f t="shared" si="143"/>
        <v>8887</v>
      </c>
      <c r="L1152">
        <f t="shared" si="136"/>
        <v>16.358333330000001</v>
      </c>
      <c r="M1152">
        <f t="shared" si="142"/>
        <v>58.889999988000007</v>
      </c>
    </row>
    <row r="1153" spans="1:13" x14ac:dyDescent="0.25">
      <c r="A1153" s="9">
        <f>Speed!A1153</f>
        <v>45701.293703703705</v>
      </c>
      <c r="B1153" s="9">
        <f t="shared" si="137"/>
        <v>45701.293703703705</v>
      </c>
      <c r="C1153" s="2">
        <f>Speed!B1153</f>
        <v>16.277777780000001</v>
      </c>
      <c r="D1153" s="9">
        <f>Odometer!A1153</f>
        <v>45701.294861111113</v>
      </c>
      <c r="E1153" s="9">
        <f t="shared" si="138"/>
        <v>45701.294861111106</v>
      </c>
      <c r="F1153" s="2">
        <f>Odometer!B1153</f>
        <v>428759622</v>
      </c>
      <c r="G1153" s="2">
        <f t="shared" si="139"/>
        <v>15</v>
      </c>
      <c r="H1153" s="2">
        <f>SUM($G$2:G1153)</f>
        <v>9739</v>
      </c>
      <c r="I1153" s="10">
        <f t="shared" si="140"/>
        <v>45701.293703703705</v>
      </c>
      <c r="J1153" s="10">
        <f t="shared" si="141"/>
        <v>45701.293703703705</v>
      </c>
      <c r="K1153" s="3">
        <f t="shared" si="143"/>
        <v>8887</v>
      </c>
      <c r="L1153">
        <f t="shared" si="136"/>
        <v>16.358333330000001</v>
      </c>
      <c r="M1153">
        <f t="shared" si="142"/>
        <v>58.889999988000007</v>
      </c>
    </row>
    <row r="1154" spans="1:13" x14ac:dyDescent="0.25">
      <c r="A1154" s="9">
        <f>Speed!A1154</f>
        <v>45701.293703703705</v>
      </c>
      <c r="B1154" s="9">
        <f t="shared" si="137"/>
        <v>45701.293703703705</v>
      </c>
      <c r="C1154" s="2">
        <f>Speed!B1154</f>
        <v>16.216666669999999</v>
      </c>
      <c r="D1154" s="9">
        <f>Odometer!A1154</f>
        <v>45701.294872685183</v>
      </c>
      <c r="E1154" s="9">
        <f t="shared" si="138"/>
        <v>45701.294872685183</v>
      </c>
      <c r="F1154" s="2">
        <f>Odometer!B1154</f>
        <v>428759637</v>
      </c>
      <c r="G1154" s="2">
        <f t="shared" si="139"/>
        <v>13</v>
      </c>
      <c r="H1154" s="2">
        <f>SUM($G$2:G1154)</f>
        <v>9752</v>
      </c>
      <c r="I1154" s="10">
        <f t="shared" si="140"/>
        <v>45701.293703703705</v>
      </c>
      <c r="J1154" s="10">
        <f t="shared" si="141"/>
        <v>45701.293703703705</v>
      </c>
      <c r="K1154" s="3">
        <f t="shared" si="143"/>
        <v>8887</v>
      </c>
      <c r="L1154">
        <f t="shared" ref="L1154:L1217" si="144">INDEX($C$2:$C$2000, MATCH(I1154,$A$2:$A$2000,0))</f>
        <v>16.358333330000001</v>
      </c>
      <c r="M1154">
        <f t="shared" si="142"/>
        <v>58.889999988000007</v>
      </c>
    </row>
    <row r="1155" spans="1:13" x14ac:dyDescent="0.25">
      <c r="A1155" s="9">
        <f>Speed!A1155</f>
        <v>45701.293715277781</v>
      </c>
      <c r="B1155" s="9">
        <f t="shared" ref="B1155:B1218" si="145">MROUND(A1155,"00:00:01")</f>
        <v>45701.293715277774</v>
      </c>
      <c r="C1155" s="2">
        <f>Speed!B1155</f>
        <v>16.14722222</v>
      </c>
      <c r="D1155" s="9">
        <f>Odometer!A1155</f>
        <v>45701.29488425926</v>
      </c>
      <c r="E1155" s="9">
        <f t="shared" ref="E1155:E1218" si="146">MROUND(D1155,"00:00:01")</f>
        <v>45701.29488425926</v>
      </c>
      <c r="F1155" s="2">
        <f>Odometer!B1155</f>
        <v>428759650</v>
      </c>
      <c r="G1155" s="2">
        <f t="shared" ref="G1155:G1218" si="147">IF(F1156-F1155&lt;0,0,F1156-F1155)</f>
        <v>15</v>
      </c>
      <c r="H1155" s="2">
        <f>SUM($G$2:G1155)</f>
        <v>9767</v>
      </c>
      <c r="I1155" s="10">
        <f t="shared" ref="I1155:I1218" si="148">A1155</f>
        <v>45701.293715277781</v>
      </c>
      <c r="J1155" s="10">
        <f t="shared" ref="J1155:J1218" si="149">MROUND(I1155,"0:00:01")</f>
        <v>45701.293715277774</v>
      </c>
      <c r="K1155" s="3">
        <f t="shared" si="143"/>
        <v>8911</v>
      </c>
      <c r="L1155">
        <f t="shared" si="144"/>
        <v>16.14722222</v>
      </c>
      <c r="M1155">
        <f t="shared" ref="M1155:M1218" si="150">L1155*3.6</f>
        <v>58.129999992000002</v>
      </c>
    </row>
    <row r="1156" spans="1:13" x14ac:dyDescent="0.25">
      <c r="A1156" s="9">
        <f>Speed!A1156</f>
        <v>45701.293726851851</v>
      </c>
      <c r="B1156" s="9">
        <f t="shared" si="145"/>
        <v>45701.293726851851</v>
      </c>
      <c r="C1156" s="2">
        <f>Speed!B1156</f>
        <v>15.586111109999999</v>
      </c>
      <c r="D1156" s="9">
        <f>Odometer!A1156</f>
        <v>45701.294895833336</v>
      </c>
      <c r="E1156" s="9">
        <f t="shared" si="146"/>
        <v>45701.294895833329</v>
      </c>
      <c r="F1156" s="2">
        <f>Odometer!B1156</f>
        <v>428759665</v>
      </c>
      <c r="G1156" s="2">
        <f t="shared" si="147"/>
        <v>14</v>
      </c>
      <c r="H1156" s="2">
        <f>SUM($G$2:G1156)</f>
        <v>9781</v>
      </c>
      <c r="I1156" s="10">
        <f t="shared" si="148"/>
        <v>45701.293726851851</v>
      </c>
      <c r="J1156" s="10">
        <f t="shared" si="149"/>
        <v>45701.293726851851</v>
      </c>
      <c r="K1156" s="3">
        <f t="shared" ref="K1156:K1219" si="151">IFERROR(INDEX($H$2:$H$2000,MATCH(J1156,$E$2:$E$2000,0)),NA())</f>
        <v>8912</v>
      </c>
      <c r="L1156">
        <f t="shared" si="144"/>
        <v>15.586111109999999</v>
      </c>
      <c r="M1156">
        <f t="shared" si="150"/>
        <v>56.109999995999999</v>
      </c>
    </row>
    <row r="1157" spans="1:13" x14ac:dyDescent="0.25">
      <c r="A1157" s="9">
        <f>Speed!A1157</f>
        <v>45701.293726851851</v>
      </c>
      <c r="B1157" s="9">
        <f t="shared" si="145"/>
        <v>45701.293726851851</v>
      </c>
      <c r="C1157" s="2">
        <f>Speed!B1157</f>
        <v>15.54166667</v>
      </c>
      <c r="D1157" s="9">
        <f>Odometer!A1157</f>
        <v>45701.294907407406</v>
      </c>
      <c r="E1157" s="9">
        <f t="shared" si="146"/>
        <v>45701.294907407406</v>
      </c>
      <c r="F1157" s="2">
        <f>Odometer!B1157</f>
        <v>428759679</v>
      </c>
      <c r="G1157" s="2">
        <f t="shared" si="147"/>
        <v>13</v>
      </c>
      <c r="H1157" s="2">
        <f>SUM($G$2:G1157)</f>
        <v>9794</v>
      </c>
      <c r="I1157" s="10">
        <f t="shared" si="148"/>
        <v>45701.293726851851</v>
      </c>
      <c r="J1157" s="10">
        <f t="shared" si="149"/>
        <v>45701.293726851851</v>
      </c>
      <c r="K1157" s="3">
        <f t="shared" si="151"/>
        <v>8912</v>
      </c>
      <c r="L1157">
        <f t="shared" si="144"/>
        <v>15.586111109999999</v>
      </c>
      <c r="M1157">
        <f t="shared" si="150"/>
        <v>56.109999995999999</v>
      </c>
    </row>
    <row r="1158" spans="1:13" x14ac:dyDescent="0.25">
      <c r="A1158" s="9">
        <f>Speed!A1158</f>
        <v>45701.293738425928</v>
      </c>
      <c r="B1158" s="9">
        <f t="shared" si="145"/>
        <v>45701.29373842592</v>
      </c>
      <c r="C1158" s="2">
        <f>Speed!B1158</f>
        <v>15.222222220000001</v>
      </c>
      <c r="D1158" s="9">
        <f>Odometer!A1158</f>
        <v>45701.294918981483</v>
      </c>
      <c r="E1158" s="9">
        <f t="shared" si="146"/>
        <v>45701.294918981483</v>
      </c>
      <c r="F1158" s="2">
        <f>Odometer!B1158</f>
        <v>428759692</v>
      </c>
      <c r="G1158" s="2">
        <f t="shared" si="147"/>
        <v>13</v>
      </c>
      <c r="H1158" s="2">
        <f>SUM($G$2:G1158)</f>
        <v>9807</v>
      </c>
      <c r="I1158" s="10">
        <f t="shared" si="148"/>
        <v>45701.293738425928</v>
      </c>
      <c r="J1158" s="10">
        <f t="shared" si="149"/>
        <v>45701.29373842592</v>
      </c>
      <c r="K1158" s="3">
        <f t="shared" si="151"/>
        <v>8931</v>
      </c>
      <c r="L1158">
        <f t="shared" si="144"/>
        <v>15.222222220000001</v>
      </c>
      <c r="M1158">
        <f t="shared" si="150"/>
        <v>54.799999992000004</v>
      </c>
    </row>
    <row r="1159" spans="1:13" x14ac:dyDescent="0.25">
      <c r="A1159" s="9">
        <f>Speed!A1159</f>
        <v>45701.293738425928</v>
      </c>
      <c r="B1159" s="9">
        <f t="shared" si="145"/>
        <v>45701.29373842592</v>
      </c>
      <c r="C1159" s="2">
        <f>Speed!B1159</f>
        <v>15.07777778</v>
      </c>
      <c r="D1159" s="9">
        <f>Odometer!A1159</f>
        <v>45701.294930555552</v>
      </c>
      <c r="E1159" s="9">
        <f t="shared" si="146"/>
        <v>45701.294930555552</v>
      </c>
      <c r="F1159" s="2">
        <f>Odometer!B1159</f>
        <v>428759705</v>
      </c>
      <c r="G1159" s="2">
        <f t="shared" si="147"/>
        <v>13</v>
      </c>
      <c r="H1159" s="2">
        <f>SUM($G$2:G1159)</f>
        <v>9820</v>
      </c>
      <c r="I1159" s="10">
        <f t="shared" si="148"/>
        <v>45701.293738425928</v>
      </c>
      <c r="J1159" s="10">
        <f t="shared" si="149"/>
        <v>45701.29373842592</v>
      </c>
      <c r="K1159" s="3">
        <f t="shared" si="151"/>
        <v>8931</v>
      </c>
      <c r="L1159">
        <f t="shared" si="144"/>
        <v>15.222222220000001</v>
      </c>
      <c r="M1159">
        <f t="shared" si="150"/>
        <v>54.799999992000004</v>
      </c>
    </row>
    <row r="1160" spans="1:13" x14ac:dyDescent="0.25">
      <c r="A1160" s="9">
        <f>Speed!A1160</f>
        <v>45701.293749999997</v>
      </c>
      <c r="B1160" s="9">
        <f t="shared" si="145"/>
        <v>45701.293749999997</v>
      </c>
      <c r="C1160" s="2">
        <f>Speed!B1160</f>
        <v>14.73611111</v>
      </c>
      <c r="D1160" s="9">
        <f>Odometer!A1160</f>
        <v>45701.294942129629</v>
      </c>
      <c r="E1160" s="9">
        <f t="shared" si="146"/>
        <v>45701.294942129629</v>
      </c>
      <c r="F1160" s="2">
        <f>Odometer!B1160</f>
        <v>428759718</v>
      </c>
      <c r="G1160" s="2">
        <f t="shared" si="147"/>
        <v>12</v>
      </c>
      <c r="H1160" s="2">
        <f>SUM($G$2:G1160)</f>
        <v>9832</v>
      </c>
      <c r="I1160" s="10">
        <f t="shared" si="148"/>
        <v>45701.293749999997</v>
      </c>
      <c r="J1160" s="10">
        <f t="shared" si="149"/>
        <v>45701.293749999997</v>
      </c>
      <c r="K1160" s="3">
        <f t="shared" si="151"/>
        <v>8957</v>
      </c>
      <c r="L1160">
        <f t="shared" si="144"/>
        <v>14.73611111</v>
      </c>
      <c r="M1160">
        <f t="shared" si="150"/>
        <v>53.049999995999997</v>
      </c>
    </row>
    <row r="1161" spans="1:13" x14ac:dyDescent="0.25">
      <c r="A1161" s="9">
        <f>Speed!A1161</f>
        <v>45701.293749999997</v>
      </c>
      <c r="B1161" s="9">
        <f t="shared" si="145"/>
        <v>45701.293749999997</v>
      </c>
      <c r="C1161" s="2">
        <f>Speed!B1161</f>
        <v>14.705555560000001</v>
      </c>
      <c r="D1161" s="9">
        <f>Odometer!A1161</f>
        <v>45701.294953703706</v>
      </c>
      <c r="E1161" s="9">
        <f t="shared" si="146"/>
        <v>45701.294953703698</v>
      </c>
      <c r="F1161" s="2">
        <f>Odometer!B1161</f>
        <v>428759730</v>
      </c>
      <c r="G1161" s="2">
        <f t="shared" si="147"/>
        <v>12</v>
      </c>
      <c r="H1161" s="2">
        <f>SUM($G$2:G1161)</f>
        <v>9844</v>
      </c>
      <c r="I1161" s="10">
        <f t="shared" si="148"/>
        <v>45701.293749999997</v>
      </c>
      <c r="J1161" s="10">
        <f t="shared" si="149"/>
        <v>45701.293749999997</v>
      </c>
      <c r="K1161" s="3">
        <f t="shared" si="151"/>
        <v>8957</v>
      </c>
      <c r="L1161">
        <f t="shared" si="144"/>
        <v>14.73611111</v>
      </c>
      <c r="M1161">
        <f t="shared" si="150"/>
        <v>53.049999995999997</v>
      </c>
    </row>
    <row r="1162" spans="1:13" x14ac:dyDescent="0.25">
      <c r="A1162" s="9">
        <f>Speed!A1162</f>
        <v>45701.293761574074</v>
      </c>
      <c r="B1162" s="9">
        <f t="shared" si="145"/>
        <v>45701.293761574074</v>
      </c>
      <c r="C1162" s="2">
        <f>Speed!B1162</f>
        <v>14.086111109999999</v>
      </c>
      <c r="D1162" s="9">
        <f>Odometer!A1162</f>
        <v>45701.294965277775</v>
      </c>
      <c r="E1162" s="9">
        <f t="shared" si="146"/>
        <v>45701.294965277775</v>
      </c>
      <c r="F1162" s="2">
        <f>Odometer!B1162</f>
        <v>428759742</v>
      </c>
      <c r="G1162" s="2">
        <f t="shared" si="147"/>
        <v>6</v>
      </c>
      <c r="H1162" s="2">
        <f>SUM($G$2:G1162)</f>
        <v>9850</v>
      </c>
      <c r="I1162" s="10">
        <f t="shared" si="148"/>
        <v>45701.293761574074</v>
      </c>
      <c r="J1162" s="10">
        <f t="shared" si="149"/>
        <v>45701.293761574074</v>
      </c>
      <c r="K1162" s="3">
        <f t="shared" si="151"/>
        <v>8970</v>
      </c>
      <c r="L1162">
        <f t="shared" si="144"/>
        <v>14.086111109999999</v>
      </c>
      <c r="M1162">
        <f t="shared" si="150"/>
        <v>50.709999996000001</v>
      </c>
    </row>
    <row r="1163" spans="1:13" x14ac:dyDescent="0.25">
      <c r="A1163" s="9">
        <f>Speed!A1163</f>
        <v>45701.293773148151</v>
      </c>
      <c r="B1163" s="9">
        <f t="shared" si="145"/>
        <v>45701.293773148143</v>
      </c>
      <c r="C1163" s="2">
        <f>Speed!B1163</f>
        <v>13.497222219999999</v>
      </c>
      <c r="D1163" s="9">
        <f>Odometer!A1163</f>
        <v>45701.294965277775</v>
      </c>
      <c r="E1163" s="9">
        <f t="shared" si="146"/>
        <v>45701.294965277775</v>
      </c>
      <c r="F1163" s="2">
        <f>Odometer!B1163</f>
        <v>428759748</v>
      </c>
      <c r="G1163" s="2">
        <f t="shared" si="147"/>
        <v>3</v>
      </c>
      <c r="H1163" s="2">
        <f>SUM($G$2:G1163)</f>
        <v>9853</v>
      </c>
      <c r="I1163" s="10">
        <f t="shared" si="148"/>
        <v>45701.293773148151</v>
      </c>
      <c r="J1163" s="10">
        <f t="shared" si="149"/>
        <v>45701.293773148143</v>
      </c>
      <c r="K1163" s="3">
        <f t="shared" si="151"/>
        <v>8984</v>
      </c>
      <c r="L1163">
        <f t="shared" si="144"/>
        <v>13.497222219999999</v>
      </c>
      <c r="M1163">
        <f t="shared" si="150"/>
        <v>48.589999991999996</v>
      </c>
    </row>
    <row r="1164" spans="1:13" x14ac:dyDescent="0.25">
      <c r="A1164" s="9">
        <f>Speed!A1164</f>
        <v>45701.29378472222</v>
      </c>
      <c r="B1164" s="9">
        <f t="shared" si="145"/>
        <v>45701.29378472222</v>
      </c>
      <c r="C1164" s="2">
        <f>Speed!B1164</f>
        <v>12.84166667</v>
      </c>
      <c r="D1164" s="9">
        <f>Odometer!A1164</f>
        <v>45701.294965277775</v>
      </c>
      <c r="E1164" s="9">
        <f t="shared" si="146"/>
        <v>45701.294965277775</v>
      </c>
      <c r="F1164" s="2">
        <f>Odometer!B1164</f>
        <v>428759751</v>
      </c>
      <c r="G1164" s="2">
        <f t="shared" si="147"/>
        <v>2</v>
      </c>
      <c r="H1164" s="2">
        <f>SUM($G$2:G1164)</f>
        <v>9855</v>
      </c>
      <c r="I1164" s="10">
        <f t="shared" si="148"/>
        <v>45701.29378472222</v>
      </c>
      <c r="J1164" s="10">
        <f t="shared" si="149"/>
        <v>45701.29378472222</v>
      </c>
      <c r="K1164" s="3">
        <f t="shared" si="151"/>
        <v>8997</v>
      </c>
      <c r="L1164">
        <f t="shared" si="144"/>
        <v>12.84166667</v>
      </c>
      <c r="M1164">
        <f t="shared" si="150"/>
        <v>46.230000012000005</v>
      </c>
    </row>
    <row r="1165" spans="1:13" x14ac:dyDescent="0.25">
      <c r="A1165" s="9">
        <f>Speed!A1165</f>
        <v>45701.293796296297</v>
      </c>
      <c r="B1165" s="9">
        <f t="shared" si="145"/>
        <v>45701.293796296297</v>
      </c>
      <c r="C1165" s="2">
        <f>Speed!B1165</f>
        <v>12.258333329999999</v>
      </c>
      <c r="D1165" s="9">
        <f>Odometer!A1165</f>
        <v>45701.294976851852</v>
      </c>
      <c r="E1165" s="9">
        <f t="shared" si="146"/>
        <v>45701.294976851852</v>
      </c>
      <c r="F1165" s="2">
        <f>Odometer!B1165</f>
        <v>428759753</v>
      </c>
      <c r="G1165" s="2">
        <f t="shared" si="147"/>
        <v>12</v>
      </c>
      <c r="H1165" s="2">
        <f>SUM($G$2:G1165)</f>
        <v>9867</v>
      </c>
      <c r="I1165" s="10">
        <f t="shared" si="148"/>
        <v>45701.293796296297</v>
      </c>
      <c r="J1165" s="10">
        <f t="shared" si="149"/>
        <v>45701.293796296297</v>
      </c>
      <c r="K1165" s="3">
        <f t="shared" si="151"/>
        <v>9008</v>
      </c>
      <c r="L1165">
        <f t="shared" si="144"/>
        <v>12.258333329999999</v>
      </c>
      <c r="M1165">
        <f t="shared" si="150"/>
        <v>44.129999988000002</v>
      </c>
    </row>
    <row r="1166" spans="1:13" x14ac:dyDescent="0.25">
      <c r="A1166" s="9">
        <f>Speed!A1166</f>
        <v>45701.293807870374</v>
      </c>
      <c r="B1166" s="9">
        <f t="shared" si="145"/>
        <v>45701.293807870366</v>
      </c>
      <c r="C1166" s="2">
        <f>Speed!B1166</f>
        <v>11.80833333</v>
      </c>
      <c r="D1166" s="9">
        <f>Odometer!A1166</f>
        <v>45701.294988425929</v>
      </c>
      <c r="E1166" s="9">
        <f t="shared" si="146"/>
        <v>45701.294988425921</v>
      </c>
      <c r="F1166" s="2">
        <f>Odometer!B1166</f>
        <v>428759765</v>
      </c>
      <c r="G1166" s="2">
        <f t="shared" si="147"/>
        <v>11</v>
      </c>
      <c r="H1166" s="2">
        <f>SUM($G$2:G1166)</f>
        <v>9878</v>
      </c>
      <c r="I1166" s="10">
        <f t="shared" si="148"/>
        <v>45701.293807870374</v>
      </c>
      <c r="J1166" s="10">
        <f t="shared" si="149"/>
        <v>45701.293807870366</v>
      </c>
      <c r="K1166" s="3">
        <f t="shared" si="151"/>
        <v>9020</v>
      </c>
      <c r="L1166">
        <f t="shared" si="144"/>
        <v>11.80833333</v>
      </c>
      <c r="M1166">
        <f t="shared" si="150"/>
        <v>42.509999988000004</v>
      </c>
    </row>
    <row r="1167" spans="1:13" x14ac:dyDescent="0.25">
      <c r="A1167" s="9">
        <f>Speed!A1167</f>
        <v>45701.293819444443</v>
      </c>
      <c r="B1167" s="9">
        <f t="shared" si="145"/>
        <v>45701.293819444443</v>
      </c>
      <c r="C1167" s="2">
        <f>Speed!B1167</f>
        <v>11.247222219999999</v>
      </c>
      <c r="D1167" s="9">
        <f>Odometer!A1167</f>
        <v>45701.294999999998</v>
      </c>
      <c r="E1167" s="9">
        <f t="shared" si="146"/>
        <v>45701.294999999998</v>
      </c>
      <c r="F1167" s="2">
        <f>Odometer!B1167</f>
        <v>428759776</v>
      </c>
      <c r="G1167" s="2">
        <f t="shared" si="147"/>
        <v>4</v>
      </c>
      <c r="H1167" s="2">
        <f>SUM($G$2:G1167)</f>
        <v>9882</v>
      </c>
      <c r="I1167" s="10">
        <f t="shared" si="148"/>
        <v>45701.293819444443</v>
      </c>
      <c r="J1167" s="10">
        <f t="shared" si="149"/>
        <v>45701.293819444443</v>
      </c>
      <c r="K1167" s="3">
        <f t="shared" si="151"/>
        <v>9031</v>
      </c>
      <c r="L1167">
        <f t="shared" si="144"/>
        <v>11.247222219999999</v>
      </c>
      <c r="M1167">
        <f t="shared" si="150"/>
        <v>40.489999992000001</v>
      </c>
    </row>
    <row r="1168" spans="1:13" x14ac:dyDescent="0.25">
      <c r="A1168" s="9">
        <f>Speed!A1168</f>
        <v>45701.29383101852</v>
      </c>
      <c r="B1168" s="9">
        <f t="shared" si="145"/>
        <v>45701.293831018513</v>
      </c>
      <c r="C1168" s="2">
        <f>Speed!B1168</f>
        <v>10.891666669999999</v>
      </c>
      <c r="D1168" s="9">
        <f>Odometer!A1168</f>
        <v>45701.294999999998</v>
      </c>
      <c r="E1168" s="9">
        <f t="shared" si="146"/>
        <v>45701.294999999998</v>
      </c>
      <c r="F1168" s="2">
        <f>Odometer!B1168</f>
        <v>428759780</v>
      </c>
      <c r="G1168" s="2">
        <f t="shared" si="147"/>
        <v>6</v>
      </c>
      <c r="H1168" s="2">
        <f>SUM($G$2:G1168)</f>
        <v>9888</v>
      </c>
      <c r="I1168" s="10">
        <f t="shared" si="148"/>
        <v>45701.29383101852</v>
      </c>
      <c r="J1168" s="10">
        <f t="shared" si="149"/>
        <v>45701.293831018513</v>
      </c>
      <c r="K1168" s="3">
        <f t="shared" si="151"/>
        <v>9042</v>
      </c>
      <c r="L1168">
        <f t="shared" si="144"/>
        <v>10.891666669999999</v>
      </c>
      <c r="M1168">
        <f t="shared" si="150"/>
        <v>39.210000012000002</v>
      </c>
    </row>
    <row r="1169" spans="1:13" x14ac:dyDescent="0.25">
      <c r="A1169" s="9">
        <f>Speed!A1169</f>
        <v>45701.293842592589</v>
      </c>
      <c r="B1169" s="9">
        <f t="shared" si="145"/>
        <v>45701.293842592589</v>
      </c>
      <c r="C1169" s="2">
        <f>Speed!B1169</f>
        <v>10.52222222</v>
      </c>
      <c r="D1169" s="9">
        <f>Odometer!A1169</f>
        <v>45701.295011574075</v>
      </c>
      <c r="E1169" s="9">
        <f t="shared" si="146"/>
        <v>45701.295011574075</v>
      </c>
      <c r="F1169" s="2">
        <f>Odometer!B1169</f>
        <v>428759786</v>
      </c>
      <c r="G1169" s="2">
        <f t="shared" si="147"/>
        <v>11</v>
      </c>
      <c r="H1169" s="2">
        <f>SUM($G$2:G1169)</f>
        <v>9899</v>
      </c>
      <c r="I1169" s="10">
        <f t="shared" si="148"/>
        <v>45701.293842592589</v>
      </c>
      <c r="J1169" s="10">
        <f t="shared" si="149"/>
        <v>45701.293842592589</v>
      </c>
      <c r="K1169" s="3">
        <f t="shared" si="151"/>
        <v>9052</v>
      </c>
      <c r="L1169">
        <f t="shared" si="144"/>
        <v>10.52222222</v>
      </c>
      <c r="M1169">
        <f t="shared" si="150"/>
        <v>37.879999992000002</v>
      </c>
    </row>
    <row r="1170" spans="1:13" x14ac:dyDescent="0.25">
      <c r="A1170" s="9">
        <f>Speed!A1170</f>
        <v>45701.293854166666</v>
      </c>
      <c r="B1170" s="9">
        <f t="shared" si="145"/>
        <v>45701.293854166666</v>
      </c>
      <c r="C1170" s="2">
        <f>Speed!B1170</f>
        <v>10.347222220000001</v>
      </c>
      <c r="D1170" s="9">
        <f>Odometer!A1170</f>
        <v>45701.295023148145</v>
      </c>
      <c r="E1170" s="9">
        <f t="shared" si="146"/>
        <v>45701.295023148145</v>
      </c>
      <c r="F1170" s="2">
        <f>Odometer!B1170</f>
        <v>428759797</v>
      </c>
      <c r="G1170" s="2">
        <f t="shared" si="147"/>
        <v>11</v>
      </c>
      <c r="H1170" s="2">
        <f>SUM($G$2:G1170)</f>
        <v>9910</v>
      </c>
      <c r="I1170" s="10">
        <f t="shared" si="148"/>
        <v>45701.293854166666</v>
      </c>
      <c r="J1170" s="10">
        <f t="shared" si="149"/>
        <v>45701.293854166666</v>
      </c>
      <c r="K1170" s="3">
        <f t="shared" si="151"/>
        <v>9062</v>
      </c>
      <c r="L1170">
        <f t="shared" si="144"/>
        <v>10.347222220000001</v>
      </c>
      <c r="M1170">
        <f t="shared" si="150"/>
        <v>37.249999992000006</v>
      </c>
    </row>
    <row r="1171" spans="1:13" x14ac:dyDescent="0.25">
      <c r="A1171" s="9">
        <f>Speed!A1171</f>
        <v>45701.293865740743</v>
      </c>
      <c r="B1171" s="9">
        <f t="shared" si="145"/>
        <v>45701.293865740736</v>
      </c>
      <c r="C1171" s="2">
        <f>Speed!B1171</f>
        <v>10.22777778</v>
      </c>
      <c r="D1171" s="9">
        <f>Odometer!A1171</f>
        <v>45701.295034722221</v>
      </c>
      <c r="E1171" s="9">
        <f t="shared" si="146"/>
        <v>45701.295034722221</v>
      </c>
      <c r="F1171" s="2">
        <f>Odometer!B1171</f>
        <v>428759808</v>
      </c>
      <c r="G1171" s="2">
        <f t="shared" si="147"/>
        <v>8</v>
      </c>
      <c r="H1171" s="2">
        <f>SUM($G$2:G1171)</f>
        <v>9918</v>
      </c>
      <c r="I1171" s="10">
        <f t="shared" si="148"/>
        <v>45701.293865740743</v>
      </c>
      <c r="J1171" s="10">
        <f t="shared" si="149"/>
        <v>45701.293865740736</v>
      </c>
      <c r="K1171" s="3">
        <f t="shared" si="151"/>
        <v>9073</v>
      </c>
      <c r="L1171">
        <f t="shared" si="144"/>
        <v>10.22777778</v>
      </c>
      <c r="M1171">
        <f t="shared" si="150"/>
        <v>36.820000008000001</v>
      </c>
    </row>
    <row r="1172" spans="1:13" x14ac:dyDescent="0.25">
      <c r="A1172" s="9">
        <f>Speed!A1172</f>
        <v>45701.293877314813</v>
      </c>
      <c r="B1172" s="9">
        <f t="shared" si="145"/>
        <v>45701.293877314813</v>
      </c>
      <c r="C1172" s="2">
        <f>Speed!B1172</f>
        <v>10.1</v>
      </c>
      <c r="D1172" s="9">
        <f>Odometer!A1172</f>
        <v>45701.295046296298</v>
      </c>
      <c r="E1172" s="9">
        <f t="shared" si="146"/>
        <v>45701.295046296291</v>
      </c>
      <c r="F1172" s="2">
        <f>Odometer!B1172</f>
        <v>428759816</v>
      </c>
      <c r="G1172" s="2">
        <f t="shared" si="147"/>
        <v>9</v>
      </c>
      <c r="H1172" s="2">
        <f>SUM($G$2:G1172)</f>
        <v>9927</v>
      </c>
      <c r="I1172" s="10">
        <f t="shared" si="148"/>
        <v>45701.293877314813</v>
      </c>
      <c r="J1172" s="10">
        <f t="shared" si="149"/>
        <v>45701.293877314813</v>
      </c>
      <c r="K1172" s="3">
        <f t="shared" si="151"/>
        <v>9083</v>
      </c>
      <c r="L1172">
        <f t="shared" si="144"/>
        <v>10.1</v>
      </c>
      <c r="M1172">
        <f t="shared" si="150"/>
        <v>36.36</v>
      </c>
    </row>
    <row r="1173" spans="1:13" x14ac:dyDescent="0.25">
      <c r="A1173" s="9">
        <f>Speed!A1173</f>
        <v>45701.293888888889</v>
      </c>
      <c r="B1173" s="9">
        <f t="shared" si="145"/>
        <v>45701.293888888889</v>
      </c>
      <c r="C1173" s="2">
        <f>Speed!B1173</f>
        <v>10.005555559999999</v>
      </c>
      <c r="D1173" s="9">
        <f>Odometer!A1173</f>
        <v>45701.295057870368</v>
      </c>
      <c r="E1173" s="9">
        <f t="shared" si="146"/>
        <v>45701.295057870368</v>
      </c>
      <c r="F1173" s="2">
        <f>Odometer!B1173</f>
        <v>428759825</v>
      </c>
      <c r="G1173" s="2">
        <f t="shared" si="147"/>
        <v>8</v>
      </c>
      <c r="H1173" s="2">
        <f>SUM($G$2:G1173)</f>
        <v>9935</v>
      </c>
      <c r="I1173" s="10">
        <f t="shared" si="148"/>
        <v>45701.293888888889</v>
      </c>
      <c r="J1173" s="10">
        <f t="shared" si="149"/>
        <v>45701.293888888889</v>
      </c>
      <c r="K1173" s="3">
        <f t="shared" si="151"/>
        <v>9093</v>
      </c>
      <c r="L1173">
        <f t="shared" si="144"/>
        <v>10.005555559999999</v>
      </c>
      <c r="M1173">
        <f t="shared" si="150"/>
        <v>36.020000015999997</v>
      </c>
    </row>
    <row r="1174" spans="1:13" x14ac:dyDescent="0.25">
      <c r="A1174" s="9">
        <f>Speed!A1174</f>
        <v>45701.293900462966</v>
      </c>
      <c r="B1174" s="9">
        <f t="shared" si="145"/>
        <v>45701.293900462959</v>
      </c>
      <c r="C1174" s="2">
        <f>Speed!B1174</f>
        <v>9.7722222219999999</v>
      </c>
      <c r="D1174" s="9">
        <f>Odometer!A1174</f>
        <v>45701.295069444444</v>
      </c>
      <c r="E1174" s="9">
        <f t="shared" si="146"/>
        <v>45701.295069444444</v>
      </c>
      <c r="F1174" s="2">
        <f>Odometer!B1174</f>
        <v>428759833</v>
      </c>
      <c r="G1174" s="2">
        <f t="shared" si="147"/>
        <v>8</v>
      </c>
      <c r="H1174" s="2">
        <f>SUM($G$2:G1174)</f>
        <v>9943</v>
      </c>
      <c r="I1174" s="10">
        <f t="shared" si="148"/>
        <v>45701.293900462966</v>
      </c>
      <c r="J1174" s="10">
        <f t="shared" si="149"/>
        <v>45701.293900462959</v>
      </c>
      <c r="K1174" s="3">
        <f t="shared" si="151"/>
        <v>9102</v>
      </c>
      <c r="L1174">
        <f t="shared" si="144"/>
        <v>9.7722222219999999</v>
      </c>
      <c r="M1174">
        <f t="shared" si="150"/>
        <v>35.1799999992</v>
      </c>
    </row>
    <row r="1175" spans="1:13" x14ac:dyDescent="0.25">
      <c r="A1175" s="9">
        <f>Speed!A1175</f>
        <v>45701.293912037036</v>
      </c>
      <c r="B1175" s="9">
        <f t="shared" si="145"/>
        <v>45701.293912037036</v>
      </c>
      <c r="C1175" s="2">
        <f>Speed!B1175</f>
        <v>9.3444444440000005</v>
      </c>
      <c r="D1175" s="9">
        <f>Odometer!A1175</f>
        <v>45701.295081018521</v>
      </c>
      <c r="E1175" s="9">
        <f t="shared" si="146"/>
        <v>45701.295081018514</v>
      </c>
      <c r="F1175" s="2">
        <f>Odometer!B1175</f>
        <v>428759841</v>
      </c>
      <c r="G1175" s="2">
        <f t="shared" si="147"/>
        <v>6</v>
      </c>
      <c r="H1175" s="2">
        <f>SUM($G$2:G1175)</f>
        <v>9949</v>
      </c>
      <c r="I1175" s="10">
        <f t="shared" si="148"/>
        <v>45701.293912037036</v>
      </c>
      <c r="J1175" s="10">
        <f t="shared" si="149"/>
        <v>45701.293912037036</v>
      </c>
      <c r="K1175" s="3">
        <f t="shared" si="151"/>
        <v>9111</v>
      </c>
      <c r="L1175">
        <f t="shared" si="144"/>
        <v>9.3444444440000005</v>
      </c>
      <c r="M1175">
        <f t="shared" si="150"/>
        <v>33.6399999984</v>
      </c>
    </row>
    <row r="1176" spans="1:13" x14ac:dyDescent="0.25">
      <c r="A1176" s="9">
        <f>Speed!A1176</f>
        <v>45701.293923611112</v>
      </c>
      <c r="B1176" s="9">
        <f t="shared" si="145"/>
        <v>45701.293923611112</v>
      </c>
      <c r="C1176" s="2">
        <f>Speed!B1176</f>
        <v>8.9666666670000001</v>
      </c>
      <c r="D1176" s="9">
        <f>Odometer!A1176</f>
        <v>45701.295092592591</v>
      </c>
      <c r="E1176" s="9">
        <f t="shared" si="146"/>
        <v>45701.295092592591</v>
      </c>
      <c r="F1176" s="2">
        <f>Odometer!B1176</f>
        <v>428759847</v>
      </c>
      <c r="G1176" s="2">
        <f t="shared" si="147"/>
        <v>6</v>
      </c>
      <c r="H1176" s="2">
        <f>SUM($G$2:G1176)</f>
        <v>9955</v>
      </c>
      <c r="I1176" s="10">
        <f t="shared" si="148"/>
        <v>45701.293923611112</v>
      </c>
      <c r="J1176" s="10">
        <f t="shared" si="149"/>
        <v>45701.293923611112</v>
      </c>
      <c r="K1176" s="3">
        <f t="shared" si="151"/>
        <v>9112</v>
      </c>
      <c r="L1176">
        <f t="shared" si="144"/>
        <v>8.9666666670000001</v>
      </c>
      <c r="M1176">
        <f t="shared" si="150"/>
        <v>32.280000001200001</v>
      </c>
    </row>
    <row r="1177" spans="1:13" x14ac:dyDescent="0.25">
      <c r="A1177" s="9">
        <f>Speed!A1177</f>
        <v>45701.293923611112</v>
      </c>
      <c r="B1177" s="9">
        <f t="shared" si="145"/>
        <v>45701.293923611112</v>
      </c>
      <c r="C1177" s="2">
        <f>Speed!B1177</f>
        <v>8.9444444440000002</v>
      </c>
      <c r="D1177" s="9">
        <f>Odometer!A1177</f>
        <v>45701.295104166667</v>
      </c>
      <c r="E1177" s="9">
        <f t="shared" si="146"/>
        <v>45701.295104166667</v>
      </c>
      <c r="F1177" s="2">
        <f>Odometer!B1177</f>
        <v>428759853</v>
      </c>
      <c r="G1177" s="2">
        <f t="shared" si="147"/>
        <v>4</v>
      </c>
      <c r="H1177" s="2">
        <f>SUM($G$2:G1177)</f>
        <v>9959</v>
      </c>
      <c r="I1177" s="10">
        <f t="shared" si="148"/>
        <v>45701.293923611112</v>
      </c>
      <c r="J1177" s="10">
        <f t="shared" si="149"/>
        <v>45701.293923611112</v>
      </c>
      <c r="K1177" s="3">
        <f t="shared" si="151"/>
        <v>9112</v>
      </c>
      <c r="L1177">
        <f t="shared" si="144"/>
        <v>8.9666666670000001</v>
      </c>
      <c r="M1177">
        <f t="shared" si="150"/>
        <v>32.280000001200001</v>
      </c>
    </row>
    <row r="1178" spans="1:13" x14ac:dyDescent="0.25">
      <c r="A1178" s="9">
        <f>Speed!A1178</f>
        <v>45701.293935185182</v>
      </c>
      <c r="B1178" s="9">
        <f t="shared" si="145"/>
        <v>45701.293935185182</v>
      </c>
      <c r="C1178" s="2">
        <f>Speed!B1178</f>
        <v>8.7305555560000005</v>
      </c>
      <c r="D1178" s="9">
        <f>Odometer!A1178</f>
        <v>45701.295115740744</v>
      </c>
      <c r="E1178" s="9">
        <f t="shared" si="146"/>
        <v>45701.295115740737</v>
      </c>
      <c r="F1178" s="2">
        <f>Odometer!B1178</f>
        <v>428759857</v>
      </c>
      <c r="G1178" s="2">
        <f t="shared" si="147"/>
        <v>3</v>
      </c>
      <c r="H1178" s="2">
        <f>SUM($G$2:G1178)</f>
        <v>9962</v>
      </c>
      <c r="I1178" s="10">
        <f t="shared" si="148"/>
        <v>45701.293935185182</v>
      </c>
      <c r="J1178" s="10">
        <f t="shared" si="149"/>
        <v>45701.293935185182</v>
      </c>
      <c r="K1178" s="3">
        <f t="shared" si="151"/>
        <v>9128</v>
      </c>
      <c r="L1178">
        <f t="shared" si="144"/>
        <v>8.7305555560000005</v>
      </c>
      <c r="M1178">
        <f t="shared" si="150"/>
        <v>31.430000001600003</v>
      </c>
    </row>
    <row r="1179" spans="1:13" x14ac:dyDescent="0.25">
      <c r="A1179" s="9">
        <f>Speed!A1179</f>
        <v>45701.293946759259</v>
      </c>
      <c r="B1179" s="9">
        <f t="shared" si="145"/>
        <v>45701.293946759259</v>
      </c>
      <c r="C1179" s="2">
        <f>Speed!B1179</f>
        <v>8.3694444440000009</v>
      </c>
      <c r="D1179" s="9">
        <f>Odometer!A1179</f>
        <v>45701.295127314814</v>
      </c>
      <c r="E1179" s="9">
        <f t="shared" si="146"/>
        <v>45701.295127314814</v>
      </c>
      <c r="F1179" s="2">
        <f>Odometer!B1179</f>
        <v>428759860</v>
      </c>
      <c r="G1179" s="2">
        <f t="shared" si="147"/>
        <v>2</v>
      </c>
      <c r="H1179" s="2">
        <f>SUM($G$2:G1179)</f>
        <v>9964</v>
      </c>
      <c r="I1179" s="10">
        <f t="shared" si="148"/>
        <v>45701.293946759259</v>
      </c>
      <c r="J1179" s="10">
        <f t="shared" si="149"/>
        <v>45701.293946759259</v>
      </c>
      <c r="K1179" s="3">
        <f t="shared" si="151"/>
        <v>9137</v>
      </c>
      <c r="L1179">
        <f t="shared" si="144"/>
        <v>8.3694444440000009</v>
      </c>
      <c r="M1179">
        <f t="shared" si="150"/>
        <v>30.129999998400002</v>
      </c>
    </row>
    <row r="1180" spans="1:13" x14ac:dyDescent="0.25">
      <c r="A1180" s="9">
        <f>Speed!A1180</f>
        <v>45701.293958333335</v>
      </c>
      <c r="B1180" s="9">
        <f t="shared" si="145"/>
        <v>45701.293958333328</v>
      </c>
      <c r="C1180" s="2">
        <f>Speed!B1180</f>
        <v>7.8944444440000003</v>
      </c>
      <c r="D1180" s="9">
        <f>Odometer!A1180</f>
        <v>45701.295138888891</v>
      </c>
      <c r="E1180" s="9">
        <f t="shared" si="146"/>
        <v>45701.295138888883</v>
      </c>
      <c r="F1180" s="2">
        <f>Odometer!B1180</f>
        <v>428759862</v>
      </c>
      <c r="G1180" s="2">
        <f t="shared" si="147"/>
        <v>1</v>
      </c>
      <c r="H1180" s="2">
        <f>SUM($G$2:G1180)</f>
        <v>9965</v>
      </c>
      <c r="I1180" s="10">
        <f t="shared" si="148"/>
        <v>45701.293958333335</v>
      </c>
      <c r="J1180" s="10">
        <f t="shared" si="149"/>
        <v>45701.293958333328</v>
      </c>
      <c r="K1180" s="3">
        <f t="shared" si="151"/>
        <v>9144</v>
      </c>
      <c r="L1180">
        <f t="shared" si="144"/>
        <v>7.8944444440000003</v>
      </c>
      <c r="M1180">
        <f t="shared" si="150"/>
        <v>28.419999998400002</v>
      </c>
    </row>
    <row r="1181" spans="1:13" x14ac:dyDescent="0.25">
      <c r="A1181" s="9">
        <f>Speed!A1181</f>
        <v>45701.293969907405</v>
      </c>
      <c r="B1181" s="9">
        <f t="shared" si="145"/>
        <v>45701.293969907405</v>
      </c>
      <c r="C1181" s="2">
        <f>Speed!B1181</f>
        <v>7.4277777780000003</v>
      </c>
      <c r="D1181" s="9">
        <f>Odometer!A1181</f>
        <v>45701.29515046296</v>
      </c>
      <c r="E1181" s="9">
        <f t="shared" si="146"/>
        <v>45701.29515046296</v>
      </c>
      <c r="F1181" s="2">
        <f>Odometer!B1181</f>
        <v>428759863</v>
      </c>
      <c r="G1181" s="2">
        <f t="shared" si="147"/>
        <v>1</v>
      </c>
      <c r="H1181" s="2">
        <f>SUM($G$2:G1181)</f>
        <v>9966</v>
      </c>
      <c r="I1181" s="10">
        <f t="shared" si="148"/>
        <v>45701.293969907405</v>
      </c>
      <c r="J1181" s="10">
        <f t="shared" si="149"/>
        <v>45701.293969907405</v>
      </c>
      <c r="K1181" s="3">
        <f t="shared" si="151"/>
        <v>9148</v>
      </c>
      <c r="L1181">
        <f t="shared" si="144"/>
        <v>7.4277777780000003</v>
      </c>
      <c r="M1181">
        <f t="shared" si="150"/>
        <v>26.740000000800002</v>
      </c>
    </row>
    <row r="1182" spans="1:13" x14ac:dyDescent="0.25">
      <c r="A1182" s="9">
        <f>Speed!A1182</f>
        <v>45701.293969907405</v>
      </c>
      <c r="B1182" s="9">
        <f t="shared" si="145"/>
        <v>45701.293969907405</v>
      </c>
      <c r="C1182" s="2">
        <f>Speed!B1182</f>
        <v>7.1888888890000002</v>
      </c>
      <c r="D1182" s="9">
        <f>Odometer!A1182</f>
        <v>45701.295405092591</v>
      </c>
      <c r="E1182" s="9">
        <f t="shared" si="146"/>
        <v>45701.295405092591</v>
      </c>
      <c r="F1182" s="2">
        <f>Odometer!B1182</f>
        <v>428759864</v>
      </c>
      <c r="G1182" s="2">
        <f t="shared" si="147"/>
        <v>1</v>
      </c>
      <c r="H1182" s="2">
        <f>SUM($G$2:G1182)</f>
        <v>9967</v>
      </c>
      <c r="I1182" s="10">
        <f t="shared" si="148"/>
        <v>45701.293969907405</v>
      </c>
      <c r="J1182" s="10">
        <f t="shared" si="149"/>
        <v>45701.293969907405</v>
      </c>
      <c r="K1182" s="3">
        <f t="shared" si="151"/>
        <v>9148</v>
      </c>
      <c r="L1182">
        <f t="shared" si="144"/>
        <v>7.4277777780000003</v>
      </c>
      <c r="M1182">
        <f t="shared" si="150"/>
        <v>26.740000000800002</v>
      </c>
    </row>
    <row r="1183" spans="1:13" x14ac:dyDescent="0.25">
      <c r="A1183" s="9">
        <f>Speed!A1183</f>
        <v>45701.293969907405</v>
      </c>
      <c r="B1183" s="9">
        <f t="shared" si="145"/>
        <v>45701.293969907405</v>
      </c>
      <c r="C1183" s="2">
        <f>Speed!B1183</f>
        <v>6.8555555559999997</v>
      </c>
      <c r="D1183" s="9">
        <f>Odometer!A1183</f>
        <v>45701.295405092591</v>
      </c>
      <c r="E1183" s="9">
        <f t="shared" si="146"/>
        <v>45701.295405092591</v>
      </c>
      <c r="F1183" s="2">
        <f>Odometer!B1183</f>
        <v>428759865</v>
      </c>
      <c r="G1183" s="2">
        <f t="shared" si="147"/>
        <v>3</v>
      </c>
      <c r="H1183" s="2">
        <f>SUM($G$2:G1183)</f>
        <v>9970</v>
      </c>
      <c r="I1183" s="10">
        <f t="shared" si="148"/>
        <v>45701.293969907405</v>
      </c>
      <c r="J1183" s="10">
        <f t="shared" si="149"/>
        <v>45701.293969907405</v>
      </c>
      <c r="K1183" s="3">
        <f t="shared" si="151"/>
        <v>9148</v>
      </c>
      <c r="L1183">
        <f t="shared" si="144"/>
        <v>7.4277777780000003</v>
      </c>
      <c r="M1183">
        <f t="shared" si="150"/>
        <v>26.740000000800002</v>
      </c>
    </row>
    <row r="1184" spans="1:13" x14ac:dyDescent="0.25">
      <c r="A1184" s="9">
        <f>Speed!A1184</f>
        <v>45701.293981481482</v>
      </c>
      <c r="B1184" s="9">
        <f t="shared" si="145"/>
        <v>45701.293981481482</v>
      </c>
      <c r="C1184" s="2">
        <f>Speed!B1184</f>
        <v>6.8027777780000003</v>
      </c>
      <c r="D1184" s="9">
        <f>Odometer!A1184</f>
        <v>45701.295428240737</v>
      </c>
      <c r="E1184" s="9">
        <f t="shared" si="146"/>
        <v>45701.295428240737</v>
      </c>
      <c r="F1184" s="2">
        <f>Odometer!B1184</f>
        <v>428759868</v>
      </c>
      <c r="G1184" s="2">
        <f t="shared" si="147"/>
        <v>4</v>
      </c>
      <c r="H1184" s="2">
        <f>SUM($G$2:G1184)</f>
        <v>9974</v>
      </c>
      <c r="I1184" s="10">
        <f t="shared" si="148"/>
        <v>45701.293981481482</v>
      </c>
      <c r="J1184" s="10">
        <f t="shared" si="149"/>
        <v>45701.293981481482</v>
      </c>
      <c r="K1184" s="3">
        <f t="shared" si="151"/>
        <v>9158</v>
      </c>
      <c r="L1184">
        <f t="shared" si="144"/>
        <v>6.8027777780000003</v>
      </c>
      <c r="M1184">
        <f t="shared" si="150"/>
        <v>24.490000000800002</v>
      </c>
    </row>
    <row r="1185" spans="1:13" x14ac:dyDescent="0.25">
      <c r="A1185" s="9">
        <f>Speed!A1185</f>
        <v>45701.293993055559</v>
      </c>
      <c r="B1185" s="9">
        <f t="shared" si="145"/>
        <v>45701.293993055551</v>
      </c>
      <c r="C1185" s="2">
        <f>Speed!B1185</f>
        <v>6.0361111110000003</v>
      </c>
      <c r="D1185" s="9">
        <f>Odometer!A1185</f>
        <v>45701.295439814814</v>
      </c>
      <c r="E1185" s="9">
        <f t="shared" si="146"/>
        <v>45701.295439814814</v>
      </c>
      <c r="F1185" s="2">
        <f>Odometer!B1185</f>
        <v>428759872</v>
      </c>
      <c r="G1185" s="2">
        <f t="shared" si="147"/>
        <v>3</v>
      </c>
      <c r="H1185" s="2">
        <f>SUM($G$2:G1185)</f>
        <v>9977</v>
      </c>
      <c r="I1185" s="10">
        <f t="shared" si="148"/>
        <v>45701.293993055559</v>
      </c>
      <c r="J1185" s="10">
        <f t="shared" si="149"/>
        <v>45701.293993055551</v>
      </c>
      <c r="K1185" s="3">
        <f t="shared" si="151"/>
        <v>9163</v>
      </c>
      <c r="L1185">
        <f t="shared" si="144"/>
        <v>6.0361111110000003</v>
      </c>
      <c r="M1185">
        <f t="shared" si="150"/>
        <v>21.7299999996</v>
      </c>
    </row>
    <row r="1186" spans="1:13" x14ac:dyDescent="0.25">
      <c r="A1186" s="9">
        <f>Speed!A1186</f>
        <v>45701.293993055559</v>
      </c>
      <c r="B1186" s="9">
        <f t="shared" si="145"/>
        <v>45701.293993055551</v>
      </c>
      <c r="C1186" s="2">
        <f>Speed!B1186</f>
        <v>6.0833333329999997</v>
      </c>
      <c r="D1186" s="9">
        <f>Odometer!A1186</f>
        <v>45701.295439814814</v>
      </c>
      <c r="E1186" s="9">
        <f t="shared" si="146"/>
        <v>45701.295439814814</v>
      </c>
      <c r="F1186" s="2">
        <f>Odometer!B1186</f>
        <v>428759875</v>
      </c>
      <c r="G1186" s="2">
        <f t="shared" si="147"/>
        <v>2</v>
      </c>
      <c r="H1186" s="2">
        <f>SUM($G$2:G1186)</f>
        <v>9979</v>
      </c>
      <c r="I1186" s="10">
        <f t="shared" si="148"/>
        <v>45701.293993055559</v>
      </c>
      <c r="J1186" s="10">
        <f t="shared" si="149"/>
        <v>45701.293993055551</v>
      </c>
      <c r="K1186" s="3">
        <f t="shared" si="151"/>
        <v>9163</v>
      </c>
      <c r="L1186">
        <f t="shared" si="144"/>
        <v>6.0361111110000003</v>
      </c>
      <c r="M1186">
        <f t="shared" si="150"/>
        <v>21.7299999996</v>
      </c>
    </row>
    <row r="1187" spans="1:13" x14ac:dyDescent="0.25">
      <c r="A1187" s="9">
        <f>Speed!A1187</f>
        <v>45701.294004629628</v>
      </c>
      <c r="B1187" s="9">
        <f t="shared" si="145"/>
        <v>45701.294004629628</v>
      </c>
      <c r="C1187" s="2">
        <f>Speed!B1187</f>
        <v>5.363888889</v>
      </c>
      <c r="D1187" s="9">
        <f>Odometer!A1187</f>
        <v>45701.295451388891</v>
      </c>
      <c r="E1187" s="9">
        <f t="shared" si="146"/>
        <v>45701.295451388884</v>
      </c>
      <c r="F1187" s="2">
        <f>Odometer!B1187</f>
        <v>428759877</v>
      </c>
      <c r="G1187" s="2">
        <f t="shared" si="147"/>
        <v>6</v>
      </c>
      <c r="H1187" s="2">
        <f>SUM($G$2:G1187)</f>
        <v>9985</v>
      </c>
      <c r="I1187" s="10">
        <f t="shared" si="148"/>
        <v>45701.294004629628</v>
      </c>
      <c r="J1187" s="10">
        <f t="shared" si="149"/>
        <v>45701.294004629628</v>
      </c>
      <c r="K1187" s="3">
        <f t="shared" si="151"/>
        <v>9168</v>
      </c>
      <c r="L1187">
        <f t="shared" si="144"/>
        <v>5.363888889</v>
      </c>
      <c r="M1187">
        <f t="shared" si="150"/>
        <v>19.310000000400002</v>
      </c>
    </row>
    <row r="1188" spans="1:13" x14ac:dyDescent="0.25">
      <c r="A1188" s="9">
        <f>Speed!A1188</f>
        <v>45701.294016203705</v>
      </c>
      <c r="B1188" s="9">
        <f t="shared" si="145"/>
        <v>45701.294016203705</v>
      </c>
      <c r="C1188" s="2">
        <f>Speed!B1188</f>
        <v>4.5666666669999998</v>
      </c>
      <c r="D1188" s="9">
        <f>Odometer!A1188</f>
        <v>45701.295451388891</v>
      </c>
      <c r="E1188" s="9">
        <f t="shared" si="146"/>
        <v>45701.295451388884</v>
      </c>
      <c r="F1188" s="2">
        <f>Odometer!B1188</f>
        <v>428759883</v>
      </c>
      <c r="G1188" s="2">
        <f t="shared" si="147"/>
        <v>7</v>
      </c>
      <c r="H1188" s="2">
        <f>SUM($G$2:G1188)</f>
        <v>9992</v>
      </c>
      <c r="I1188" s="10">
        <f t="shared" si="148"/>
        <v>45701.294016203705</v>
      </c>
      <c r="J1188" s="10">
        <f t="shared" si="149"/>
        <v>45701.294016203705</v>
      </c>
      <c r="K1188" s="3">
        <f t="shared" si="151"/>
        <v>9172</v>
      </c>
      <c r="L1188">
        <f t="shared" si="144"/>
        <v>4.5666666669999998</v>
      </c>
      <c r="M1188">
        <f t="shared" si="150"/>
        <v>16.440000001200001</v>
      </c>
    </row>
    <row r="1189" spans="1:13" x14ac:dyDescent="0.25">
      <c r="A1189" s="9">
        <f>Speed!A1189</f>
        <v>45701.294027777774</v>
      </c>
      <c r="B1189" s="9">
        <f t="shared" si="145"/>
        <v>45701.294027777774</v>
      </c>
      <c r="C1189" s="2">
        <f>Speed!B1189</f>
        <v>3.6944444440000002</v>
      </c>
      <c r="D1189" s="9">
        <f>Odometer!A1189</f>
        <v>45701.295474537037</v>
      </c>
      <c r="E1189" s="9">
        <f t="shared" si="146"/>
        <v>45701.295474537037</v>
      </c>
      <c r="F1189" s="2">
        <f>Odometer!B1189</f>
        <v>428759890</v>
      </c>
      <c r="G1189" s="2">
        <f t="shared" si="147"/>
        <v>8</v>
      </c>
      <c r="H1189" s="2">
        <f>SUM($G$2:G1189)</f>
        <v>10000</v>
      </c>
      <c r="I1189" s="10">
        <f t="shared" si="148"/>
        <v>45701.294027777774</v>
      </c>
      <c r="J1189" s="10">
        <f t="shared" si="149"/>
        <v>45701.294027777774</v>
      </c>
      <c r="K1189" s="3">
        <f t="shared" si="151"/>
        <v>9173</v>
      </c>
      <c r="L1189">
        <f t="shared" si="144"/>
        <v>3.6944444440000002</v>
      </c>
      <c r="M1189">
        <f t="shared" si="150"/>
        <v>13.299999998400001</v>
      </c>
    </row>
    <row r="1190" spans="1:13" x14ac:dyDescent="0.25">
      <c r="A1190" s="9">
        <f>Speed!A1190</f>
        <v>45701.294027777774</v>
      </c>
      <c r="B1190" s="9">
        <f t="shared" si="145"/>
        <v>45701.294027777774</v>
      </c>
      <c r="C1190" s="2">
        <f>Speed!B1190</f>
        <v>3.5666666669999998</v>
      </c>
      <c r="D1190" s="9">
        <f>Odometer!A1190</f>
        <v>45701.295486111114</v>
      </c>
      <c r="E1190" s="9">
        <f t="shared" si="146"/>
        <v>45701.295486111107</v>
      </c>
      <c r="F1190" s="2">
        <f>Odometer!B1190</f>
        <v>428759898</v>
      </c>
      <c r="G1190" s="2">
        <f t="shared" si="147"/>
        <v>10</v>
      </c>
      <c r="H1190" s="2">
        <f>SUM($G$2:G1190)</f>
        <v>10010</v>
      </c>
      <c r="I1190" s="10">
        <f t="shared" si="148"/>
        <v>45701.294027777774</v>
      </c>
      <c r="J1190" s="10">
        <f t="shared" si="149"/>
        <v>45701.294027777774</v>
      </c>
      <c r="K1190" s="3">
        <f t="shared" si="151"/>
        <v>9173</v>
      </c>
      <c r="L1190">
        <f t="shared" si="144"/>
        <v>3.6944444440000002</v>
      </c>
      <c r="M1190">
        <f t="shared" si="150"/>
        <v>13.299999998400001</v>
      </c>
    </row>
    <row r="1191" spans="1:13" x14ac:dyDescent="0.25">
      <c r="A1191" s="9">
        <f>Speed!A1191</f>
        <v>45701.294039351851</v>
      </c>
      <c r="B1191" s="9">
        <f t="shared" si="145"/>
        <v>45701.294039351851</v>
      </c>
      <c r="C1191" s="2">
        <f>Speed!B1191</f>
        <v>2.6555555559999999</v>
      </c>
      <c r="D1191" s="9">
        <f>Odometer!A1191</f>
        <v>45701.295497685183</v>
      </c>
      <c r="E1191" s="9">
        <f t="shared" si="146"/>
        <v>45701.295497685183</v>
      </c>
      <c r="F1191" s="2">
        <f>Odometer!B1191</f>
        <v>428759908</v>
      </c>
      <c r="G1191" s="2">
        <f t="shared" si="147"/>
        <v>11</v>
      </c>
      <c r="H1191" s="2">
        <f>SUM($G$2:G1191)</f>
        <v>10021</v>
      </c>
      <c r="I1191" s="10">
        <f t="shared" si="148"/>
        <v>45701.294039351851</v>
      </c>
      <c r="J1191" s="10">
        <f t="shared" si="149"/>
        <v>45701.294039351851</v>
      </c>
      <c r="K1191" s="3" t="e">
        <f t="shared" si="151"/>
        <v>#N/A</v>
      </c>
      <c r="L1191">
        <f t="shared" si="144"/>
        <v>2.6555555559999999</v>
      </c>
      <c r="M1191">
        <f t="shared" si="150"/>
        <v>9.5600000016000006</v>
      </c>
    </row>
    <row r="1192" spans="1:13" x14ac:dyDescent="0.25">
      <c r="A1192" s="9">
        <f>Speed!A1192</f>
        <v>45701.294050925928</v>
      </c>
      <c r="B1192" s="9">
        <f t="shared" si="145"/>
        <v>45701.294050925921</v>
      </c>
      <c r="C1192" s="2">
        <f>Speed!B1192</f>
        <v>1.636111111</v>
      </c>
      <c r="D1192" s="9">
        <f>Odometer!A1192</f>
        <v>45701.29550925926</v>
      </c>
      <c r="E1192" s="9">
        <f t="shared" si="146"/>
        <v>45701.29550925926</v>
      </c>
      <c r="F1192" s="2">
        <f>Odometer!B1192</f>
        <v>428759919</v>
      </c>
      <c r="G1192" s="2">
        <f t="shared" si="147"/>
        <v>11</v>
      </c>
      <c r="H1192" s="2">
        <f>SUM($G$2:G1192)</f>
        <v>10032</v>
      </c>
      <c r="I1192" s="10">
        <f t="shared" si="148"/>
        <v>45701.294050925928</v>
      </c>
      <c r="J1192" s="10">
        <f t="shared" si="149"/>
        <v>45701.294050925921</v>
      </c>
      <c r="K1192" s="3">
        <f t="shared" si="151"/>
        <v>9179</v>
      </c>
      <c r="L1192">
        <f t="shared" si="144"/>
        <v>1.636111111</v>
      </c>
      <c r="M1192">
        <f t="shared" si="150"/>
        <v>5.8899999995999996</v>
      </c>
    </row>
    <row r="1193" spans="1:13" x14ac:dyDescent="0.25">
      <c r="A1193" s="9">
        <f>Speed!A1193</f>
        <v>45701.294050925928</v>
      </c>
      <c r="B1193" s="9">
        <f t="shared" si="145"/>
        <v>45701.294050925921</v>
      </c>
      <c r="C1193" s="2">
        <f>Speed!B1193</f>
        <v>0.86944444399999998</v>
      </c>
      <c r="D1193" s="9">
        <f>Odometer!A1193</f>
        <v>45701.295520833337</v>
      </c>
      <c r="E1193" s="9">
        <f t="shared" si="146"/>
        <v>45701.29552083333</v>
      </c>
      <c r="F1193" s="2">
        <f>Odometer!B1193</f>
        <v>428759930</v>
      </c>
      <c r="G1193" s="2">
        <f t="shared" si="147"/>
        <v>14</v>
      </c>
      <c r="H1193" s="2">
        <f>SUM($G$2:G1193)</f>
        <v>10046</v>
      </c>
      <c r="I1193" s="10">
        <f t="shared" si="148"/>
        <v>45701.294050925928</v>
      </c>
      <c r="J1193" s="10">
        <f t="shared" si="149"/>
        <v>45701.294050925921</v>
      </c>
      <c r="K1193" s="3">
        <f t="shared" si="151"/>
        <v>9179</v>
      </c>
      <c r="L1193">
        <f t="shared" si="144"/>
        <v>1.636111111</v>
      </c>
      <c r="M1193">
        <f t="shared" si="150"/>
        <v>5.8899999995999996</v>
      </c>
    </row>
    <row r="1194" spans="1:13" x14ac:dyDescent="0.25">
      <c r="A1194" s="9">
        <f>Speed!A1194</f>
        <v>45701.294062499997</v>
      </c>
      <c r="B1194" s="9">
        <f t="shared" si="145"/>
        <v>45701.294062499997</v>
      </c>
      <c r="C1194" s="2">
        <f>Speed!B1194</f>
        <v>0.91388888899999998</v>
      </c>
      <c r="D1194" s="9">
        <f>Odometer!A1194</f>
        <v>45701.295532407406</v>
      </c>
      <c r="E1194" s="9">
        <f t="shared" si="146"/>
        <v>45701.295532407406</v>
      </c>
      <c r="F1194" s="2">
        <f>Odometer!B1194</f>
        <v>428759944</v>
      </c>
      <c r="G1194" s="2">
        <f t="shared" si="147"/>
        <v>12</v>
      </c>
      <c r="H1194" s="2">
        <f>SUM($G$2:G1194)</f>
        <v>10058</v>
      </c>
      <c r="I1194" s="10">
        <f t="shared" si="148"/>
        <v>45701.294062499997</v>
      </c>
      <c r="J1194" s="10">
        <f t="shared" si="149"/>
        <v>45701.294062499997</v>
      </c>
      <c r="K1194" s="3" t="e">
        <f t="shared" si="151"/>
        <v>#N/A</v>
      </c>
      <c r="L1194">
        <f t="shared" si="144"/>
        <v>0.91388888899999998</v>
      </c>
      <c r="M1194">
        <f t="shared" si="150"/>
        <v>3.2900000004000001</v>
      </c>
    </row>
    <row r="1195" spans="1:13" x14ac:dyDescent="0.25">
      <c r="A1195" s="9">
        <f>Speed!A1195</f>
        <v>45701.294074074074</v>
      </c>
      <c r="B1195" s="9">
        <f t="shared" si="145"/>
        <v>45701.294074074074</v>
      </c>
      <c r="C1195" s="2">
        <f>Speed!B1195</f>
        <v>0.14444444400000001</v>
      </c>
      <c r="D1195" s="9">
        <f>Odometer!A1195</f>
        <v>45701.295543981483</v>
      </c>
      <c r="E1195" s="9">
        <f t="shared" si="146"/>
        <v>45701.295543981476</v>
      </c>
      <c r="F1195" s="2">
        <f>Odometer!B1195</f>
        <v>428759956</v>
      </c>
      <c r="G1195" s="2">
        <f t="shared" si="147"/>
        <v>14</v>
      </c>
      <c r="H1195" s="2">
        <f>SUM($G$2:G1195)</f>
        <v>10072</v>
      </c>
      <c r="I1195" s="10">
        <f t="shared" si="148"/>
        <v>45701.294074074074</v>
      </c>
      <c r="J1195" s="10">
        <f t="shared" si="149"/>
        <v>45701.294074074074</v>
      </c>
      <c r="K1195" s="3">
        <f t="shared" si="151"/>
        <v>9181</v>
      </c>
      <c r="L1195">
        <f t="shared" si="144"/>
        <v>0.14444444400000001</v>
      </c>
      <c r="M1195">
        <f t="shared" si="150"/>
        <v>0.5199999984</v>
      </c>
    </row>
    <row r="1196" spans="1:13" x14ac:dyDescent="0.25">
      <c r="A1196" s="9">
        <f>Speed!A1196</f>
        <v>45701.294085648151</v>
      </c>
      <c r="B1196" s="9">
        <f t="shared" si="145"/>
        <v>45701.294085648144</v>
      </c>
      <c r="C1196" s="2">
        <f>Speed!B1196</f>
        <v>4.4444444E-2</v>
      </c>
      <c r="D1196" s="9">
        <f>Odometer!A1196</f>
        <v>45701.295555555553</v>
      </c>
      <c r="E1196" s="9">
        <f t="shared" si="146"/>
        <v>45701.295555555553</v>
      </c>
      <c r="F1196" s="2">
        <f>Odometer!B1196</f>
        <v>428759970</v>
      </c>
      <c r="G1196" s="2">
        <f t="shared" si="147"/>
        <v>15</v>
      </c>
      <c r="H1196" s="2">
        <f>SUM($G$2:G1196)</f>
        <v>10087</v>
      </c>
      <c r="I1196" s="10">
        <f t="shared" si="148"/>
        <v>45701.294085648151</v>
      </c>
      <c r="J1196" s="10">
        <f t="shared" si="149"/>
        <v>45701.294085648144</v>
      </c>
      <c r="K1196" s="3" t="e">
        <f t="shared" si="151"/>
        <v>#N/A</v>
      </c>
      <c r="L1196">
        <f t="shared" si="144"/>
        <v>4.4444444E-2</v>
      </c>
      <c r="M1196">
        <f t="shared" si="150"/>
        <v>0.15999999840000001</v>
      </c>
    </row>
    <row r="1197" spans="1:13" x14ac:dyDescent="0.25">
      <c r="A1197" s="9">
        <f>Speed!A1197</f>
        <v>45701.29409722222</v>
      </c>
      <c r="B1197" s="9">
        <f t="shared" si="145"/>
        <v>45701.29409722222</v>
      </c>
      <c r="C1197" s="2">
        <f>Speed!B1197</f>
        <v>0</v>
      </c>
      <c r="D1197" s="9">
        <f>Odometer!A1197</f>
        <v>45701.295555555553</v>
      </c>
      <c r="E1197" s="9">
        <f t="shared" si="146"/>
        <v>45701.295555555553</v>
      </c>
      <c r="F1197" s="2">
        <f>Odometer!B1197</f>
        <v>428759985</v>
      </c>
      <c r="G1197" s="2">
        <f t="shared" si="147"/>
        <v>15</v>
      </c>
      <c r="H1197" s="2">
        <f>SUM($G$2:G1197)</f>
        <v>10102</v>
      </c>
      <c r="I1197" s="10">
        <f t="shared" si="148"/>
        <v>45701.29409722222</v>
      </c>
      <c r="J1197" s="10">
        <f t="shared" si="149"/>
        <v>45701.29409722222</v>
      </c>
      <c r="K1197" s="3" t="e">
        <f t="shared" si="151"/>
        <v>#N/A</v>
      </c>
      <c r="L1197">
        <f t="shared" si="144"/>
        <v>0</v>
      </c>
      <c r="M1197">
        <f t="shared" si="150"/>
        <v>0</v>
      </c>
    </row>
    <row r="1198" spans="1:13" x14ac:dyDescent="0.25">
      <c r="A1198" s="9">
        <f>Speed!A1198</f>
        <v>45701.294328703705</v>
      </c>
      <c r="B1198" s="9">
        <f t="shared" si="145"/>
        <v>45701.294328703698</v>
      </c>
      <c r="C1198" s="2">
        <f>Speed!B1198</f>
        <v>0.491666667</v>
      </c>
      <c r="D1198" s="9">
        <f>Odometer!A1198</f>
        <v>45701.295578703706</v>
      </c>
      <c r="E1198" s="9">
        <f t="shared" si="146"/>
        <v>45701.295578703699</v>
      </c>
      <c r="F1198" s="2">
        <f>Odometer!B1198</f>
        <v>428760000</v>
      </c>
      <c r="G1198" s="2">
        <f t="shared" si="147"/>
        <v>15</v>
      </c>
      <c r="H1198" s="2">
        <f>SUM($G$2:G1198)</f>
        <v>10117</v>
      </c>
      <c r="I1198" s="10">
        <f t="shared" si="148"/>
        <v>45701.294328703705</v>
      </c>
      <c r="J1198" s="10">
        <f t="shared" si="149"/>
        <v>45701.294328703698</v>
      </c>
      <c r="K1198" s="3" t="e">
        <f t="shared" si="151"/>
        <v>#N/A</v>
      </c>
      <c r="L1198">
        <f t="shared" si="144"/>
        <v>0.491666667</v>
      </c>
      <c r="M1198">
        <f t="shared" si="150"/>
        <v>1.7700000012000001</v>
      </c>
    </row>
    <row r="1199" spans="1:13" x14ac:dyDescent="0.25">
      <c r="A1199" s="9">
        <f>Speed!A1199</f>
        <v>45701.294328703705</v>
      </c>
      <c r="B1199" s="9">
        <f t="shared" si="145"/>
        <v>45701.294328703698</v>
      </c>
      <c r="C1199" s="2">
        <f>Speed!B1199</f>
        <v>0.96111111100000002</v>
      </c>
      <c r="D1199" s="9">
        <f>Odometer!A1199</f>
        <v>45701.295590277776</v>
      </c>
      <c r="E1199" s="9">
        <f t="shared" si="146"/>
        <v>45701.295590277776</v>
      </c>
      <c r="F1199" s="2">
        <f>Odometer!B1199</f>
        <v>428760015</v>
      </c>
      <c r="G1199" s="2">
        <f t="shared" si="147"/>
        <v>2</v>
      </c>
      <c r="H1199" s="2">
        <f>SUM($G$2:G1199)</f>
        <v>10119</v>
      </c>
      <c r="I1199" s="10">
        <f t="shared" si="148"/>
        <v>45701.294328703705</v>
      </c>
      <c r="J1199" s="10">
        <f t="shared" si="149"/>
        <v>45701.294328703698</v>
      </c>
      <c r="K1199" s="3" t="e">
        <f t="shared" si="151"/>
        <v>#N/A</v>
      </c>
      <c r="L1199">
        <f t="shared" si="144"/>
        <v>0.491666667</v>
      </c>
      <c r="M1199">
        <f t="shared" si="150"/>
        <v>1.7700000012000001</v>
      </c>
    </row>
    <row r="1200" spans="1:13" x14ac:dyDescent="0.25">
      <c r="A1200" s="9">
        <f>Speed!A1200</f>
        <v>45701.294340277775</v>
      </c>
      <c r="B1200" s="9">
        <f t="shared" si="145"/>
        <v>45701.294340277775</v>
      </c>
      <c r="C1200" s="2">
        <f>Speed!B1200</f>
        <v>1.630555556</v>
      </c>
      <c r="D1200" s="9">
        <f>Odometer!A1200</f>
        <v>45701.295590277776</v>
      </c>
      <c r="E1200" s="9">
        <f t="shared" si="146"/>
        <v>45701.295590277776</v>
      </c>
      <c r="F1200" s="2">
        <f>Odometer!B1200</f>
        <v>428760017</v>
      </c>
      <c r="G1200" s="2">
        <f t="shared" si="147"/>
        <v>14</v>
      </c>
      <c r="H1200" s="2">
        <f>SUM($G$2:G1200)</f>
        <v>10133</v>
      </c>
      <c r="I1200" s="10">
        <f t="shared" si="148"/>
        <v>45701.294340277775</v>
      </c>
      <c r="J1200" s="10">
        <f t="shared" si="149"/>
        <v>45701.294340277775</v>
      </c>
      <c r="K1200" s="3">
        <f t="shared" si="151"/>
        <v>9183</v>
      </c>
      <c r="L1200">
        <f t="shared" si="144"/>
        <v>1.630555556</v>
      </c>
      <c r="M1200">
        <f t="shared" si="150"/>
        <v>5.8700000016000002</v>
      </c>
    </row>
    <row r="1201" spans="1:13" x14ac:dyDescent="0.25">
      <c r="A1201" s="9">
        <f>Speed!A1201</f>
        <v>45701.294351851851</v>
      </c>
      <c r="B1201" s="9">
        <f t="shared" si="145"/>
        <v>45701.294351851851</v>
      </c>
      <c r="C1201" s="2">
        <f>Speed!B1201</f>
        <v>3.0083333329999999</v>
      </c>
      <c r="D1201" s="9">
        <f>Odometer!A1201</f>
        <v>45701.295601851853</v>
      </c>
      <c r="E1201" s="9">
        <f t="shared" si="146"/>
        <v>45701.295601851853</v>
      </c>
      <c r="F1201" s="2">
        <f>Odometer!B1201</f>
        <v>428760031</v>
      </c>
      <c r="G1201" s="2">
        <f t="shared" si="147"/>
        <v>16</v>
      </c>
      <c r="H1201" s="2">
        <f>SUM($G$2:G1201)</f>
        <v>10149</v>
      </c>
      <c r="I1201" s="10">
        <f t="shared" si="148"/>
        <v>45701.294351851851</v>
      </c>
      <c r="J1201" s="10">
        <f t="shared" si="149"/>
        <v>45701.294351851851</v>
      </c>
      <c r="K1201" s="3">
        <f t="shared" si="151"/>
        <v>9187</v>
      </c>
      <c r="L1201">
        <f t="shared" si="144"/>
        <v>3.0083333329999999</v>
      </c>
      <c r="M1201">
        <f t="shared" si="150"/>
        <v>10.8299999988</v>
      </c>
    </row>
    <row r="1202" spans="1:13" x14ac:dyDescent="0.25">
      <c r="A1202" s="9">
        <f>Speed!A1202</f>
        <v>45701.294363425928</v>
      </c>
      <c r="B1202" s="9">
        <f t="shared" si="145"/>
        <v>45701.294363425921</v>
      </c>
      <c r="C1202" s="2">
        <f>Speed!B1202</f>
        <v>4.2222222220000001</v>
      </c>
      <c r="D1202" s="9">
        <f>Odometer!A1202</f>
        <v>45701.295613425929</v>
      </c>
      <c r="E1202" s="9">
        <f t="shared" si="146"/>
        <v>45701.295613425922</v>
      </c>
      <c r="F1202" s="2">
        <f>Odometer!B1202</f>
        <v>428760047</v>
      </c>
      <c r="G1202" s="2">
        <f t="shared" si="147"/>
        <v>16</v>
      </c>
      <c r="H1202" s="2">
        <f>SUM($G$2:G1202)</f>
        <v>10165</v>
      </c>
      <c r="I1202" s="10">
        <f t="shared" si="148"/>
        <v>45701.294363425928</v>
      </c>
      <c r="J1202" s="10">
        <f t="shared" si="149"/>
        <v>45701.294363425921</v>
      </c>
      <c r="K1202" s="3">
        <f t="shared" si="151"/>
        <v>9192</v>
      </c>
      <c r="L1202">
        <f t="shared" si="144"/>
        <v>4.2222222220000001</v>
      </c>
      <c r="M1202">
        <f t="shared" si="150"/>
        <v>15.199999999200001</v>
      </c>
    </row>
    <row r="1203" spans="1:13" x14ac:dyDescent="0.25">
      <c r="A1203" s="9">
        <f>Speed!A1203</f>
        <v>45701.294374999998</v>
      </c>
      <c r="B1203" s="9">
        <f t="shared" si="145"/>
        <v>45701.294374999998</v>
      </c>
      <c r="C1203" s="2">
        <f>Speed!B1203</f>
        <v>5.5083333330000004</v>
      </c>
      <c r="D1203" s="9">
        <f>Odometer!A1203</f>
        <v>45701.295624999999</v>
      </c>
      <c r="E1203" s="9">
        <f t="shared" si="146"/>
        <v>45701.295624999999</v>
      </c>
      <c r="F1203" s="2">
        <f>Odometer!B1203</f>
        <v>428760063</v>
      </c>
      <c r="G1203" s="2">
        <f t="shared" si="147"/>
        <v>16</v>
      </c>
      <c r="H1203" s="2">
        <f>SUM($G$2:G1203)</f>
        <v>10181</v>
      </c>
      <c r="I1203" s="10">
        <f t="shared" si="148"/>
        <v>45701.294374999998</v>
      </c>
      <c r="J1203" s="10">
        <f t="shared" si="149"/>
        <v>45701.294374999998</v>
      </c>
      <c r="K1203" s="3">
        <f t="shared" si="151"/>
        <v>9198</v>
      </c>
      <c r="L1203">
        <f t="shared" si="144"/>
        <v>5.5083333330000004</v>
      </c>
      <c r="M1203">
        <f t="shared" si="150"/>
        <v>19.829999998800002</v>
      </c>
    </row>
    <row r="1204" spans="1:13" x14ac:dyDescent="0.25">
      <c r="A1204" s="9">
        <f>Speed!A1204</f>
        <v>45701.294386574074</v>
      </c>
      <c r="B1204" s="9">
        <f t="shared" si="145"/>
        <v>45701.294386574074</v>
      </c>
      <c r="C1204" s="2">
        <f>Speed!B1204</f>
        <v>6.7944444439999998</v>
      </c>
      <c r="D1204" s="9">
        <f>Odometer!A1204</f>
        <v>45701.295636574076</v>
      </c>
      <c r="E1204" s="9">
        <f t="shared" si="146"/>
        <v>45701.295636574068</v>
      </c>
      <c r="F1204" s="2">
        <f>Odometer!B1204</f>
        <v>428760079</v>
      </c>
      <c r="G1204" s="2">
        <f t="shared" si="147"/>
        <v>19</v>
      </c>
      <c r="H1204" s="2">
        <f>SUM($G$2:G1204)</f>
        <v>10200</v>
      </c>
      <c r="I1204" s="10">
        <f t="shared" si="148"/>
        <v>45701.294386574074</v>
      </c>
      <c r="J1204" s="10">
        <f t="shared" si="149"/>
        <v>45701.294386574074</v>
      </c>
      <c r="K1204" s="3">
        <f t="shared" si="151"/>
        <v>9200</v>
      </c>
      <c r="L1204">
        <f t="shared" si="144"/>
        <v>6.7944444439999998</v>
      </c>
      <c r="M1204">
        <f t="shared" si="150"/>
        <v>24.459999998400001</v>
      </c>
    </row>
    <row r="1205" spans="1:13" x14ac:dyDescent="0.25">
      <c r="A1205" s="9">
        <f>Speed!A1205</f>
        <v>45701.294386574074</v>
      </c>
      <c r="B1205" s="9">
        <f t="shared" si="145"/>
        <v>45701.294386574074</v>
      </c>
      <c r="C1205" s="2">
        <f>Speed!B1205</f>
        <v>7.2</v>
      </c>
      <c r="D1205" s="9">
        <f>Odometer!A1205</f>
        <v>45701.295648148145</v>
      </c>
      <c r="E1205" s="9">
        <f t="shared" si="146"/>
        <v>45701.295648148145</v>
      </c>
      <c r="F1205" s="2">
        <f>Odometer!B1205</f>
        <v>428760098</v>
      </c>
      <c r="G1205" s="2">
        <f t="shared" si="147"/>
        <v>16</v>
      </c>
      <c r="H1205" s="2">
        <f>SUM($G$2:G1205)</f>
        <v>10216</v>
      </c>
      <c r="I1205" s="10">
        <f t="shared" si="148"/>
        <v>45701.294386574074</v>
      </c>
      <c r="J1205" s="10">
        <f t="shared" si="149"/>
        <v>45701.294386574074</v>
      </c>
      <c r="K1205" s="3">
        <f t="shared" si="151"/>
        <v>9200</v>
      </c>
      <c r="L1205">
        <f t="shared" si="144"/>
        <v>6.7944444439999998</v>
      </c>
      <c r="M1205">
        <f t="shared" si="150"/>
        <v>24.459999998400001</v>
      </c>
    </row>
    <row r="1206" spans="1:13" x14ac:dyDescent="0.25">
      <c r="A1206" s="9">
        <f>Speed!A1206</f>
        <v>45701.294398148151</v>
      </c>
      <c r="B1206" s="9">
        <f t="shared" si="145"/>
        <v>45701.294398148144</v>
      </c>
      <c r="C1206" s="2">
        <f>Speed!B1206</f>
        <v>7.7305555559999997</v>
      </c>
      <c r="D1206" s="9">
        <f>Odometer!A1206</f>
        <v>45701.295659722222</v>
      </c>
      <c r="E1206" s="9">
        <f t="shared" si="146"/>
        <v>45701.295659722222</v>
      </c>
      <c r="F1206" s="2">
        <f>Odometer!B1206</f>
        <v>428760114</v>
      </c>
      <c r="G1206" s="2">
        <f t="shared" si="147"/>
        <v>19</v>
      </c>
      <c r="H1206" s="2">
        <f>SUM($G$2:G1206)</f>
        <v>10235</v>
      </c>
      <c r="I1206" s="10">
        <f t="shared" si="148"/>
        <v>45701.294398148151</v>
      </c>
      <c r="J1206" s="10">
        <f t="shared" si="149"/>
        <v>45701.294398148144</v>
      </c>
      <c r="K1206" s="3">
        <f t="shared" si="151"/>
        <v>9213</v>
      </c>
      <c r="L1206">
        <f t="shared" si="144"/>
        <v>7.7305555559999997</v>
      </c>
      <c r="M1206">
        <f t="shared" si="150"/>
        <v>27.830000001599998</v>
      </c>
    </row>
    <row r="1207" spans="1:13" x14ac:dyDescent="0.25">
      <c r="A1207" s="9">
        <f>Speed!A1207</f>
        <v>45701.294409722221</v>
      </c>
      <c r="B1207" s="9">
        <f t="shared" si="145"/>
        <v>45701.294409722221</v>
      </c>
      <c r="C1207" s="2">
        <f>Speed!B1207</f>
        <v>7.9472222219999997</v>
      </c>
      <c r="D1207" s="9">
        <f>Odometer!A1207</f>
        <v>45701.295671296299</v>
      </c>
      <c r="E1207" s="9">
        <f t="shared" si="146"/>
        <v>45701.295671296291</v>
      </c>
      <c r="F1207" s="2">
        <f>Odometer!B1207</f>
        <v>428760133</v>
      </c>
      <c r="G1207" s="2">
        <f t="shared" si="147"/>
        <v>17</v>
      </c>
      <c r="H1207" s="2">
        <f>SUM($G$2:G1207)</f>
        <v>10252</v>
      </c>
      <c r="I1207" s="10">
        <f t="shared" si="148"/>
        <v>45701.294409722221</v>
      </c>
      <c r="J1207" s="10">
        <f t="shared" si="149"/>
        <v>45701.294409722221</v>
      </c>
      <c r="K1207" s="3">
        <f t="shared" si="151"/>
        <v>9221</v>
      </c>
      <c r="L1207">
        <f t="shared" si="144"/>
        <v>7.9472222219999997</v>
      </c>
      <c r="M1207">
        <f t="shared" si="150"/>
        <v>28.609999999199999</v>
      </c>
    </row>
    <row r="1208" spans="1:13" x14ac:dyDescent="0.25">
      <c r="A1208" s="9">
        <f>Speed!A1208</f>
        <v>45701.294421296298</v>
      </c>
      <c r="B1208" s="9">
        <f t="shared" si="145"/>
        <v>45701.294421296298</v>
      </c>
      <c r="C1208" s="2">
        <f>Speed!B1208</f>
        <v>7.7222222220000001</v>
      </c>
      <c r="D1208" s="9">
        <f>Odometer!A1208</f>
        <v>45701.295682870368</v>
      </c>
      <c r="E1208" s="9">
        <f t="shared" si="146"/>
        <v>45701.295682870368</v>
      </c>
      <c r="F1208" s="2">
        <f>Odometer!B1208</f>
        <v>428760150</v>
      </c>
      <c r="G1208" s="2">
        <f t="shared" si="147"/>
        <v>18</v>
      </c>
      <c r="H1208" s="2">
        <f>SUM($G$2:G1208)</f>
        <v>10270</v>
      </c>
      <c r="I1208" s="10">
        <f t="shared" si="148"/>
        <v>45701.294421296298</v>
      </c>
      <c r="J1208" s="10">
        <f t="shared" si="149"/>
        <v>45701.294421296298</v>
      </c>
      <c r="K1208" s="3">
        <f t="shared" si="151"/>
        <v>9228</v>
      </c>
      <c r="L1208">
        <f t="shared" si="144"/>
        <v>7.7222222220000001</v>
      </c>
      <c r="M1208">
        <f t="shared" si="150"/>
        <v>27.799999999200001</v>
      </c>
    </row>
    <row r="1209" spans="1:13" x14ac:dyDescent="0.25">
      <c r="A1209" s="9">
        <f>Speed!A1209</f>
        <v>45701.294421296298</v>
      </c>
      <c r="B1209" s="9">
        <f t="shared" si="145"/>
        <v>45701.294421296298</v>
      </c>
      <c r="C1209" s="2">
        <f>Speed!B1209</f>
        <v>7.5250000000000004</v>
      </c>
      <c r="D1209" s="9">
        <f>Odometer!A1209</f>
        <v>45701.295694444445</v>
      </c>
      <c r="E1209" s="9">
        <f t="shared" si="146"/>
        <v>45701.295694444445</v>
      </c>
      <c r="F1209" s="2">
        <f>Odometer!B1209</f>
        <v>428760168</v>
      </c>
      <c r="G1209" s="2">
        <f t="shared" si="147"/>
        <v>3</v>
      </c>
      <c r="H1209" s="2">
        <f>SUM($G$2:G1209)</f>
        <v>10273</v>
      </c>
      <c r="I1209" s="10">
        <f t="shared" si="148"/>
        <v>45701.294421296298</v>
      </c>
      <c r="J1209" s="10">
        <f t="shared" si="149"/>
        <v>45701.294421296298</v>
      </c>
      <c r="K1209" s="3">
        <f t="shared" si="151"/>
        <v>9228</v>
      </c>
      <c r="L1209">
        <f t="shared" si="144"/>
        <v>7.7222222220000001</v>
      </c>
      <c r="M1209">
        <f t="shared" si="150"/>
        <v>27.799999999200001</v>
      </c>
    </row>
    <row r="1210" spans="1:13" x14ac:dyDescent="0.25">
      <c r="A1210" s="9">
        <f>Speed!A1210</f>
        <v>45701.294444444444</v>
      </c>
      <c r="B1210" s="9">
        <f t="shared" si="145"/>
        <v>45701.294444444444</v>
      </c>
      <c r="C1210" s="2">
        <f>Speed!B1210</f>
        <v>7.3</v>
      </c>
      <c r="D1210" s="9">
        <f>Odometer!A1210</f>
        <v>45701.295694444445</v>
      </c>
      <c r="E1210" s="9">
        <f t="shared" si="146"/>
        <v>45701.295694444445</v>
      </c>
      <c r="F1210" s="2">
        <f>Odometer!B1210</f>
        <v>428760171</v>
      </c>
      <c r="G1210" s="2">
        <f t="shared" si="147"/>
        <v>15</v>
      </c>
      <c r="H1210" s="2">
        <f>SUM($G$2:G1210)</f>
        <v>10288</v>
      </c>
      <c r="I1210" s="10">
        <f t="shared" si="148"/>
        <v>45701.294444444444</v>
      </c>
      <c r="J1210" s="10">
        <f t="shared" si="149"/>
        <v>45701.294444444444</v>
      </c>
      <c r="K1210" s="3">
        <f t="shared" si="151"/>
        <v>9243</v>
      </c>
      <c r="L1210">
        <f t="shared" si="144"/>
        <v>7.3</v>
      </c>
      <c r="M1210">
        <f t="shared" si="150"/>
        <v>26.28</v>
      </c>
    </row>
    <row r="1211" spans="1:13" x14ac:dyDescent="0.25">
      <c r="A1211" s="9">
        <f>Speed!A1211</f>
        <v>45701.294456018521</v>
      </c>
      <c r="B1211" s="9">
        <f t="shared" si="145"/>
        <v>45701.294456018513</v>
      </c>
      <c r="C1211" s="2">
        <f>Speed!B1211</f>
        <v>7.1027777780000001</v>
      </c>
      <c r="D1211" s="9">
        <f>Odometer!A1211</f>
        <v>45701.295706018522</v>
      </c>
      <c r="E1211" s="9">
        <f t="shared" si="146"/>
        <v>45701.295706018514</v>
      </c>
      <c r="F1211" s="2">
        <f>Odometer!B1211</f>
        <v>428760186</v>
      </c>
      <c r="G1211" s="2">
        <f t="shared" si="147"/>
        <v>19</v>
      </c>
      <c r="H1211" s="2">
        <f>SUM($G$2:G1211)</f>
        <v>10307</v>
      </c>
      <c r="I1211" s="10">
        <f t="shared" si="148"/>
        <v>45701.294456018521</v>
      </c>
      <c r="J1211" s="10">
        <f t="shared" si="149"/>
        <v>45701.294456018513</v>
      </c>
      <c r="K1211" s="3">
        <f t="shared" si="151"/>
        <v>9249</v>
      </c>
      <c r="L1211">
        <f t="shared" si="144"/>
        <v>7.1027777780000001</v>
      </c>
      <c r="M1211">
        <f t="shared" si="150"/>
        <v>25.5700000008</v>
      </c>
    </row>
    <row r="1212" spans="1:13" x14ac:dyDescent="0.25">
      <c r="A1212" s="9">
        <f>Speed!A1212</f>
        <v>45701.29446759259</v>
      </c>
      <c r="B1212" s="9">
        <f t="shared" si="145"/>
        <v>45701.29446759259</v>
      </c>
      <c r="C1212" s="2">
        <f>Speed!B1212</f>
        <v>6.9166666670000003</v>
      </c>
      <c r="D1212" s="9">
        <f>Odometer!A1212</f>
        <v>45701.295717592591</v>
      </c>
      <c r="E1212" s="9">
        <f t="shared" si="146"/>
        <v>45701.295717592591</v>
      </c>
      <c r="F1212" s="2">
        <f>Odometer!B1212</f>
        <v>428760205</v>
      </c>
      <c r="G1212" s="2">
        <f t="shared" si="147"/>
        <v>1</v>
      </c>
      <c r="H1212" s="2">
        <f>SUM($G$2:G1212)</f>
        <v>10308</v>
      </c>
      <c r="I1212" s="10">
        <f t="shared" si="148"/>
        <v>45701.29446759259</v>
      </c>
      <c r="J1212" s="10">
        <f t="shared" si="149"/>
        <v>45701.29446759259</v>
      </c>
      <c r="K1212" s="3">
        <f t="shared" si="151"/>
        <v>9250</v>
      </c>
      <c r="L1212">
        <f t="shared" si="144"/>
        <v>6.9166666670000003</v>
      </c>
      <c r="M1212">
        <f t="shared" si="150"/>
        <v>24.900000001200002</v>
      </c>
    </row>
    <row r="1213" spans="1:13" x14ac:dyDescent="0.25">
      <c r="A1213" s="9">
        <f>Speed!A1213</f>
        <v>45701.29446759259</v>
      </c>
      <c r="B1213" s="9">
        <f t="shared" si="145"/>
        <v>45701.29446759259</v>
      </c>
      <c r="C1213" s="2">
        <f>Speed!B1213</f>
        <v>6.886111111</v>
      </c>
      <c r="D1213" s="9">
        <f>Odometer!A1213</f>
        <v>45701.295717592591</v>
      </c>
      <c r="E1213" s="9">
        <f t="shared" si="146"/>
        <v>45701.295717592591</v>
      </c>
      <c r="F1213" s="2">
        <f>Odometer!B1213</f>
        <v>428760206</v>
      </c>
      <c r="G1213" s="2">
        <f t="shared" si="147"/>
        <v>16</v>
      </c>
      <c r="H1213" s="2">
        <f>SUM($G$2:G1213)</f>
        <v>10324</v>
      </c>
      <c r="I1213" s="10">
        <f t="shared" si="148"/>
        <v>45701.29446759259</v>
      </c>
      <c r="J1213" s="10">
        <f t="shared" si="149"/>
        <v>45701.29446759259</v>
      </c>
      <c r="K1213" s="3">
        <f t="shared" si="151"/>
        <v>9250</v>
      </c>
      <c r="L1213">
        <f t="shared" si="144"/>
        <v>6.9166666670000003</v>
      </c>
      <c r="M1213">
        <f t="shared" si="150"/>
        <v>24.900000001200002</v>
      </c>
    </row>
    <row r="1214" spans="1:13" x14ac:dyDescent="0.25">
      <c r="A1214" s="9">
        <f>Speed!A1214</f>
        <v>45701.294479166667</v>
      </c>
      <c r="B1214" s="9">
        <f t="shared" si="145"/>
        <v>45701.294479166667</v>
      </c>
      <c r="C1214" s="2">
        <f>Speed!B1214</f>
        <v>6.9722222220000001</v>
      </c>
      <c r="D1214" s="9">
        <f>Odometer!A1214</f>
        <v>45701.295729166668</v>
      </c>
      <c r="E1214" s="9">
        <f t="shared" si="146"/>
        <v>45701.295729166668</v>
      </c>
      <c r="F1214" s="2">
        <f>Odometer!B1214</f>
        <v>428760222</v>
      </c>
      <c r="G1214" s="2">
        <f t="shared" si="147"/>
        <v>20</v>
      </c>
      <c r="H1214" s="2">
        <f>SUM($G$2:G1214)</f>
        <v>10344</v>
      </c>
      <c r="I1214" s="10">
        <f t="shared" si="148"/>
        <v>45701.294479166667</v>
      </c>
      <c r="J1214" s="10">
        <f t="shared" si="149"/>
        <v>45701.294479166667</v>
      </c>
      <c r="K1214" s="3">
        <f t="shared" si="151"/>
        <v>9264</v>
      </c>
      <c r="L1214">
        <f t="shared" si="144"/>
        <v>6.9722222220000001</v>
      </c>
      <c r="M1214">
        <f t="shared" si="150"/>
        <v>25.099999999200001</v>
      </c>
    </row>
    <row r="1215" spans="1:13" x14ac:dyDescent="0.25">
      <c r="A1215" s="9">
        <f>Speed!A1215</f>
        <v>45701.294479166667</v>
      </c>
      <c r="B1215" s="9">
        <f t="shared" si="145"/>
        <v>45701.294479166667</v>
      </c>
      <c r="C1215" s="2">
        <f>Speed!B1215</f>
        <v>7</v>
      </c>
      <c r="D1215" s="9">
        <f>Odometer!A1215</f>
        <v>45701.295740740738</v>
      </c>
      <c r="E1215" s="9">
        <f t="shared" si="146"/>
        <v>45701.295740740738</v>
      </c>
      <c r="F1215" s="2">
        <f>Odometer!B1215</f>
        <v>428760242</v>
      </c>
      <c r="G1215" s="2">
        <f t="shared" si="147"/>
        <v>19</v>
      </c>
      <c r="H1215" s="2">
        <f>SUM($G$2:G1215)</f>
        <v>10363</v>
      </c>
      <c r="I1215" s="10">
        <f t="shared" si="148"/>
        <v>45701.294479166667</v>
      </c>
      <c r="J1215" s="10">
        <f t="shared" si="149"/>
        <v>45701.294479166667</v>
      </c>
      <c r="K1215" s="3">
        <f t="shared" si="151"/>
        <v>9264</v>
      </c>
      <c r="L1215">
        <f t="shared" si="144"/>
        <v>6.9722222220000001</v>
      </c>
      <c r="M1215">
        <f t="shared" si="150"/>
        <v>25.099999999200001</v>
      </c>
    </row>
    <row r="1216" spans="1:13" x14ac:dyDescent="0.25">
      <c r="A1216" s="9">
        <f>Speed!A1216</f>
        <v>45701.294490740744</v>
      </c>
      <c r="B1216" s="9">
        <f t="shared" si="145"/>
        <v>45701.294490740736</v>
      </c>
      <c r="C1216" s="2">
        <f>Speed!B1216</f>
        <v>7.5333333329999999</v>
      </c>
      <c r="D1216" s="9">
        <f>Odometer!A1216</f>
        <v>45701.295752314814</v>
      </c>
      <c r="E1216" s="9">
        <f t="shared" si="146"/>
        <v>45701.295752314814</v>
      </c>
      <c r="F1216" s="2">
        <f>Odometer!B1216</f>
        <v>428760261</v>
      </c>
      <c r="G1216" s="2">
        <f t="shared" si="147"/>
        <v>16</v>
      </c>
      <c r="H1216" s="2">
        <f>SUM($G$2:G1216)</f>
        <v>10379</v>
      </c>
      <c r="I1216" s="10">
        <f t="shared" si="148"/>
        <v>45701.294490740744</v>
      </c>
      <c r="J1216" s="10">
        <f t="shared" si="149"/>
        <v>45701.294490740736</v>
      </c>
      <c r="K1216" s="3">
        <f t="shared" si="151"/>
        <v>9272</v>
      </c>
      <c r="L1216">
        <f t="shared" si="144"/>
        <v>7.5333333329999999</v>
      </c>
      <c r="M1216">
        <f t="shared" si="150"/>
        <v>27.119999998800001</v>
      </c>
    </row>
    <row r="1217" spans="1:13" x14ac:dyDescent="0.25">
      <c r="A1217" s="9">
        <f>Speed!A1217</f>
        <v>45701.294502314813</v>
      </c>
      <c r="B1217" s="9">
        <f t="shared" si="145"/>
        <v>45701.294502314813</v>
      </c>
      <c r="C1217" s="2">
        <f>Speed!B1217</f>
        <v>7.6888888890000002</v>
      </c>
      <c r="D1217" s="9">
        <f>Odometer!A1217</f>
        <v>45701.295763888891</v>
      </c>
      <c r="E1217" s="9">
        <f t="shared" si="146"/>
        <v>45701.295763888884</v>
      </c>
      <c r="F1217" s="2">
        <f>Odometer!B1217</f>
        <v>428760277</v>
      </c>
      <c r="G1217" s="2">
        <f t="shared" si="147"/>
        <v>19</v>
      </c>
      <c r="H1217" s="2">
        <f>SUM($G$2:G1217)</f>
        <v>10398</v>
      </c>
      <c r="I1217" s="10">
        <f t="shared" si="148"/>
        <v>45701.294502314813</v>
      </c>
      <c r="J1217" s="10">
        <f t="shared" si="149"/>
        <v>45701.294502314813</v>
      </c>
      <c r="K1217" s="3">
        <f t="shared" si="151"/>
        <v>9279</v>
      </c>
      <c r="L1217">
        <f t="shared" si="144"/>
        <v>7.6888888890000002</v>
      </c>
      <c r="M1217">
        <f t="shared" si="150"/>
        <v>27.6800000004</v>
      </c>
    </row>
    <row r="1218" spans="1:13" x14ac:dyDescent="0.25">
      <c r="A1218" s="9">
        <f>Speed!A1218</f>
        <v>45701.29451388889</v>
      </c>
      <c r="B1218" s="9">
        <f t="shared" si="145"/>
        <v>45701.29451388889</v>
      </c>
      <c r="C1218" s="2">
        <f>Speed!B1218</f>
        <v>7.9027777779999999</v>
      </c>
      <c r="D1218" s="9">
        <f>Odometer!A1218</f>
        <v>45701.295775462961</v>
      </c>
      <c r="E1218" s="9">
        <f t="shared" si="146"/>
        <v>45701.295775462961</v>
      </c>
      <c r="F1218" s="2">
        <f>Odometer!B1218</f>
        <v>428760296</v>
      </c>
      <c r="G1218" s="2">
        <f t="shared" si="147"/>
        <v>18</v>
      </c>
      <c r="H1218" s="2">
        <f>SUM($G$2:G1218)</f>
        <v>10416</v>
      </c>
      <c r="I1218" s="10">
        <f t="shared" si="148"/>
        <v>45701.29451388889</v>
      </c>
      <c r="J1218" s="10">
        <f t="shared" si="149"/>
        <v>45701.29451388889</v>
      </c>
      <c r="K1218" s="3">
        <f t="shared" si="151"/>
        <v>9287</v>
      </c>
      <c r="L1218">
        <f t="shared" ref="L1218:L1281" si="152">INDEX($C$2:$C$2000, MATCH(I1218,$A$2:$A$2000,0))</f>
        <v>7.9027777779999999</v>
      </c>
      <c r="M1218">
        <f t="shared" si="150"/>
        <v>28.450000000799999</v>
      </c>
    </row>
    <row r="1219" spans="1:13" x14ac:dyDescent="0.25">
      <c r="A1219" s="9">
        <f>Speed!A1219</f>
        <v>45701.29451388889</v>
      </c>
      <c r="B1219" s="9">
        <f t="shared" ref="B1219:B1282" si="153">MROUND(A1219,"00:00:01")</f>
        <v>45701.29451388889</v>
      </c>
      <c r="C1219" s="2">
        <f>Speed!B1219</f>
        <v>8.2222222219999992</v>
      </c>
      <c r="D1219" s="9">
        <f>Odometer!A1219</f>
        <v>45701.295787037037</v>
      </c>
      <c r="E1219" s="9">
        <f t="shared" ref="E1219:E1282" si="154">MROUND(D1219,"00:00:01")</f>
        <v>45701.295787037037</v>
      </c>
      <c r="F1219" s="2">
        <f>Odometer!B1219</f>
        <v>428760314</v>
      </c>
      <c r="G1219" s="2">
        <f t="shared" ref="G1219:G1282" si="155">IF(F1220-F1219&lt;0,0,F1220-F1219)</f>
        <v>17</v>
      </c>
      <c r="H1219" s="2">
        <f>SUM($G$2:G1219)</f>
        <v>10433</v>
      </c>
      <c r="I1219" s="10">
        <f t="shared" ref="I1219:I1282" si="156">A1219</f>
        <v>45701.29451388889</v>
      </c>
      <c r="J1219" s="10">
        <f t="shared" ref="J1219:J1282" si="157">MROUND(I1219,"0:00:01")</f>
        <v>45701.29451388889</v>
      </c>
      <c r="K1219" s="3">
        <f t="shared" si="151"/>
        <v>9287</v>
      </c>
      <c r="L1219">
        <f t="shared" si="152"/>
        <v>7.9027777779999999</v>
      </c>
      <c r="M1219">
        <f t="shared" ref="M1219:M1282" si="158">L1219*3.6</f>
        <v>28.450000000799999</v>
      </c>
    </row>
    <row r="1220" spans="1:13" x14ac:dyDescent="0.25">
      <c r="A1220" s="9">
        <f>Speed!A1220</f>
        <v>45701.294525462959</v>
      </c>
      <c r="B1220" s="9">
        <f t="shared" si="153"/>
        <v>45701.294525462959</v>
      </c>
      <c r="C1220" s="2">
        <f>Speed!B1220</f>
        <v>8.2666666670000009</v>
      </c>
      <c r="D1220" s="9">
        <f>Odometer!A1220</f>
        <v>45701.295798611114</v>
      </c>
      <c r="E1220" s="9">
        <f t="shared" si="154"/>
        <v>45701.295798611107</v>
      </c>
      <c r="F1220" s="2">
        <f>Odometer!B1220</f>
        <v>428760331</v>
      </c>
      <c r="G1220" s="2">
        <f t="shared" si="155"/>
        <v>3</v>
      </c>
      <c r="H1220" s="2">
        <f>SUM($G$2:G1220)</f>
        <v>10436</v>
      </c>
      <c r="I1220" s="10">
        <f t="shared" si="156"/>
        <v>45701.294525462959</v>
      </c>
      <c r="J1220" s="10">
        <f t="shared" si="157"/>
        <v>45701.294525462959</v>
      </c>
      <c r="K1220" s="3">
        <f t="shared" ref="K1220:K1283" si="159">IFERROR(INDEX($H$2:$H$2000,MATCH(J1220,$E$2:$E$2000,0)),NA())</f>
        <v>9297</v>
      </c>
      <c r="L1220">
        <f t="shared" si="152"/>
        <v>8.2666666670000009</v>
      </c>
      <c r="M1220">
        <f t="shared" si="158"/>
        <v>29.760000001200005</v>
      </c>
    </row>
    <row r="1221" spans="1:13" x14ac:dyDescent="0.25">
      <c r="A1221" s="9">
        <f>Speed!A1221</f>
        <v>45701.294537037036</v>
      </c>
      <c r="B1221" s="9">
        <f t="shared" si="153"/>
        <v>45701.294537037036</v>
      </c>
      <c r="C1221" s="2">
        <f>Speed!B1221</f>
        <v>9.4305555559999998</v>
      </c>
      <c r="D1221" s="9">
        <f>Odometer!A1221</f>
        <v>45701.295798611114</v>
      </c>
      <c r="E1221" s="9">
        <f t="shared" si="154"/>
        <v>45701.295798611107</v>
      </c>
      <c r="F1221" s="2">
        <f>Odometer!B1221</f>
        <v>428760334</v>
      </c>
      <c r="G1221" s="2">
        <f t="shared" si="155"/>
        <v>15</v>
      </c>
      <c r="H1221" s="2">
        <f>SUM($G$2:G1221)</f>
        <v>10451</v>
      </c>
      <c r="I1221" s="10">
        <f t="shared" si="156"/>
        <v>45701.294537037036</v>
      </c>
      <c r="J1221" s="10">
        <f t="shared" si="157"/>
        <v>45701.294537037036</v>
      </c>
      <c r="K1221" s="3">
        <f t="shared" si="159"/>
        <v>9306</v>
      </c>
      <c r="L1221">
        <f t="shared" si="152"/>
        <v>9.4305555559999998</v>
      </c>
      <c r="M1221">
        <f t="shared" si="158"/>
        <v>33.950000001600003</v>
      </c>
    </row>
    <row r="1222" spans="1:13" x14ac:dyDescent="0.25">
      <c r="A1222" s="9">
        <f>Speed!A1222</f>
        <v>45701.294537037036</v>
      </c>
      <c r="B1222" s="9">
        <f t="shared" si="153"/>
        <v>45701.294537037036</v>
      </c>
      <c r="C1222" s="2">
        <f>Speed!B1222</f>
        <v>10.494444440000001</v>
      </c>
      <c r="D1222" s="9">
        <f>Odometer!A1222</f>
        <v>45701.295810185184</v>
      </c>
      <c r="E1222" s="9">
        <f t="shared" si="154"/>
        <v>45701.295810185184</v>
      </c>
      <c r="F1222" s="2">
        <f>Odometer!B1222</f>
        <v>428760349</v>
      </c>
      <c r="G1222" s="2">
        <f t="shared" si="155"/>
        <v>13</v>
      </c>
      <c r="H1222" s="2">
        <f>SUM($G$2:G1222)</f>
        <v>10464</v>
      </c>
      <c r="I1222" s="10">
        <f t="shared" si="156"/>
        <v>45701.294537037036</v>
      </c>
      <c r="J1222" s="10">
        <f t="shared" si="157"/>
        <v>45701.294537037036</v>
      </c>
      <c r="K1222" s="3">
        <f t="shared" si="159"/>
        <v>9306</v>
      </c>
      <c r="L1222">
        <f t="shared" si="152"/>
        <v>9.4305555559999998</v>
      </c>
      <c r="M1222">
        <f t="shared" si="158"/>
        <v>33.950000001600003</v>
      </c>
    </row>
    <row r="1223" spans="1:13" x14ac:dyDescent="0.25">
      <c r="A1223" s="9">
        <f>Speed!A1223</f>
        <v>45701.294548611113</v>
      </c>
      <c r="B1223" s="9">
        <f t="shared" si="153"/>
        <v>45701.294548611106</v>
      </c>
      <c r="C1223" s="2">
        <f>Speed!B1223</f>
        <v>10.58888889</v>
      </c>
      <c r="D1223" s="9">
        <f>Odometer!A1223</f>
        <v>45701.29582175926</v>
      </c>
      <c r="E1223" s="9">
        <f t="shared" si="154"/>
        <v>45701.29582175926</v>
      </c>
      <c r="F1223" s="2">
        <f>Odometer!B1223</f>
        <v>428760362</v>
      </c>
      <c r="G1223" s="2">
        <f t="shared" si="155"/>
        <v>9</v>
      </c>
      <c r="H1223" s="2">
        <f>SUM($G$2:G1223)</f>
        <v>10473</v>
      </c>
      <c r="I1223" s="10">
        <f t="shared" si="156"/>
        <v>45701.294548611113</v>
      </c>
      <c r="J1223" s="10">
        <f t="shared" si="157"/>
        <v>45701.294548611106</v>
      </c>
      <c r="K1223" s="3" t="e">
        <f t="shared" si="159"/>
        <v>#N/A</v>
      </c>
      <c r="L1223">
        <f t="shared" si="152"/>
        <v>10.58888889</v>
      </c>
      <c r="M1223">
        <f t="shared" si="158"/>
        <v>38.120000003999998</v>
      </c>
    </row>
    <row r="1224" spans="1:13" x14ac:dyDescent="0.25">
      <c r="A1224" s="9">
        <f>Speed!A1224</f>
        <v>45701.294560185182</v>
      </c>
      <c r="B1224" s="9">
        <f t="shared" si="153"/>
        <v>45701.294560185182</v>
      </c>
      <c r="C1224" s="2">
        <f>Speed!B1224</f>
        <v>11.83333333</v>
      </c>
      <c r="D1224" s="9">
        <f>Odometer!A1224</f>
        <v>45701.29582175926</v>
      </c>
      <c r="E1224" s="9">
        <f t="shared" si="154"/>
        <v>45701.29582175926</v>
      </c>
      <c r="F1224" s="2">
        <f>Odometer!B1224</f>
        <v>428760371</v>
      </c>
      <c r="G1224" s="2">
        <f t="shared" si="155"/>
        <v>4</v>
      </c>
      <c r="H1224" s="2">
        <f>SUM($G$2:G1224)</f>
        <v>10477</v>
      </c>
      <c r="I1224" s="10">
        <f t="shared" si="156"/>
        <v>45701.294560185182</v>
      </c>
      <c r="J1224" s="10">
        <f t="shared" si="157"/>
        <v>45701.294560185182</v>
      </c>
      <c r="K1224" s="3">
        <f t="shared" si="159"/>
        <v>9329</v>
      </c>
      <c r="L1224">
        <f t="shared" si="152"/>
        <v>11.83333333</v>
      </c>
      <c r="M1224">
        <f t="shared" si="158"/>
        <v>42.599999988</v>
      </c>
    </row>
    <row r="1225" spans="1:13" x14ac:dyDescent="0.25">
      <c r="A1225" s="9">
        <f>Speed!A1225</f>
        <v>45701.294571759259</v>
      </c>
      <c r="B1225" s="9">
        <f t="shared" si="153"/>
        <v>45701.294571759259</v>
      </c>
      <c r="C1225" s="2">
        <f>Speed!B1225</f>
        <v>12.47777778</v>
      </c>
      <c r="D1225" s="9">
        <f>Odometer!A1225</f>
        <v>45701.29582175926</v>
      </c>
      <c r="E1225" s="9">
        <f t="shared" si="154"/>
        <v>45701.29582175926</v>
      </c>
      <c r="F1225" s="2">
        <f>Odometer!B1225</f>
        <v>428760375</v>
      </c>
      <c r="G1225" s="2">
        <f t="shared" si="155"/>
        <v>8</v>
      </c>
      <c r="H1225" s="2">
        <f>SUM($G$2:G1225)</f>
        <v>10485</v>
      </c>
      <c r="I1225" s="10">
        <f t="shared" si="156"/>
        <v>45701.294571759259</v>
      </c>
      <c r="J1225" s="10">
        <f t="shared" si="157"/>
        <v>45701.294571759259</v>
      </c>
      <c r="K1225" s="3">
        <f t="shared" si="159"/>
        <v>9341</v>
      </c>
      <c r="L1225">
        <f t="shared" si="152"/>
        <v>12.47777778</v>
      </c>
      <c r="M1225">
        <f t="shared" si="158"/>
        <v>44.920000008000002</v>
      </c>
    </row>
    <row r="1226" spans="1:13" x14ac:dyDescent="0.25">
      <c r="A1226" s="9">
        <f>Speed!A1226</f>
        <v>45701.294583333336</v>
      </c>
      <c r="B1226" s="9">
        <f t="shared" si="153"/>
        <v>45701.294583333329</v>
      </c>
      <c r="C1226" s="2">
        <f>Speed!B1226</f>
        <v>13.07222222</v>
      </c>
      <c r="D1226" s="9">
        <f>Odometer!A1226</f>
        <v>45701.29583333333</v>
      </c>
      <c r="E1226" s="9">
        <f t="shared" si="154"/>
        <v>45701.29583333333</v>
      </c>
      <c r="F1226" s="2">
        <f>Odometer!B1226</f>
        <v>428760383</v>
      </c>
      <c r="G1226" s="2">
        <f t="shared" si="155"/>
        <v>14</v>
      </c>
      <c r="H1226" s="2">
        <f>SUM($G$2:G1226)</f>
        <v>10499</v>
      </c>
      <c r="I1226" s="10">
        <f t="shared" si="156"/>
        <v>45701.294583333336</v>
      </c>
      <c r="J1226" s="10">
        <f t="shared" si="157"/>
        <v>45701.294583333329</v>
      </c>
      <c r="K1226" s="3">
        <f t="shared" si="159"/>
        <v>9343</v>
      </c>
      <c r="L1226">
        <f t="shared" si="152"/>
        <v>13.07222222</v>
      </c>
      <c r="M1226">
        <f t="shared" si="158"/>
        <v>47.059999992000002</v>
      </c>
    </row>
    <row r="1227" spans="1:13" x14ac:dyDescent="0.25">
      <c r="A1227" s="9">
        <f>Speed!A1227</f>
        <v>45701.294583333336</v>
      </c>
      <c r="B1227" s="9">
        <f t="shared" si="153"/>
        <v>45701.294583333329</v>
      </c>
      <c r="C1227" s="2">
        <f>Speed!B1227</f>
        <v>13.14722222</v>
      </c>
      <c r="D1227" s="9">
        <f>Odometer!A1227</f>
        <v>45701.295844907407</v>
      </c>
      <c r="E1227" s="9">
        <f t="shared" si="154"/>
        <v>45701.295844907407</v>
      </c>
      <c r="F1227" s="2">
        <f>Odometer!B1227</f>
        <v>428760397</v>
      </c>
      <c r="G1227" s="2">
        <f t="shared" si="155"/>
        <v>16</v>
      </c>
      <c r="H1227" s="2">
        <f>SUM($G$2:G1227)</f>
        <v>10515</v>
      </c>
      <c r="I1227" s="10">
        <f t="shared" si="156"/>
        <v>45701.294583333336</v>
      </c>
      <c r="J1227" s="10">
        <f t="shared" si="157"/>
        <v>45701.294583333329</v>
      </c>
      <c r="K1227" s="3">
        <f t="shared" si="159"/>
        <v>9343</v>
      </c>
      <c r="L1227">
        <f t="shared" si="152"/>
        <v>13.07222222</v>
      </c>
      <c r="M1227">
        <f t="shared" si="158"/>
        <v>47.059999992000002</v>
      </c>
    </row>
    <row r="1228" spans="1:13" x14ac:dyDescent="0.25">
      <c r="A1228" s="9">
        <f>Speed!A1228</f>
        <v>45701.294594907406</v>
      </c>
      <c r="B1228" s="9">
        <f t="shared" si="153"/>
        <v>45701.294594907406</v>
      </c>
      <c r="C1228" s="2">
        <f>Speed!B1228</f>
        <v>13.725</v>
      </c>
      <c r="D1228" s="9">
        <f>Odometer!A1228</f>
        <v>45701.295856481483</v>
      </c>
      <c r="E1228" s="9">
        <f t="shared" si="154"/>
        <v>45701.295856481476</v>
      </c>
      <c r="F1228" s="2">
        <f>Odometer!B1228</f>
        <v>428760413</v>
      </c>
      <c r="G1228" s="2">
        <f t="shared" si="155"/>
        <v>14</v>
      </c>
      <c r="H1228" s="2">
        <f>SUM($G$2:G1228)</f>
        <v>10529</v>
      </c>
      <c r="I1228" s="10">
        <f t="shared" si="156"/>
        <v>45701.294594907406</v>
      </c>
      <c r="J1228" s="10">
        <f t="shared" si="157"/>
        <v>45701.294594907406</v>
      </c>
      <c r="K1228" s="3">
        <f t="shared" si="159"/>
        <v>9370</v>
      </c>
      <c r="L1228">
        <f t="shared" si="152"/>
        <v>13.725</v>
      </c>
      <c r="M1228">
        <f t="shared" si="158"/>
        <v>49.41</v>
      </c>
    </row>
    <row r="1229" spans="1:13" x14ac:dyDescent="0.25">
      <c r="A1229" s="9">
        <f>Speed!A1229</f>
        <v>45701.294606481482</v>
      </c>
      <c r="B1229" s="9">
        <f t="shared" si="153"/>
        <v>45701.294606481482</v>
      </c>
      <c r="C1229" s="2">
        <f>Speed!B1229</f>
        <v>14.03055556</v>
      </c>
      <c r="D1229" s="9">
        <f>Odometer!A1229</f>
        <v>45701.295868055553</v>
      </c>
      <c r="E1229" s="9">
        <f t="shared" si="154"/>
        <v>45701.295868055553</v>
      </c>
      <c r="F1229" s="2">
        <f>Odometer!B1229</f>
        <v>428760427</v>
      </c>
      <c r="G1229" s="2">
        <f t="shared" si="155"/>
        <v>1</v>
      </c>
      <c r="H1229" s="2">
        <f>SUM($G$2:G1229)</f>
        <v>10530</v>
      </c>
      <c r="I1229" s="10">
        <f t="shared" si="156"/>
        <v>45701.294606481482</v>
      </c>
      <c r="J1229" s="10">
        <f t="shared" si="157"/>
        <v>45701.294606481482</v>
      </c>
      <c r="K1229" s="3">
        <f t="shared" si="159"/>
        <v>9384</v>
      </c>
      <c r="L1229">
        <f t="shared" si="152"/>
        <v>14.03055556</v>
      </c>
      <c r="M1229">
        <f t="shared" si="158"/>
        <v>50.510000015999999</v>
      </c>
    </row>
    <row r="1230" spans="1:13" x14ac:dyDescent="0.25">
      <c r="A1230" s="9">
        <f>Speed!A1230</f>
        <v>45701.294618055559</v>
      </c>
      <c r="B1230" s="9">
        <f t="shared" si="153"/>
        <v>45701.294618055552</v>
      </c>
      <c r="C1230" s="2">
        <f>Speed!B1230</f>
        <v>14.705555560000001</v>
      </c>
      <c r="D1230" s="9">
        <f>Odometer!A1230</f>
        <v>45701.295868055553</v>
      </c>
      <c r="E1230" s="9">
        <f t="shared" si="154"/>
        <v>45701.295868055553</v>
      </c>
      <c r="F1230" s="2">
        <f>Odometer!B1230</f>
        <v>428760428</v>
      </c>
      <c r="G1230" s="2">
        <f t="shared" si="155"/>
        <v>14</v>
      </c>
      <c r="H1230" s="2">
        <f>SUM($G$2:G1230)</f>
        <v>10544</v>
      </c>
      <c r="I1230" s="10">
        <f t="shared" si="156"/>
        <v>45701.294618055559</v>
      </c>
      <c r="J1230" s="10">
        <f t="shared" si="157"/>
        <v>45701.294618055552</v>
      </c>
      <c r="K1230" s="3">
        <f t="shared" si="159"/>
        <v>9400</v>
      </c>
      <c r="L1230">
        <f t="shared" si="152"/>
        <v>14.705555560000001</v>
      </c>
      <c r="M1230">
        <f t="shared" si="158"/>
        <v>52.940000016000006</v>
      </c>
    </row>
    <row r="1231" spans="1:13" x14ac:dyDescent="0.25">
      <c r="A1231" s="9">
        <f>Speed!A1231</f>
        <v>45701.294629629629</v>
      </c>
      <c r="B1231" s="9">
        <f t="shared" si="153"/>
        <v>45701.294629629629</v>
      </c>
      <c r="C1231" s="2">
        <f>Speed!B1231</f>
        <v>15.394444439999999</v>
      </c>
      <c r="D1231" s="9">
        <f>Odometer!A1231</f>
        <v>45701.29587962963</v>
      </c>
      <c r="E1231" s="9">
        <f t="shared" si="154"/>
        <v>45701.29587962963</v>
      </c>
      <c r="F1231" s="2">
        <f>Odometer!B1231</f>
        <v>428760442</v>
      </c>
      <c r="G1231" s="2">
        <f t="shared" si="155"/>
        <v>12</v>
      </c>
      <c r="H1231" s="2">
        <f>SUM($G$2:G1231)</f>
        <v>10556</v>
      </c>
      <c r="I1231" s="10">
        <f t="shared" si="156"/>
        <v>45701.294629629629</v>
      </c>
      <c r="J1231" s="10">
        <f t="shared" si="157"/>
        <v>45701.294629629629</v>
      </c>
      <c r="K1231" s="3">
        <f t="shared" si="159"/>
        <v>9414</v>
      </c>
      <c r="L1231">
        <f t="shared" si="152"/>
        <v>15.394444439999999</v>
      </c>
      <c r="M1231">
        <f t="shared" si="158"/>
        <v>55.419999984</v>
      </c>
    </row>
    <row r="1232" spans="1:13" x14ac:dyDescent="0.25">
      <c r="A1232" s="9">
        <f>Speed!A1232</f>
        <v>45701.294641203705</v>
      </c>
      <c r="B1232" s="9">
        <f t="shared" si="153"/>
        <v>45701.294641203698</v>
      </c>
      <c r="C1232" s="2">
        <f>Speed!B1232</f>
        <v>15.83888889</v>
      </c>
      <c r="D1232" s="9">
        <f>Odometer!A1232</f>
        <v>45701.295891203707</v>
      </c>
      <c r="E1232" s="9">
        <f t="shared" si="154"/>
        <v>45701.295891203699</v>
      </c>
      <c r="F1232" s="2">
        <f>Odometer!B1232</f>
        <v>428760454</v>
      </c>
      <c r="G1232" s="2">
        <f t="shared" si="155"/>
        <v>12</v>
      </c>
      <c r="H1232" s="2">
        <f>SUM($G$2:G1232)</f>
        <v>10568</v>
      </c>
      <c r="I1232" s="10">
        <f t="shared" si="156"/>
        <v>45701.294641203705</v>
      </c>
      <c r="J1232" s="10">
        <f t="shared" si="157"/>
        <v>45701.294641203698</v>
      </c>
      <c r="K1232" s="3">
        <f t="shared" si="159"/>
        <v>9430</v>
      </c>
      <c r="L1232">
        <f t="shared" si="152"/>
        <v>15.83888889</v>
      </c>
      <c r="M1232">
        <f t="shared" si="158"/>
        <v>57.020000004000003</v>
      </c>
    </row>
    <row r="1233" spans="1:13" x14ac:dyDescent="0.25">
      <c r="A1233" s="9">
        <f>Speed!A1233</f>
        <v>45701.294652777775</v>
      </c>
      <c r="B1233" s="9">
        <f t="shared" si="153"/>
        <v>45701.294652777775</v>
      </c>
      <c r="C1233" s="2">
        <f>Speed!B1233</f>
        <v>15.90833333</v>
      </c>
      <c r="D1233" s="9">
        <f>Odometer!A1233</f>
        <v>45701.295891203707</v>
      </c>
      <c r="E1233" s="9">
        <f t="shared" si="154"/>
        <v>45701.295891203699</v>
      </c>
      <c r="F1233" s="2">
        <f>Odometer!B1233</f>
        <v>428760466</v>
      </c>
      <c r="G1233" s="2">
        <f t="shared" si="155"/>
        <v>5</v>
      </c>
      <c r="H1233" s="2">
        <f>SUM($G$2:G1233)</f>
        <v>10573</v>
      </c>
      <c r="I1233" s="10">
        <f t="shared" si="156"/>
        <v>45701.294652777775</v>
      </c>
      <c r="J1233" s="10">
        <f t="shared" si="157"/>
        <v>45701.294652777775</v>
      </c>
      <c r="K1233" s="3">
        <f t="shared" si="159"/>
        <v>9447</v>
      </c>
      <c r="L1233">
        <f t="shared" si="152"/>
        <v>15.90833333</v>
      </c>
      <c r="M1233">
        <f t="shared" si="158"/>
        <v>57.269999988000002</v>
      </c>
    </row>
    <row r="1234" spans="1:13" x14ac:dyDescent="0.25">
      <c r="A1234" s="9">
        <f>Speed!A1234</f>
        <v>45701.294664351852</v>
      </c>
      <c r="B1234" s="9">
        <f t="shared" si="153"/>
        <v>45701.294664351852</v>
      </c>
      <c r="C1234" s="2">
        <f>Speed!B1234</f>
        <v>16.08888889</v>
      </c>
      <c r="D1234" s="9">
        <f>Odometer!A1234</f>
        <v>45701.295902777776</v>
      </c>
      <c r="E1234" s="9">
        <f t="shared" si="154"/>
        <v>45701.295902777776</v>
      </c>
      <c r="F1234" s="2">
        <f>Odometer!B1234</f>
        <v>428760471</v>
      </c>
      <c r="G1234" s="2">
        <f t="shared" si="155"/>
        <v>10</v>
      </c>
      <c r="H1234" s="2">
        <f>SUM($G$2:G1234)</f>
        <v>10583</v>
      </c>
      <c r="I1234" s="10">
        <f t="shared" si="156"/>
        <v>45701.294664351852</v>
      </c>
      <c r="J1234" s="10">
        <f t="shared" si="157"/>
        <v>45701.294664351852</v>
      </c>
      <c r="K1234" s="3">
        <f t="shared" si="159"/>
        <v>9463</v>
      </c>
      <c r="L1234">
        <f t="shared" si="152"/>
        <v>16.08888889</v>
      </c>
      <c r="M1234">
        <f t="shared" si="158"/>
        <v>57.920000004000002</v>
      </c>
    </row>
    <row r="1235" spans="1:13" x14ac:dyDescent="0.25">
      <c r="A1235" s="9">
        <f>Speed!A1235</f>
        <v>45701.294675925928</v>
      </c>
      <c r="B1235" s="9">
        <f t="shared" si="153"/>
        <v>45701.294675925921</v>
      </c>
      <c r="C1235" s="2">
        <f>Speed!B1235</f>
        <v>16.30833333</v>
      </c>
      <c r="D1235" s="9">
        <f>Odometer!A1235</f>
        <v>45701.295914351853</v>
      </c>
      <c r="E1235" s="9">
        <f t="shared" si="154"/>
        <v>45701.295914351853</v>
      </c>
      <c r="F1235" s="2">
        <f>Odometer!B1235</f>
        <v>428760481</v>
      </c>
      <c r="G1235" s="2">
        <f t="shared" si="155"/>
        <v>12</v>
      </c>
      <c r="H1235" s="2">
        <f>SUM($G$2:G1235)</f>
        <v>10595</v>
      </c>
      <c r="I1235" s="10">
        <f t="shared" si="156"/>
        <v>45701.294675925928</v>
      </c>
      <c r="J1235" s="10">
        <f t="shared" si="157"/>
        <v>45701.294675925921</v>
      </c>
      <c r="K1235" s="3">
        <f t="shared" si="159"/>
        <v>9480</v>
      </c>
      <c r="L1235">
        <f t="shared" si="152"/>
        <v>16.30833333</v>
      </c>
      <c r="M1235">
        <f t="shared" si="158"/>
        <v>58.709999988</v>
      </c>
    </row>
    <row r="1236" spans="1:13" x14ac:dyDescent="0.25">
      <c r="A1236" s="9">
        <f>Speed!A1236</f>
        <v>45701.294687499998</v>
      </c>
      <c r="B1236" s="9">
        <f t="shared" si="153"/>
        <v>45701.294687499998</v>
      </c>
      <c r="C1236" s="2">
        <f>Speed!B1236</f>
        <v>16.375</v>
      </c>
      <c r="D1236" s="9">
        <f>Odometer!A1236</f>
        <v>45701.295925925922</v>
      </c>
      <c r="E1236" s="9">
        <f t="shared" si="154"/>
        <v>45701.295925925922</v>
      </c>
      <c r="F1236" s="2">
        <f>Odometer!B1236</f>
        <v>428760493</v>
      </c>
      <c r="G1236" s="2">
        <f t="shared" si="155"/>
        <v>14</v>
      </c>
      <c r="H1236" s="2">
        <f>SUM($G$2:G1236)</f>
        <v>10609</v>
      </c>
      <c r="I1236" s="10">
        <f t="shared" si="156"/>
        <v>45701.294687499998</v>
      </c>
      <c r="J1236" s="10">
        <f t="shared" si="157"/>
        <v>45701.294687499998</v>
      </c>
      <c r="K1236" s="3">
        <f t="shared" si="159"/>
        <v>9495</v>
      </c>
      <c r="L1236">
        <f t="shared" si="152"/>
        <v>16.375</v>
      </c>
      <c r="M1236">
        <f t="shared" si="158"/>
        <v>58.95</v>
      </c>
    </row>
    <row r="1237" spans="1:13" x14ac:dyDescent="0.25">
      <c r="A1237" s="9">
        <f>Speed!A1237</f>
        <v>45701.294699074075</v>
      </c>
      <c r="B1237" s="9">
        <f t="shared" si="153"/>
        <v>45701.294699074075</v>
      </c>
      <c r="C1237" s="2">
        <f>Speed!B1237</f>
        <v>16.369444439999999</v>
      </c>
      <c r="D1237" s="9">
        <f>Odometer!A1237</f>
        <v>45701.295937499999</v>
      </c>
      <c r="E1237" s="9">
        <f t="shared" si="154"/>
        <v>45701.295937499999</v>
      </c>
      <c r="F1237" s="2">
        <f>Odometer!B1237</f>
        <v>428760507</v>
      </c>
      <c r="G1237" s="2">
        <f t="shared" si="155"/>
        <v>12</v>
      </c>
      <c r="H1237" s="2">
        <f>SUM($G$2:G1237)</f>
        <v>10621</v>
      </c>
      <c r="I1237" s="10">
        <f t="shared" si="156"/>
        <v>45701.294699074075</v>
      </c>
      <c r="J1237" s="10">
        <f t="shared" si="157"/>
        <v>45701.294699074075</v>
      </c>
      <c r="K1237" s="3">
        <f t="shared" si="159"/>
        <v>9511</v>
      </c>
      <c r="L1237">
        <f t="shared" si="152"/>
        <v>16.369444439999999</v>
      </c>
      <c r="M1237">
        <f t="shared" si="158"/>
        <v>58.929999983999998</v>
      </c>
    </row>
    <row r="1238" spans="1:13" x14ac:dyDescent="0.25">
      <c r="A1238" s="9">
        <f>Speed!A1238</f>
        <v>45701.294699074075</v>
      </c>
      <c r="B1238" s="9">
        <f t="shared" si="153"/>
        <v>45701.294699074075</v>
      </c>
      <c r="C1238" s="2">
        <f>Speed!B1238</f>
        <v>16.425000000000001</v>
      </c>
      <c r="D1238" s="9">
        <f>Odometer!A1238</f>
        <v>45701.295937499999</v>
      </c>
      <c r="E1238" s="9">
        <f t="shared" si="154"/>
        <v>45701.295937499999</v>
      </c>
      <c r="F1238" s="2">
        <f>Odometer!B1238</f>
        <v>428760519</v>
      </c>
      <c r="G1238" s="2">
        <f t="shared" si="155"/>
        <v>1</v>
      </c>
      <c r="H1238" s="2">
        <f>SUM($G$2:G1238)</f>
        <v>10622</v>
      </c>
      <c r="I1238" s="10">
        <f t="shared" si="156"/>
        <v>45701.294699074075</v>
      </c>
      <c r="J1238" s="10">
        <f t="shared" si="157"/>
        <v>45701.294699074075</v>
      </c>
      <c r="K1238" s="3">
        <f t="shared" si="159"/>
        <v>9511</v>
      </c>
      <c r="L1238">
        <f t="shared" si="152"/>
        <v>16.369444439999999</v>
      </c>
      <c r="M1238">
        <f t="shared" si="158"/>
        <v>58.929999983999998</v>
      </c>
    </row>
    <row r="1239" spans="1:13" x14ac:dyDescent="0.25">
      <c r="A1239" s="9">
        <f>Speed!A1239</f>
        <v>45701.294710648152</v>
      </c>
      <c r="B1239" s="9">
        <f t="shared" si="153"/>
        <v>45701.294710648144</v>
      </c>
      <c r="C1239" s="2">
        <f>Speed!B1239</f>
        <v>16.46944444</v>
      </c>
      <c r="D1239" s="9">
        <f>Odometer!A1239</f>
        <v>45701.295949074076</v>
      </c>
      <c r="E1239" s="9">
        <f t="shared" si="154"/>
        <v>45701.295949074069</v>
      </c>
      <c r="F1239" s="2">
        <f>Odometer!B1239</f>
        <v>428760520</v>
      </c>
      <c r="G1239" s="2">
        <f t="shared" si="155"/>
        <v>13</v>
      </c>
      <c r="H1239" s="2">
        <f>SUM($G$2:G1239)</f>
        <v>10635</v>
      </c>
      <c r="I1239" s="10">
        <f t="shared" si="156"/>
        <v>45701.294710648152</v>
      </c>
      <c r="J1239" s="10">
        <f t="shared" si="157"/>
        <v>45701.294710648144</v>
      </c>
      <c r="K1239" s="3">
        <f t="shared" si="159"/>
        <v>9529</v>
      </c>
      <c r="L1239">
        <f t="shared" si="152"/>
        <v>16.46944444</v>
      </c>
      <c r="M1239">
        <f t="shared" si="158"/>
        <v>59.289999984000005</v>
      </c>
    </row>
    <row r="1240" spans="1:13" x14ac:dyDescent="0.25">
      <c r="A1240" s="9">
        <f>Speed!A1240</f>
        <v>45701.294722222221</v>
      </c>
      <c r="B1240" s="9">
        <f t="shared" si="153"/>
        <v>45701.294722222221</v>
      </c>
      <c r="C1240" s="2">
        <f>Speed!B1240</f>
        <v>16.591666669999999</v>
      </c>
      <c r="D1240" s="9">
        <f>Odometer!A1240</f>
        <v>45701.295960648145</v>
      </c>
      <c r="E1240" s="9">
        <f t="shared" si="154"/>
        <v>45701.295960648145</v>
      </c>
      <c r="F1240" s="2">
        <f>Odometer!B1240</f>
        <v>428760533</v>
      </c>
      <c r="G1240" s="2">
        <f t="shared" si="155"/>
        <v>13</v>
      </c>
      <c r="H1240" s="2">
        <f>SUM($G$2:G1240)</f>
        <v>10648</v>
      </c>
      <c r="I1240" s="10">
        <f t="shared" si="156"/>
        <v>45701.294722222221</v>
      </c>
      <c r="J1240" s="10">
        <f t="shared" si="157"/>
        <v>45701.294722222221</v>
      </c>
      <c r="K1240" s="3">
        <f t="shared" si="159"/>
        <v>9545</v>
      </c>
      <c r="L1240">
        <f t="shared" si="152"/>
        <v>16.591666669999999</v>
      </c>
      <c r="M1240">
        <f t="shared" si="158"/>
        <v>59.730000011999998</v>
      </c>
    </row>
    <row r="1241" spans="1:13" x14ac:dyDescent="0.25">
      <c r="A1241" s="9">
        <f>Speed!A1241</f>
        <v>45701.294733796298</v>
      </c>
      <c r="B1241" s="9">
        <f t="shared" si="153"/>
        <v>45701.294733796291</v>
      </c>
      <c r="C1241" s="2">
        <f>Speed!B1241</f>
        <v>16.63888889</v>
      </c>
      <c r="D1241" s="9">
        <f>Odometer!A1241</f>
        <v>45701.295972222222</v>
      </c>
      <c r="E1241" s="9">
        <f t="shared" si="154"/>
        <v>45701.295972222222</v>
      </c>
      <c r="F1241" s="2">
        <f>Odometer!B1241</f>
        <v>428760546</v>
      </c>
      <c r="G1241" s="2">
        <f t="shared" si="155"/>
        <v>13</v>
      </c>
      <c r="H1241" s="2">
        <f>SUM($G$2:G1241)</f>
        <v>10661</v>
      </c>
      <c r="I1241" s="10">
        <f t="shared" si="156"/>
        <v>45701.294733796298</v>
      </c>
      <c r="J1241" s="10">
        <f t="shared" si="157"/>
        <v>45701.294733796291</v>
      </c>
      <c r="K1241" s="3">
        <f t="shared" si="159"/>
        <v>9561</v>
      </c>
      <c r="L1241">
        <f t="shared" si="152"/>
        <v>16.63888889</v>
      </c>
      <c r="M1241">
        <f t="shared" si="158"/>
        <v>59.900000004000006</v>
      </c>
    </row>
    <row r="1242" spans="1:13" x14ac:dyDescent="0.25">
      <c r="A1242" s="9">
        <f>Speed!A1242</f>
        <v>45701.294745370367</v>
      </c>
      <c r="B1242" s="9">
        <f t="shared" si="153"/>
        <v>45701.294745370367</v>
      </c>
      <c r="C1242" s="2">
        <f>Speed!B1242</f>
        <v>16.67777778</v>
      </c>
      <c r="D1242" s="9">
        <f>Odometer!A1242</f>
        <v>45701.295983796299</v>
      </c>
      <c r="E1242" s="9">
        <f t="shared" si="154"/>
        <v>45701.295983796292</v>
      </c>
      <c r="F1242" s="2">
        <f>Odometer!B1242</f>
        <v>428760559</v>
      </c>
      <c r="G1242" s="2">
        <f t="shared" si="155"/>
        <v>13</v>
      </c>
      <c r="H1242" s="2">
        <f>SUM($G$2:G1242)</f>
        <v>10674</v>
      </c>
      <c r="I1242" s="10">
        <f t="shared" si="156"/>
        <v>45701.294745370367</v>
      </c>
      <c r="J1242" s="10">
        <f t="shared" si="157"/>
        <v>45701.294745370367</v>
      </c>
      <c r="K1242" s="3">
        <f t="shared" si="159"/>
        <v>9577</v>
      </c>
      <c r="L1242">
        <f t="shared" si="152"/>
        <v>16.67777778</v>
      </c>
      <c r="M1242">
        <f t="shared" si="158"/>
        <v>60.040000008</v>
      </c>
    </row>
    <row r="1243" spans="1:13" x14ac:dyDescent="0.25">
      <c r="A1243" s="9">
        <f>Speed!A1243</f>
        <v>45701.294745370367</v>
      </c>
      <c r="B1243" s="9">
        <f t="shared" si="153"/>
        <v>45701.294745370367</v>
      </c>
      <c r="C1243" s="2">
        <f>Speed!B1243</f>
        <v>16.68333333</v>
      </c>
      <c r="D1243" s="9">
        <f>Odometer!A1243</f>
        <v>45701.295995370368</v>
      </c>
      <c r="E1243" s="9">
        <f t="shared" si="154"/>
        <v>45701.295995370368</v>
      </c>
      <c r="F1243" s="2">
        <f>Odometer!B1243</f>
        <v>428760572</v>
      </c>
      <c r="G1243" s="2">
        <f t="shared" si="155"/>
        <v>14</v>
      </c>
      <c r="H1243" s="2">
        <f>SUM($G$2:G1243)</f>
        <v>10688</v>
      </c>
      <c r="I1243" s="10">
        <f t="shared" si="156"/>
        <v>45701.294745370367</v>
      </c>
      <c r="J1243" s="10">
        <f t="shared" si="157"/>
        <v>45701.294745370367</v>
      </c>
      <c r="K1243" s="3">
        <f t="shared" si="159"/>
        <v>9577</v>
      </c>
      <c r="L1243">
        <f t="shared" si="152"/>
        <v>16.67777778</v>
      </c>
      <c r="M1243">
        <f t="shared" si="158"/>
        <v>60.040000008</v>
      </c>
    </row>
    <row r="1244" spans="1:13" x14ac:dyDescent="0.25">
      <c r="A1244" s="9">
        <f>Speed!A1244</f>
        <v>45701.294756944444</v>
      </c>
      <c r="B1244" s="9">
        <f t="shared" si="153"/>
        <v>45701.294756944444</v>
      </c>
      <c r="C1244" s="2">
        <f>Speed!B1244</f>
        <v>16.67777778</v>
      </c>
      <c r="D1244" s="9">
        <f>Odometer!A1244</f>
        <v>45701.296006944445</v>
      </c>
      <c r="E1244" s="9">
        <f t="shared" si="154"/>
        <v>45701.296006944445</v>
      </c>
      <c r="F1244" s="2">
        <f>Odometer!B1244</f>
        <v>428760586</v>
      </c>
      <c r="G1244" s="2">
        <f t="shared" si="155"/>
        <v>14</v>
      </c>
      <c r="H1244" s="2">
        <f>SUM($G$2:G1244)</f>
        <v>10702</v>
      </c>
      <c r="I1244" s="10">
        <f t="shared" si="156"/>
        <v>45701.294756944444</v>
      </c>
      <c r="J1244" s="10">
        <f t="shared" si="157"/>
        <v>45701.294756944444</v>
      </c>
      <c r="K1244" s="3">
        <f t="shared" si="159"/>
        <v>9594</v>
      </c>
      <c r="L1244">
        <f t="shared" si="152"/>
        <v>16.67777778</v>
      </c>
      <c r="M1244">
        <f t="shared" si="158"/>
        <v>60.040000008</v>
      </c>
    </row>
    <row r="1245" spans="1:13" x14ac:dyDescent="0.25">
      <c r="A1245" s="9">
        <f>Speed!A1245</f>
        <v>45701.294768518521</v>
      </c>
      <c r="B1245" s="9">
        <f t="shared" si="153"/>
        <v>45701.294768518514</v>
      </c>
      <c r="C1245" s="2">
        <f>Speed!B1245</f>
        <v>16.705555560000001</v>
      </c>
      <c r="D1245" s="9">
        <f>Odometer!A1245</f>
        <v>45701.296006944445</v>
      </c>
      <c r="E1245" s="9">
        <f t="shared" si="154"/>
        <v>45701.296006944445</v>
      </c>
      <c r="F1245" s="2">
        <f>Odometer!B1245</f>
        <v>428760600</v>
      </c>
      <c r="G1245" s="2">
        <f t="shared" si="155"/>
        <v>2</v>
      </c>
      <c r="H1245" s="2">
        <f>SUM($G$2:G1245)</f>
        <v>10704</v>
      </c>
      <c r="I1245" s="10">
        <f t="shared" si="156"/>
        <v>45701.294768518521</v>
      </c>
      <c r="J1245" s="10">
        <f t="shared" si="157"/>
        <v>45701.294768518514</v>
      </c>
      <c r="K1245" s="3">
        <f t="shared" si="159"/>
        <v>9595</v>
      </c>
      <c r="L1245">
        <f t="shared" si="152"/>
        <v>16.705555560000001</v>
      </c>
      <c r="M1245">
        <f t="shared" si="158"/>
        <v>60.140000016000002</v>
      </c>
    </row>
    <row r="1246" spans="1:13" x14ac:dyDescent="0.25">
      <c r="A1246" s="9">
        <f>Speed!A1246</f>
        <v>45701.294768518521</v>
      </c>
      <c r="B1246" s="9">
        <f t="shared" si="153"/>
        <v>45701.294768518514</v>
      </c>
      <c r="C1246" s="2">
        <f>Speed!B1246</f>
        <v>16.69722222</v>
      </c>
      <c r="D1246" s="9">
        <f>Odometer!A1246</f>
        <v>45701.296018518522</v>
      </c>
      <c r="E1246" s="9">
        <f t="shared" si="154"/>
        <v>45701.296018518515</v>
      </c>
      <c r="F1246" s="2">
        <f>Odometer!B1246</f>
        <v>428760602</v>
      </c>
      <c r="G1246" s="2">
        <f t="shared" si="155"/>
        <v>12</v>
      </c>
      <c r="H1246" s="2">
        <f>SUM($G$2:G1246)</f>
        <v>10716</v>
      </c>
      <c r="I1246" s="10">
        <f t="shared" si="156"/>
        <v>45701.294768518521</v>
      </c>
      <c r="J1246" s="10">
        <f t="shared" si="157"/>
        <v>45701.294768518514</v>
      </c>
      <c r="K1246" s="3">
        <f t="shared" si="159"/>
        <v>9595</v>
      </c>
      <c r="L1246">
        <f t="shared" si="152"/>
        <v>16.705555560000001</v>
      </c>
      <c r="M1246">
        <f t="shared" si="158"/>
        <v>60.140000016000002</v>
      </c>
    </row>
    <row r="1247" spans="1:13" x14ac:dyDescent="0.25">
      <c r="A1247" s="9">
        <f>Speed!A1247</f>
        <v>45701.29478009259</v>
      </c>
      <c r="B1247" s="9">
        <f t="shared" si="153"/>
        <v>45701.29478009259</v>
      </c>
      <c r="C1247" s="2">
        <f>Speed!B1247</f>
        <v>16.625</v>
      </c>
      <c r="D1247" s="9">
        <f>Odometer!A1247</f>
        <v>45701.296030092592</v>
      </c>
      <c r="E1247" s="9">
        <f t="shared" si="154"/>
        <v>45701.296030092592</v>
      </c>
      <c r="F1247" s="2">
        <f>Odometer!B1247</f>
        <v>428760614</v>
      </c>
      <c r="G1247" s="2">
        <f t="shared" si="155"/>
        <v>16</v>
      </c>
      <c r="H1247" s="2">
        <f>SUM($G$2:G1247)</f>
        <v>10732</v>
      </c>
      <c r="I1247" s="10">
        <f t="shared" si="156"/>
        <v>45701.29478009259</v>
      </c>
      <c r="J1247" s="10">
        <f t="shared" si="157"/>
        <v>45701.29478009259</v>
      </c>
      <c r="K1247" s="3">
        <f t="shared" si="159"/>
        <v>9627</v>
      </c>
      <c r="L1247">
        <f t="shared" si="152"/>
        <v>16.625</v>
      </c>
      <c r="M1247">
        <f t="shared" si="158"/>
        <v>59.85</v>
      </c>
    </row>
    <row r="1248" spans="1:13" x14ac:dyDescent="0.25">
      <c r="A1248" s="9">
        <f>Speed!A1248</f>
        <v>45701.294791666667</v>
      </c>
      <c r="B1248" s="9">
        <f t="shared" si="153"/>
        <v>45701.294791666667</v>
      </c>
      <c r="C1248" s="2">
        <f>Speed!B1248</f>
        <v>16.591666669999999</v>
      </c>
      <c r="D1248" s="9">
        <f>Odometer!A1248</f>
        <v>45701.296041666668</v>
      </c>
      <c r="E1248" s="9">
        <f t="shared" si="154"/>
        <v>45701.296041666661</v>
      </c>
      <c r="F1248" s="2">
        <f>Odometer!B1248</f>
        <v>428760630</v>
      </c>
      <c r="G1248" s="2">
        <f t="shared" si="155"/>
        <v>15</v>
      </c>
      <c r="H1248" s="2">
        <f>SUM($G$2:G1248)</f>
        <v>10747</v>
      </c>
      <c r="I1248" s="10">
        <f t="shared" si="156"/>
        <v>45701.294791666667</v>
      </c>
      <c r="J1248" s="10">
        <f t="shared" si="157"/>
        <v>45701.294791666667</v>
      </c>
      <c r="K1248" s="3">
        <f t="shared" si="159"/>
        <v>9638</v>
      </c>
      <c r="L1248">
        <f t="shared" si="152"/>
        <v>16.591666669999999</v>
      </c>
      <c r="M1248">
        <f t="shared" si="158"/>
        <v>59.730000011999998</v>
      </c>
    </row>
    <row r="1249" spans="1:13" x14ac:dyDescent="0.25">
      <c r="A1249" s="9">
        <f>Speed!A1249</f>
        <v>45701.294791666667</v>
      </c>
      <c r="B1249" s="9">
        <f t="shared" si="153"/>
        <v>45701.294791666667</v>
      </c>
      <c r="C1249" s="2">
        <f>Speed!B1249</f>
        <v>16.508333329999999</v>
      </c>
      <c r="D1249" s="9">
        <f>Odometer!A1249</f>
        <v>45701.296053240738</v>
      </c>
      <c r="E1249" s="9">
        <f t="shared" si="154"/>
        <v>45701.296053240738</v>
      </c>
      <c r="F1249" s="2">
        <f>Odometer!B1249</f>
        <v>428760645</v>
      </c>
      <c r="G1249" s="2">
        <f t="shared" si="155"/>
        <v>17</v>
      </c>
      <c r="H1249" s="2">
        <f>SUM($G$2:G1249)</f>
        <v>10764</v>
      </c>
      <c r="I1249" s="10">
        <f t="shared" si="156"/>
        <v>45701.294791666667</v>
      </c>
      <c r="J1249" s="10">
        <f t="shared" si="157"/>
        <v>45701.294791666667</v>
      </c>
      <c r="K1249" s="3">
        <f t="shared" si="159"/>
        <v>9638</v>
      </c>
      <c r="L1249">
        <f t="shared" si="152"/>
        <v>16.591666669999999</v>
      </c>
      <c r="M1249">
        <f t="shared" si="158"/>
        <v>59.730000011999998</v>
      </c>
    </row>
    <row r="1250" spans="1:13" x14ac:dyDescent="0.25">
      <c r="A1250" s="9">
        <f>Speed!A1250</f>
        <v>45701.294803240744</v>
      </c>
      <c r="B1250" s="9">
        <f t="shared" si="153"/>
        <v>45701.294803240737</v>
      </c>
      <c r="C1250" s="2">
        <f>Speed!B1250</f>
        <v>16.480555559999999</v>
      </c>
      <c r="D1250" s="9">
        <f>Odometer!A1250</f>
        <v>45701.296064814815</v>
      </c>
      <c r="E1250" s="9">
        <f t="shared" si="154"/>
        <v>45701.296064814815</v>
      </c>
      <c r="F1250" s="2">
        <f>Odometer!B1250</f>
        <v>428760662</v>
      </c>
      <c r="G1250" s="2">
        <f t="shared" si="155"/>
        <v>1</v>
      </c>
      <c r="H1250" s="2">
        <f>SUM($G$2:G1250)</f>
        <v>10765</v>
      </c>
      <c r="I1250" s="10">
        <f t="shared" si="156"/>
        <v>45701.294803240744</v>
      </c>
      <c r="J1250" s="10">
        <f t="shared" si="157"/>
        <v>45701.294803240737</v>
      </c>
      <c r="K1250" s="3">
        <f t="shared" si="159"/>
        <v>9649</v>
      </c>
      <c r="L1250">
        <f t="shared" si="152"/>
        <v>16.480555559999999</v>
      </c>
      <c r="M1250">
        <f t="shared" si="158"/>
        <v>59.330000016</v>
      </c>
    </row>
    <row r="1251" spans="1:13" x14ac:dyDescent="0.25">
      <c r="A1251" s="9">
        <f>Speed!A1251</f>
        <v>45701.294803240744</v>
      </c>
      <c r="B1251" s="9">
        <f t="shared" si="153"/>
        <v>45701.294803240737</v>
      </c>
      <c r="C1251" s="2">
        <f>Speed!B1251</f>
        <v>16.425000000000001</v>
      </c>
      <c r="D1251" s="9">
        <f>Odometer!A1251</f>
        <v>45701.296064814815</v>
      </c>
      <c r="E1251" s="9">
        <f t="shared" si="154"/>
        <v>45701.296064814815</v>
      </c>
      <c r="F1251" s="2">
        <f>Odometer!B1251</f>
        <v>428760663</v>
      </c>
      <c r="G1251" s="2">
        <f t="shared" si="155"/>
        <v>8</v>
      </c>
      <c r="H1251" s="2">
        <f>SUM($G$2:G1251)</f>
        <v>10773</v>
      </c>
      <c r="I1251" s="10">
        <f t="shared" si="156"/>
        <v>45701.294803240744</v>
      </c>
      <c r="J1251" s="10">
        <f t="shared" si="157"/>
        <v>45701.294803240737</v>
      </c>
      <c r="K1251" s="3">
        <f t="shared" si="159"/>
        <v>9649</v>
      </c>
      <c r="L1251">
        <f t="shared" si="152"/>
        <v>16.480555559999999</v>
      </c>
      <c r="M1251">
        <f t="shared" si="158"/>
        <v>59.330000016</v>
      </c>
    </row>
    <row r="1252" spans="1:13" x14ac:dyDescent="0.25">
      <c r="A1252" s="9">
        <f>Speed!A1252</f>
        <v>45701.294814814813</v>
      </c>
      <c r="B1252" s="9">
        <f t="shared" si="153"/>
        <v>45701.294814814813</v>
      </c>
      <c r="C1252" s="2">
        <f>Speed!B1252</f>
        <v>16.22777778</v>
      </c>
      <c r="D1252" s="9">
        <f>Odometer!A1252</f>
        <v>45701.296064814815</v>
      </c>
      <c r="E1252" s="9">
        <f t="shared" si="154"/>
        <v>45701.296064814815</v>
      </c>
      <c r="F1252" s="2">
        <f>Odometer!B1252</f>
        <v>428760671</v>
      </c>
      <c r="G1252" s="2">
        <f t="shared" si="155"/>
        <v>9</v>
      </c>
      <c r="H1252" s="2">
        <f>SUM($G$2:G1252)</f>
        <v>10782</v>
      </c>
      <c r="I1252" s="10">
        <f t="shared" si="156"/>
        <v>45701.294814814813</v>
      </c>
      <c r="J1252" s="10">
        <f t="shared" si="157"/>
        <v>45701.294814814813</v>
      </c>
      <c r="K1252" s="3">
        <f t="shared" si="159"/>
        <v>9676</v>
      </c>
      <c r="L1252">
        <f t="shared" si="152"/>
        <v>16.22777778</v>
      </c>
      <c r="M1252">
        <f t="shared" si="158"/>
        <v>58.420000008000002</v>
      </c>
    </row>
    <row r="1253" spans="1:13" x14ac:dyDescent="0.25">
      <c r="A1253" s="9">
        <f>Speed!A1253</f>
        <v>45701.29482638889</v>
      </c>
      <c r="B1253" s="9">
        <f t="shared" si="153"/>
        <v>45701.29482638889</v>
      </c>
      <c r="C1253" s="2">
        <f>Speed!B1253</f>
        <v>16.008333329999999</v>
      </c>
      <c r="D1253" s="9">
        <f>Odometer!A1253</f>
        <v>45701.296064814815</v>
      </c>
      <c r="E1253" s="9">
        <f t="shared" si="154"/>
        <v>45701.296064814815</v>
      </c>
      <c r="F1253" s="2">
        <f>Odometer!B1253</f>
        <v>428760680</v>
      </c>
      <c r="G1253" s="2">
        <f t="shared" si="155"/>
        <v>19</v>
      </c>
      <c r="H1253" s="2">
        <f>SUM($G$2:G1253)</f>
        <v>10801</v>
      </c>
      <c r="I1253" s="10">
        <f t="shared" si="156"/>
        <v>45701.29482638889</v>
      </c>
      <c r="J1253" s="10">
        <f t="shared" si="157"/>
        <v>45701.29482638889</v>
      </c>
      <c r="K1253" s="3">
        <f t="shared" si="159"/>
        <v>9693</v>
      </c>
      <c r="L1253">
        <f t="shared" si="152"/>
        <v>16.008333329999999</v>
      </c>
      <c r="M1253">
        <f t="shared" si="158"/>
        <v>57.629999988000002</v>
      </c>
    </row>
    <row r="1254" spans="1:13" x14ac:dyDescent="0.25">
      <c r="A1254" s="9">
        <f>Speed!A1254</f>
        <v>45701.29483796296</v>
      </c>
      <c r="B1254" s="9">
        <f t="shared" si="153"/>
        <v>45701.29483796296</v>
      </c>
      <c r="C1254" s="2">
        <f>Speed!B1254</f>
        <v>15.686111110000001</v>
      </c>
      <c r="D1254" s="9">
        <f>Odometer!A1254</f>
        <v>45701.296087962961</v>
      </c>
      <c r="E1254" s="9">
        <f t="shared" si="154"/>
        <v>45701.296087962961</v>
      </c>
      <c r="F1254" s="2">
        <f>Odometer!B1254</f>
        <v>428760699</v>
      </c>
      <c r="G1254" s="2">
        <f t="shared" si="155"/>
        <v>9</v>
      </c>
      <c r="H1254" s="2">
        <f>SUM($G$2:G1254)</f>
        <v>10810</v>
      </c>
      <c r="I1254" s="10">
        <f t="shared" si="156"/>
        <v>45701.29483796296</v>
      </c>
      <c r="J1254" s="10">
        <f t="shared" si="157"/>
        <v>45701.29483796296</v>
      </c>
      <c r="K1254" s="3">
        <f t="shared" si="159"/>
        <v>9694</v>
      </c>
      <c r="L1254">
        <f t="shared" si="152"/>
        <v>15.686111110000001</v>
      </c>
      <c r="M1254">
        <f t="shared" si="158"/>
        <v>56.469999996000006</v>
      </c>
    </row>
    <row r="1255" spans="1:13" x14ac:dyDescent="0.25">
      <c r="A1255" s="9">
        <f>Speed!A1255</f>
        <v>45701.29483796296</v>
      </c>
      <c r="B1255" s="9">
        <f t="shared" si="153"/>
        <v>45701.29483796296</v>
      </c>
      <c r="C1255" s="2">
        <f>Speed!B1255</f>
        <v>15.663888890000001</v>
      </c>
      <c r="D1255" s="9">
        <f>Odometer!A1255</f>
        <v>45701.296087962961</v>
      </c>
      <c r="E1255" s="9">
        <f t="shared" si="154"/>
        <v>45701.296087962961</v>
      </c>
      <c r="F1255" s="2">
        <f>Odometer!B1255</f>
        <v>428760708</v>
      </c>
      <c r="G1255" s="2">
        <f t="shared" si="155"/>
        <v>5</v>
      </c>
      <c r="H1255" s="2">
        <f>SUM($G$2:G1255)</f>
        <v>10815</v>
      </c>
      <c r="I1255" s="10">
        <f t="shared" si="156"/>
        <v>45701.29483796296</v>
      </c>
      <c r="J1255" s="10">
        <f t="shared" si="157"/>
        <v>45701.29483796296</v>
      </c>
      <c r="K1255" s="3">
        <f t="shared" si="159"/>
        <v>9694</v>
      </c>
      <c r="L1255">
        <f t="shared" si="152"/>
        <v>15.686111110000001</v>
      </c>
      <c r="M1255">
        <f t="shared" si="158"/>
        <v>56.469999996000006</v>
      </c>
    </row>
    <row r="1256" spans="1:13" x14ac:dyDescent="0.25">
      <c r="A1256" s="9">
        <f>Speed!A1256</f>
        <v>45701.29483796296</v>
      </c>
      <c r="B1256" s="9">
        <f t="shared" si="153"/>
        <v>45701.29483796296</v>
      </c>
      <c r="C1256" s="2">
        <f>Speed!B1256</f>
        <v>15.42777778</v>
      </c>
      <c r="D1256" s="9">
        <f>Odometer!A1256</f>
        <v>45701.296087962961</v>
      </c>
      <c r="E1256" s="9">
        <f t="shared" si="154"/>
        <v>45701.296087962961</v>
      </c>
      <c r="F1256" s="2">
        <f>Odometer!B1256</f>
        <v>428760713</v>
      </c>
      <c r="G1256" s="2">
        <f t="shared" si="155"/>
        <v>4</v>
      </c>
      <c r="H1256" s="2">
        <f>SUM($G$2:G1256)</f>
        <v>10819</v>
      </c>
      <c r="I1256" s="10">
        <f t="shared" si="156"/>
        <v>45701.29483796296</v>
      </c>
      <c r="J1256" s="10">
        <f t="shared" si="157"/>
        <v>45701.29483796296</v>
      </c>
      <c r="K1256" s="3">
        <f t="shared" si="159"/>
        <v>9694</v>
      </c>
      <c r="L1256">
        <f t="shared" si="152"/>
        <v>15.686111110000001</v>
      </c>
      <c r="M1256">
        <f t="shared" si="158"/>
        <v>56.469999996000006</v>
      </c>
    </row>
    <row r="1257" spans="1:13" x14ac:dyDescent="0.25">
      <c r="A1257" s="9">
        <f>Speed!A1257</f>
        <v>45701.294861111113</v>
      </c>
      <c r="B1257" s="9">
        <f t="shared" si="153"/>
        <v>45701.294861111106</v>
      </c>
      <c r="C1257" s="2">
        <f>Speed!B1257</f>
        <v>15.130555559999999</v>
      </c>
      <c r="D1257" s="9">
        <f>Odometer!A1257</f>
        <v>45701.296099537038</v>
      </c>
      <c r="E1257" s="9">
        <f t="shared" si="154"/>
        <v>45701.296099537038</v>
      </c>
      <c r="F1257" s="2">
        <f>Odometer!B1257</f>
        <v>428760717</v>
      </c>
      <c r="G1257" s="2">
        <f t="shared" si="155"/>
        <v>19</v>
      </c>
      <c r="H1257" s="2">
        <f>SUM($G$2:G1257)</f>
        <v>10838</v>
      </c>
      <c r="I1257" s="10">
        <f t="shared" si="156"/>
        <v>45701.294861111113</v>
      </c>
      <c r="J1257" s="10">
        <f t="shared" si="157"/>
        <v>45701.294861111106</v>
      </c>
      <c r="K1257" s="3">
        <f t="shared" si="159"/>
        <v>9739</v>
      </c>
      <c r="L1257">
        <f t="shared" si="152"/>
        <v>15.130555559999999</v>
      </c>
      <c r="M1257">
        <f t="shared" si="158"/>
        <v>54.470000016</v>
      </c>
    </row>
    <row r="1258" spans="1:13" x14ac:dyDescent="0.25">
      <c r="A1258" s="9">
        <f>Speed!A1258</f>
        <v>45701.294872685183</v>
      </c>
      <c r="B1258" s="9">
        <f t="shared" si="153"/>
        <v>45701.294872685183</v>
      </c>
      <c r="C1258" s="2">
        <f>Speed!B1258</f>
        <v>14.41666667</v>
      </c>
      <c r="D1258" s="9">
        <f>Odometer!A1258</f>
        <v>45701.296111111114</v>
      </c>
      <c r="E1258" s="9">
        <f t="shared" si="154"/>
        <v>45701.296111111107</v>
      </c>
      <c r="F1258" s="2">
        <f>Odometer!B1258</f>
        <v>428760736</v>
      </c>
      <c r="G1258" s="2">
        <f t="shared" si="155"/>
        <v>17</v>
      </c>
      <c r="H1258" s="2">
        <f>SUM($G$2:G1258)</f>
        <v>10855</v>
      </c>
      <c r="I1258" s="10">
        <f t="shared" si="156"/>
        <v>45701.294872685183</v>
      </c>
      <c r="J1258" s="10">
        <f t="shared" si="157"/>
        <v>45701.294872685183</v>
      </c>
      <c r="K1258" s="3">
        <f t="shared" si="159"/>
        <v>9752</v>
      </c>
      <c r="L1258">
        <f t="shared" si="152"/>
        <v>14.41666667</v>
      </c>
      <c r="M1258">
        <f t="shared" si="158"/>
        <v>51.900000012</v>
      </c>
    </row>
    <row r="1259" spans="1:13" x14ac:dyDescent="0.25">
      <c r="A1259" s="9">
        <f>Speed!A1259</f>
        <v>45701.29488425926</v>
      </c>
      <c r="B1259" s="9">
        <f t="shared" si="153"/>
        <v>45701.29488425926</v>
      </c>
      <c r="C1259" s="2">
        <f>Speed!B1259</f>
        <v>14.105555560000001</v>
      </c>
      <c r="D1259" s="9">
        <f>Odometer!A1259</f>
        <v>45701.296122685184</v>
      </c>
      <c r="E1259" s="9">
        <f t="shared" si="154"/>
        <v>45701.296122685184</v>
      </c>
      <c r="F1259" s="2">
        <f>Odometer!B1259</f>
        <v>428760753</v>
      </c>
      <c r="G1259" s="2">
        <f t="shared" si="155"/>
        <v>17</v>
      </c>
      <c r="H1259" s="2">
        <f>SUM($G$2:G1259)</f>
        <v>10872</v>
      </c>
      <c r="I1259" s="10">
        <f t="shared" si="156"/>
        <v>45701.29488425926</v>
      </c>
      <c r="J1259" s="10">
        <f t="shared" si="157"/>
        <v>45701.29488425926</v>
      </c>
      <c r="K1259" s="3">
        <f t="shared" si="159"/>
        <v>9767</v>
      </c>
      <c r="L1259">
        <f t="shared" si="152"/>
        <v>14.105555560000001</v>
      </c>
      <c r="M1259">
        <f t="shared" si="158"/>
        <v>50.780000016000002</v>
      </c>
    </row>
    <row r="1260" spans="1:13" x14ac:dyDescent="0.25">
      <c r="A1260" s="9">
        <f>Speed!A1260</f>
        <v>45701.294895833336</v>
      </c>
      <c r="B1260" s="9">
        <f t="shared" si="153"/>
        <v>45701.294895833329</v>
      </c>
      <c r="C1260" s="2">
        <f>Speed!B1260</f>
        <v>13.79166667</v>
      </c>
      <c r="D1260" s="9">
        <f>Odometer!A1260</f>
        <v>45701.296134259261</v>
      </c>
      <c r="E1260" s="9">
        <f t="shared" si="154"/>
        <v>45701.296134259253</v>
      </c>
      <c r="F1260" s="2">
        <f>Odometer!B1260</f>
        <v>428760770</v>
      </c>
      <c r="G1260" s="2">
        <f t="shared" si="155"/>
        <v>18</v>
      </c>
      <c r="H1260" s="2">
        <f>SUM($G$2:G1260)</f>
        <v>10890</v>
      </c>
      <c r="I1260" s="10">
        <f t="shared" si="156"/>
        <v>45701.294895833336</v>
      </c>
      <c r="J1260" s="10">
        <f t="shared" si="157"/>
        <v>45701.294895833329</v>
      </c>
      <c r="K1260" s="3">
        <f t="shared" si="159"/>
        <v>9781</v>
      </c>
      <c r="L1260">
        <f t="shared" si="152"/>
        <v>13.79166667</v>
      </c>
      <c r="M1260">
        <f t="shared" si="158"/>
        <v>49.650000012</v>
      </c>
    </row>
    <row r="1261" spans="1:13" x14ac:dyDescent="0.25">
      <c r="A1261" s="9">
        <f>Speed!A1261</f>
        <v>45701.294907407406</v>
      </c>
      <c r="B1261" s="9">
        <f t="shared" si="153"/>
        <v>45701.294907407406</v>
      </c>
      <c r="C1261" s="2">
        <f>Speed!B1261</f>
        <v>13.311111110000001</v>
      </c>
      <c r="D1261" s="9">
        <f>Odometer!A1261</f>
        <v>45701.296134259261</v>
      </c>
      <c r="E1261" s="9">
        <f t="shared" si="154"/>
        <v>45701.296134259253</v>
      </c>
      <c r="F1261" s="2">
        <f>Odometer!B1261</f>
        <v>428760788</v>
      </c>
      <c r="G1261" s="2">
        <f t="shared" si="155"/>
        <v>17</v>
      </c>
      <c r="H1261" s="2">
        <f>SUM($G$2:G1261)</f>
        <v>10907</v>
      </c>
      <c r="I1261" s="10">
        <f t="shared" si="156"/>
        <v>45701.294907407406</v>
      </c>
      <c r="J1261" s="10">
        <f t="shared" si="157"/>
        <v>45701.294907407406</v>
      </c>
      <c r="K1261" s="3">
        <f t="shared" si="159"/>
        <v>9794</v>
      </c>
      <c r="L1261">
        <f t="shared" si="152"/>
        <v>13.311111110000001</v>
      </c>
      <c r="M1261">
        <f t="shared" si="158"/>
        <v>47.919999996000001</v>
      </c>
    </row>
    <row r="1262" spans="1:13" x14ac:dyDescent="0.25">
      <c r="A1262" s="9">
        <f>Speed!A1262</f>
        <v>45701.294918981483</v>
      </c>
      <c r="B1262" s="9">
        <f t="shared" si="153"/>
        <v>45701.294918981483</v>
      </c>
      <c r="C1262" s="2">
        <f>Speed!B1262</f>
        <v>12.96944444</v>
      </c>
      <c r="D1262" s="9">
        <f>Odometer!A1262</f>
        <v>45701.296157407407</v>
      </c>
      <c r="E1262" s="9">
        <f t="shared" si="154"/>
        <v>45701.296157407407</v>
      </c>
      <c r="F1262" s="2">
        <f>Odometer!B1262</f>
        <v>428760805</v>
      </c>
      <c r="G1262" s="2">
        <f t="shared" si="155"/>
        <v>11</v>
      </c>
      <c r="H1262" s="2">
        <f>SUM($G$2:G1262)</f>
        <v>10918</v>
      </c>
      <c r="I1262" s="10">
        <f t="shared" si="156"/>
        <v>45701.294918981483</v>
      </c>
      <c r="J1262" s="10">
        <f t="shared" si="157"/>
        <v>45701.294918981483</v>
      </c>
      <c r="K1262" s="3">
        <f t="shared" si="159"/>
        <v>9807</v>
      </c>
      <c r="L1262">
        <f t="shared" si="152"/>
        <v>12.96944444</v>
      </c>
      <c r="M1262">
        <f t="shared" si="158"/>
        <v>46.689999984000004</v>
      </c>
    </row>
    <row r="1263" spans="1:13" x14ac:dyDescent="0.25">
      <c r="A1263" s="9">
        <f>Speed!A1263</f>
        <v>45701.294930555552</v>
      </c>
      <c r="B1263" s="9">
        <f t="shared" si="153"/>
        <v>45701.294930555552</v>
      </c>
      <c r="C1263" s="2">
        <f>Speed!B1263</f>
        <v>12.6</v>
      </c>
      <c r="D1263" s="9">
        <f>Odometer!A1263</f>
        <v>45701.296168981484</v>
      </c>
      <c r="E1263" s="9">
        <f t="shared" si="154"/>
        <v>45701.296168981477</v>
      </c>
      <c r="F1263" s="2">
        <f>Odometer!B1263</f>
        <v>428760816</v>
      </c>
      <c r="G1263" s="2">
        <f t="shared" si="155"/>
        <v>7</v>
      </c>
      <c r="H1263" s="2">
        <f>SUM($G$2:G1263)</f>
        <v>10925</v>
      </c>
      <c r="I1263" s="10">
        <f t="shared" si="156"/>
        <v>45701.294930555552</v>
      </c>
      <c r="J1263" s="10">
        <f t="shared" si="157"/>
        <v>45701.294930555552</v>
      </c>
      <c r="K1263" s="3">
        <f t="shared" si="159"/>
        <v>9820</v>
      </c>
      <c r="L1263">
        <f t="shared" si="152"/>
        <v>12.6</v>
      </c>
      <c r="M1263">
        <f t="shared" si="158"/>
        <v>45.36</v>
      </c>
    </row>
    <row r="1264" spans="1:13" x14ac:dyDescent="0.25">
      <c r="A1264" s="9">
        <f>Speed!A1264</f>
        <v>45701.294942129629</v>
      </c>
      <c r="B1264" s="9">
        <f t="shared" si="153"/>
        <v>45701.294942129629</v>
      </c>
      <c r="C1264" s="2">
        <f>Speed!B1264</f>
        <v>12.35277778</v>
      </c>
      <c r="D1264" s="9">
        <f>Odometer!A1264</f>
        <v>45701.296168981484</v>
      </c>
      <c r="E1264" s="9">
        <f t="shared" si="154"/>
        <v>45701.296168981477</v>
      </c>
      <c r="F1264" s="2">
        <f>Odometer!B1264</f>
        <v>428760823</v>
      </c>
      <c r="G1264" s="2">
        <f t="shared" si="155"/>
        <v>16</v>
      </c>
      <c r="H1264" s="2">
        <f>SUM($G$2:G1264)</f>
        <v>10941</v>
      </c>
      <c r="I1264" s="10">
        <f t="shared" si="156"/>
        <v>45701.294942129629</v>
      </c>
      <c r="J1264" s="10">
        <f t="shared" si="157"/>
        <v>45701.294942129629</v>
      </c>
      <c r="K1264" s="3">
        <f t="shared" si="159"/>
        <v>9832</v>
      </c>
      <c r="L1264">
        <f t="shared" si="152"/>
        <v>12.35277778</v>
      </c>
      <c r="M1264">
        <f t="shared" si="158"/>
        <v>44.470000008</v>
      </c>
    </row>
    <row r="1265" spans="1:13" x14ac:dyDescent="0.25">
      <c r="A1265" s="9">
        <f>Speed!A1265</f>
        <v>45701.294953703706</v>
      </c>
      <c r="B1265" s="9">
        <f t="shared" si="153"/>
        <v>45701.294953703698</v>
      </c>
      <c r="C1265" s="2">
        <f>Speed!B1265</f>
        <v>12.080555560000001</v>
      </c>
      <c r="D1265" s="9">
        <f>Odometer!A1265</f>
        <v>45701.296168981484</v>
      </c>
      <c r="E1265" s="9">
        <f t="shared" si="154"/>
        <v>45701.296168981477</v>
      </c>
      <c r="F1265" s="2">
        <f>Odometer!B1265</f>
        <v>428760839</v>
      </c>
      <c r="G1265" s="2">
        <f t="shared" si="155"/>
        <v>15</v>
      </c>
      <c r="H1265" s="2">
        <f>SUM($G$2:G1265)</f>
        <v>10956</v>
      </c>
      <c r="I1265" s="10">
        <f t="shared" si="156"/>
        <v>45701.294953703706</v>
      </c>
      <c r="J1265" s="10">
        <f t="shared" si="157"/>
        <v>45701.294953703698</v>
      </c>
      <c r="K1265" s="3">
        <f t="shared" si="159"/>
        <v>9844</v>
      </c>
      <c r="L1265">
        <f t="shared" si="152"/>
        <v>12.080555560000001</v>
      </c>
      <c r="M1265">
        <f t="shared" si="158"/>
        <v>43.490000016000003</v>
      </c>
    </row>
    <row r="1266" spans="1:13" x14ac:dyDescent="0.25">
      <c r="A1266" s="9">
        <f>Speed!A1266</f>
        <v>45701.294965277775</v>
      </c>
      <c r="B1266" s="9">
        <f t="shared" si="153"/>
        <v>45701.294965277775</v>
      </c>
      <c r="C1266" s="2">
        <f>Speed!B1266</f>
        <v>11.811111110000001</v>
      </c>
      <c r="D1266" s="9">
        <f>Odometer!A1266</f>
        <v>45701.29619212963</v>
      </c>
      <c r="E1266" s="9">
        <f t="shared" si="154"/>
        <v>45701.29619212963</v>
      </c>
      <c r="F1266" s="2">
        <f>Odometer!B1266</f>
        <v>428760854</v>
      </c>
      <c r="G1266" s="2">
        <f t="shared" si="155"/>
        <v>18</v>
      </c>
      <c r="H1266" s="2">
        <f>SUM($G$2:G1266)</f>
        <v>10974</v>
      </c>
      <c r="I1266" s="10">
        <f t="shared" si="156"/>
        <v>45701.294965277775</v>
      </c>
      <c r="J1266" s="10">
        <f t="shared" si="157"/>
        <v>45701.294965277775</v>
      </c>
      <c r="K1266" s="3">
        <f t="shared" si="159"/>
        <v>9850</v>
      </c>
      <c r="L1266">
        <f t="shared" si="152"/>
        <v>11.811111110000001</v>
      </c>
      <c r="M1266">
        <f t="shared" si="158"/>
        <v>42.519999996000003</v>
      </c>
    </row>
    <row r="1267" spans="1:13" x14ac:dyDescent="0.25">
      <c r="A1267" s="9">
        <f>Speed!A1267</f>
        <v>45701.294965277775</v>
      </c>
      <c r="B1267" s="9">
        <f t="shared" si="153"/>
        <v>45701.294965277775</v>
      </c>
      <c r="C1267" s="2">
        <f>Speed!B1267</f>
        <v>11.633333329999999</v>
      </c>
      <c r="D1267" s="9">
        <f>Odometer!A1267</f>
        <v>45701.296203703707</v>
      </c>
      <c r="E1267" s="9">
        <f t="shared" si="154"/>
        <v>45701.2962037037</v>
      </c>
      <c r="F1267" s="2">
        <f>Odometer!B1267</f>
        <v>428760872</v>
      </c>
      <c r="G1267" s="2">
        <f t="shared" si="155"/>
        <v>13</v>
      </c>
      <c r="H1267" s="2">
        <f>SUM($G$2:G1267)</f>
        <v>10987</v>
      </c>
      <c r="I1267" s="10">
        <f t="shared" si="156"/>
        <v>45701.294965277775</v>
      </c>
      <c r="J1267" s="10">
        <f t="shared" si="157"/>
        <v>45701.294965277775</v>
      </c>
      <c r="K1267" s="3">
        <f t="shared" si="159"/>
        <v>9850</v>
      </c>
      <c r="L1267">
        <f t="shared" si="152"/>
        <v>11.811111110000001</v>
      </c>
      <c r="M1267">
        <f t="shared" si="158"/>
        <v>42.519999996000003</v>
      </c>
    </row>
    <row r="1268" spans="1:13" x14ac:dyDescent="0.25">
      <c r="A1268" s="9">
        <f>Speed!A1268</f>
        <v>45701.294965277775</v>
      </c>
      <c r="B1268" s="9">
        <f t="shared" si="153"/>
        <v>45701.294965277775</v>
      </c>
      <c r="C1268" s="2">
        <f>Speed!B1268</f>
        <v>11.597222220000001</v>
      </c>
      <c r="D1268" s="9">
        <f>Odometer!A1268</f>
        <v>45701.296215277776</v>
      </c>
      <c r="E1268" s="9">
        <f t="shared" si="154"/>
        <v>45701.296215277776</v>
      </c>
      <c r="F1268" s="2">
        <f>Odometer!B1268</f>
        <v>428760885</v>
      </c>
      <c r="G1268" s="2">
        <f t="shared" si="155"/>
        <v>14</v>
      </c>
      <c r="H1268" s="2">
        <f>SUM($G$2:G1268)</f>
        <v>11001</v>
      </c>
      <c r="I1268" s="10">
        <f t="shared" si="156"/>
        <v>45701.294965277775</v>
      </c>
      <c r="J1268" s="10">
        <f t="shared" si="157"/>
        <v>45701.294965277775</v>
      </c>
      <c r="K1268" s="3">
        <f t="shared" si="159"/>
        <v>9850</v>
      </c>
      <c r="L1268">
        <f t="shared" si="152"/>
        <v>11.811111110000001</v>
      </c>
      <c r="M1268">
        <f t="shared" si="158"/>
        <v>42.519999996000003</v>
      </c>
    </row>
    <row r="1269" spans="1:13" x14ac:dyDescent="0.25">
      <c r="A1269" s="9">
        <f>Speed!A1269</f>
        <v>45701.294976851852</v>
      </c>
      <c r="B1269" s="9">
        <f t="shared" si="153"/>
        <v>45701.294976851852</v>
      </c>
      <c r="C1269" s="2">
        <f>Speed!B1269</f>
        <v>11.525</v>
      </c>
      <c r="D1269" s="9">
        <f>Odometer!A1269</f>
        <v>45701.296226851853</v>
      </c>
      <c r="E1269" s="9">
        <f t="shared" si="154"/>
        <v>45701.296226851853</v>
      </c>
      <c r="F1269" s="2">
        <f>Odometer!B1269</f>
        <v>428760899</v>
      </c>
      <c r="G1269" s="2">
        <f t="shared" si="155"/>
        <v>12</v>
      </c>
      <c r="H1269" s="2">
        <f>SUM($G$2:G1269)</f>
        <v>11013</v>
      </c>
      <c r="I1269" s="10">
        <f t="shared" si="156"/>
        <v>45701.294976851852</v>
      </c>
      <c r="J1269" s="10">
        <f t="shared" si="157"/>
        <v>45701.294976851852</v>
      </c>
      <c r="K1269" s="3">
        <f t="shared" si="159"/>
        <v>9867</v>
      </c>
      <c r="L1269">
        <f t="shared" si="152"/>
        <v>11.525</v>
      </c>
      <c r="M1269">
        <f t="shared" si="158"/>
        <v>41.49</v>
      </c>
    </row>
    <row r="1270" spans="1:13" x14ac:dyDescent="0.25">
      <c r="A1270" s="9">
        <f>Speed!A1270</f>
        <v>45701.294988425929</v>
      </c>
      <c r="B1270" s="9">
        <f t="shared" si="153"/>
        <v>45701.294988425921</v>
      </c>
      <c r="C1270" s="2">
        <f>Speed!B1270</f>
        <v>11.34444444</v>
      </c>
      <c r="D1270" s="9">
        <f>Odometer!A1270</f>
        <v>45701.296238425923</v>
      </c>
      <c r="E1270" s="9">
        <f t="shared" si="154"/>
        <v>45701.296238425923</v>
      </c>
      <c r="F1270" s="2">
        <f>Odometer!B1270</f>
        <v>428760911</v>
      </c>
      <c r="G1270" s="2">
        <f t="shared" si="155"/>
        <v>14</v>
      </c>
      <c r="H1270" s="2">
        <f>SUM($G$2:G1270)</f>
        <v>11027</v>
      </c>
      <c r="I1270" s="10">
        <f t="shared" si="156"/>
        <v>45701.294988425929</v>
      </c>
      <c r="J1270" s="10">
        <f t="shared" si="157"/>
        <v>45701.294988425921</v>
      </c>
      <c r="K1270" s="3">
        <f t="shared" si="159"/>
        <v>9878</v>
      </c>
      <c r="L1270">
        <f t="shared" si="152"/>
        <v>11.34444444</v>
      </c>
      <c r="M1270">
        <f t="shared" si="158"/>
        <v>40.839999984000002</v>
      </c>
    </row>
    <row r="1271" spans="1:13" x14ac:dyDescent="0.25">
      <c r="A1271" s="9">
        <f>Speed!A1271</f>
        <v>45701.294999999998</v>
      </c>
      <c r="B1271" s="9">
        <f t="shared" si="153"/>
        <v>45701.294999999998</v>
      </c>
      <c r="C1271" s="2">
        <f>Speed!B1271</f>
        <v>11.127777780000001</v>
      </c>
      <c r="D1271" s="9">
        <f>Odometer!A1271</f>
        <v>45701.296249999999</v>
      </c>
      <c r="E1271" s="9">
        <f t="shared" si="154"/>
        <v>45701.296249999999</v>
      </c>
      <c r="F1271" s="2">
        <f>Odometer!B1271</f>
        <v>428760925</v>
      </c>
      <c r="G1271" s="2">
        <f t="shared" si="155"/>
        <v>12</v>
      </c>
      <c r="H1271" s="2">
        <f>SUM($G$2:G1271)</f>
        <v>11039</v>
      </c>
      <c r="I1271" s="10">
        <f t="shared" si="156"/>
        <v>45701.294999999998</v>
      </c>
      <c r="J1271" s="10">
        <f t="shared" si="157"/>
        <v>45701.294999999998</v>
      </c>
      <c r="K1271" s="3">
        <f t="shared" si="159"/>
        <v>9882</v>
      </c>
      <c r="L1271">
        <f t="shared" si="152"/>
        <v>11.127777780000001</v>
      </c>
      <c r="M1271">
        <f t="shared" si="158"/>
        <v>40.060000008000003</v>
      </c>
    </row>
    <row r="1272" spans="1:13" x14ac:dyDescent="0.25">
      <c r="A1272" s="9">
        <f>Speed!A1272</f>
        <v>45701.294999999998</v>
      </c>
      <c r="B1272" s="9">
        <f t="shared" si="153"/>
        <v>45701.294999999998</v>
      </c>
      <c r="C1272" s="2">
        <f>Speed!B1272</f>
        <v>11.04166667</v>
      </c>
      <c r="D1272" s="9">
        <f>Odometer!A1272</f>
        <v>45701.296261574076</v>
      </c>
      <c r="E1272" s="9">
        <f t="shared" si="154"/>
        <v>45701.296261574069</v>
      </c>
      <c r="F1272" s="2">
        <f>Odometer!B1272</f>
        <v>428760937</v>
      </c>
      <c r="G1272" s="2">
        <f t="shared" si="155"/>
        <v>11</v>
      </c>
      <c r="H1272" s="2">
        <f>SUM($G$2:G1272)</f>
        <v>11050</v>
      </c>
      <c r="I1272" s="10">
        <f t="shared" si="156"/>
        <v>45701.294999999998</v>
      </c>
      <c r="J1272" s="10">
        <f t="shared" si="157"/>
        <v>45701.294999999998</v>
      </c>
      <c r="K1272" s="3">
        <f t="shared" si="159"/>
        <v>9882</v>
      </c>
      <c r="L1272">
        <f t="shared" si="152"/>
        <v>11.127777780000001</v>
      </c>
      <c r="M1272">
        <f t="shared" si="158"/>
        <v>40.060000008000003</v>
      </c>
    </row>
    <row r="1273" spans="1:13" x14ac:dyDescent="0.25">
      <c r="A1273" s="9">
        <f>Speed!A1273</f>
        <v>45701.295011574075</v>
      </c>
      <c r="B1273" s="9">
        <f t="shared" si="153"/>
        <v>45701.295011574075</v>
      </c>
      <c r="C1273" s="2">
        <f>Speed!B1273</f>
        <v>10.875</v>
      </c>
      <c r="D1273" s="9">
        <f>Odometer!A1273</f>
        <v>45701.296261574076</v>
      </c>
      <c r="E1273" s="9">
        <f t="shared" si="154"/>
        <v>45701.296261574069</v>
      </c>
      <c r="F1273" s="2">
        <f>Odometer!B1273</f>
        <v>428760948</v>
      </c>
      <c r="G1273" s="2">
        <f t="shared" si="155"/>
        <v>12</v>
      </c>
      <c r="H1273" s="2">
        <f>SUM($G$2:G1273)</f>
        <v>11062</v>
      </c>
      <c r="I1273" s="10">
        <f t="shared" si="156"/>
        <v>45701.295011574075</v>
      </c>
      <c r="J1273" s="10">
        <f t="shared" si="157"/>
        <v>45701.295011574075</v>
      </c>
      <c r="K1273" s="3">
        <f t="shared" si="159"/>
        <v>9899</v>
      </c>
      <c r="L1273">
        <f t="shared" si="152"/>
        <v>10.875</v>
      </c>
      <c r="M1273">
        <f t="shared" si="158"/>
        <v>39.15</v>
      </c>
    </row>
    <row r="1274" spans="1:13" x14ac:dyDescent="0.25">
      <c r="A1274" s="9">
        <f>Speed!A1274</f>
        <v>45701.295023148145</v>
      </c>
      <c r="B1274" s="9">
        <f t="shared" si="153"/>
        <v>45701.295023148145</v>
      </c>
      <c r="C1274" s="2">
        <f>Speed!B1274</f>
        <v>10.28611111</v>
      </c>
      <c r="D1274" s="9">
        <f>Odometer!A1274</f>
        <v>45701.296284722222</v>
      </c>
      <c r="E1274" s="9">
        <f t="shared" si="154"/>
        <v>45701.296284722222</v>
      </c>
      <c r="F1274" s="2">
        <f>Odometer!B1274</f>
        <v>428760960</v>
      </c>
      <c r="G1274" s="2">
        <f t="shared" si="155"/>
        <v>12</v>
      </c>
      <c r="H1274" s="2">
        <f>SUM($G$2:G1274)</f>
        <v>11074</v>
      </c>
      <c r="I1274" s="10">
        <f t="shared" si="156"/>
        <v>45701.295023148145</v>
      </c>
      <c r="J1274" s="10">
        <f t="shared" si="157"/>
        <v>45701.295023148145</v>
      </c>
      <c r="K1274" s="3">
        <f t="shared" si="159"/>
        <v>9910</v>
      </c>
      <c r="L1274">
        <f t="shared" si="152"/>
        <v>10.28611111</v>
      </c>
      <c r="M1274">
        <f t="shared" si="158"/>
        <v>37.029999996000001</v>
      </c>
    </row>
    <row r="1275" spans="1:13" x14ac:dyDescent="0.25">
      <c r="A1275" s="9">
        <f>Speed!A1275</f>
        <v>45701.295034722221</v>
      </c>
      <c r="B1275" s="9">
        <f t="shared" si="153"/>
        <v>45701.295034722221</v>
      </c>
      <c r="C1275" s="2">
        <f>Speed!B1275</f>
        <v>9.6638888890000008</v>
      </c>
      <c r="D1275" s="9">
        <f>Odometer!A1275</f>
        <v>45701.296284722222</v>
      </c>
      <c r="E1275" s="9">
        <f t="shared" si="154"/>
        <v>45701.296284722222</v>
      </c>
      <c r="F1275" s="2">
        <f>Odometer!B1275</f>
        <v>428760972</v>
      </c>
      <c r="G1275" s="2">
        <f t="shared" si="155"/>
        <v>10</v>
      </c>
      <c r="H1275" s="2">
        <f>SUM($G$2:G1275)</f>
        <v>11084</v>
      </c>
      <c r="I1275" s="10">
        <f t="shared" si="156"/>
        <v>45701.295034722221</v>
      </c>
      <c r="J1275" s="10">
        <f t="shared" si="157"/>
        <v>45701.295034722221</v>
      </c>
      <c r="K1275" s="3">
        <f t="shared" si="159"/>
        <v>9918</v>
      </c>
      <c r="L1275">
        <f t="shared" si="152"/>
        <v>9.6638888890000008</v>
      </c>
      <c r="M1275">
        <f t="shared" si="158"/>
        <v>34.790000000400006</v>
      </c>
    </row>
    <row r="1276" spans="1:13" x14ac:dyDescent="0.25">
      <c r="A1276" s="9">
        <f>Speed!A1276</f>
        <v>45701.295046296298</v>
      </c>
      <c r="B1276" s="9">
        <f t="shared" si="153"/>
        <v>45701.295046296291</v>
      </c>
      <c r="C1276" s="2">
        <f>Speed!B1276</f>
        <v>9.1916666669999998</v>
      </c>
      <c r="D1276" s="9">
        <f>Odometer!A1276</f>
        <v>45701.296307870369</v>
      </c>
      <c r="E1276" s="9">
        <f t="shared" si="154"/>
        <v>45701.296307870369</v>
      </c>
      <c r="F1276" s="2">
        <f>Odometer!B1276</f>
        <v>428760982</v>
      </c>
      <c r="G1276" s="2">
        <f t="shared" si="155"/>
        <v>10</v>
      </c>
      <c r="H1276" s="2">
        <f>SUM($G$2:G1276)</f>
        <v>11094</v>
      </c>
      <c r="I1276" s="10">
        <f t="shared" si="156"/>
        <v>45701.295046296298</v>
      </c>
      <c r="J1276" s="10">
        <f t="shared" si="157"/>
        <v>45701.295046296291</v>
      </c>
      <c r="K1276" s="3">
        <f t="shared" si="159"/>
        <v>9927</v>
      </c>
      <c r="L1276">
        <f t="shared" si="152"/>
        <v>9.1916666669999998</v>
      </c>
      <c r="M1276">
        <f t="shared" si="158"/>
        <v>33.090000001200004</v>
      </c>
    </row>
    <row r="1277" spans="1:13" x14ac:dyDescent="0.25">
      <c r="A1277" s="9">
        <f>Speed!A1277</f>
        <v>45701.295057870368</v>
      </c>
      <c r="B1277" s="9">
        <f t="shared" si="153"/>
        <v>45701.295057870368</v>
      </c>
      <c r="C1277" s="2">
        <f>Speed!B1277</f>
        <v>8.5166666670000009</v>
      </c>
      <c r="D1277" s="9">
        <f>Odometer!A1277</f>
        <v>45701.296307870369</v>
      </c>
      <c r="E1277" s="9">
        <f t="shared" si="154"/>
        <v>45701.296307870369</v>
      </c>
      <c r="F1277" s="2">
        <f>Odometer!B1277</f>
        <v>428760992</v>
      </c>
      <c r="G1277" s="2">
        <f t="shared" si="155"/>
        <v>1</v>
      </c>
      <c r="H1277" s="2">
        <f>SUM($G$2:G1277)</f>
        <v>11095</v>
      </c>
      <c r="I1277" s="10">
        <f t="shared" si="156"/>
        <v>45701.295057870368</v>
      </c>
      <c r="J1277" s="10">
        <f t="shared" si="157"/>
        <v>45701.295057870368</v>
      </c>
      <c r="K1277" s="3">
        <f t="shared" si="159"/>
        <v>9935</v>
      </c>
      <c r="L1277">
        <f t="shared" si="152"/>
        <v>8.5166666670000009</v>
      </c>
      <c r="M1277">
        <f t="shared" si="158"/>
        <v>30.660000001200004</v>
      </c>
    </row>
    <row r="1278" spans="1:13" x14ac:dyDescent="0.25">
      <c r="A1278" s="9">
        <f>Speed!A1278</f>
        <v>45701.295069444444</v>
      </c>
      <c r="B1278" s="9">
        <f t="shared" si="153"/>
        <v>45701.295069444444</v>
      </c>
      <c r="C1278" s="2">
        <f>Speed!B1278</f>
        <v>7.6055555559999997</v>
      </c>
      <c r="D1278" s="9">
        <f>Odometer!A1278</f>
        <v>45701.296319444446</v>
      </c>
      <c r="E1278" s="9">
        <f t="shared" si="154"/>
        <v>45701.296319444446</v>
      </c>
      <c r="F1278" s="2">
        <f>Odometer!B1278</f>
        <v>428760993</v>
      </c>
      <c r="G1278" s="2">
        <f t="shared" si="155"/>
        <v>9</v>
      </c>
      <c r="H1278" s="2">
        <f>SUM($G$2:G1278)</f>
        <v>11104</v>
      </c>
      <c r="I1278" s="10">
        <f t="shared" si="156"/>
        <v>45701.295069444444</v>
      </c>
      <c r="J1278" s="10">
        <f t="shared" si="157"/>
        <v>45701.295069444444</v>
      </c>
      <c r="K1278" s="3">
        <f t="shared" si="159"/>
        <v>9943</v>
      </c>
      <c r="L1278">
        <f t="shared" si="152"/>
        <v>7.6055555559999997</v>
      </c>
      <c r="M1278">
        <f t="shared" si="158"/>
        <v>27.380000001599999</v>
      </c>
    </row>
    <row r="1279" spans="1:13" x14ac:dyDescent="0.25">
      <c r="A1279" s="9">
        <f>Speed!A1279</f>
        <v>45701.295081018521</v>
      </c>
      <c r="B1279" s="9">
        <f t="shared" si="153"/>
        <v>45701.295081018514</v>
      </c>
      <c r="C1279" s="2">
        <f>Speed!B1279</f>
        <v>6.8</v>
      </c>
      <c r="D1279" s="9">
        <f>Odometer!A1279</f>
        <v>45701.296331018515</v>
      </c>
      <c r="E1279" s="9">
        <f t="shared" si="154"/>
        <v>45701.296331018515</v>
      </c>
      <c r="F1279" s="2">
        <f>Odometer!B1279</f>
        <v>428761002</v>
      </c>
      <c r="G1279" s="2">
        <f t="shared" si="155"/>
        <v>1</v>
      </c>
      <c r="H1279" s="2">
        <f>SUM($G$2:G1279)</f>
        <v>11105</v>
      </c>
      <c r="I1279" s="10">
        <f t="shared" si="156"/>
        <v>45701.295081018521</v>
      </c>
      <c r="J1279" s="10">
        <f t="shared" si="157"/>
        <v>45701.295081018514</v>
      </c>
      <c r="K1279" s="3">
        <f t="shared" si="159"/>
        <v>9949</v>
      </c>
      <c r="L1279">
        <f t="shared" si="152"/>
        <v>6.8</v>
      </c>
      <c r="M1279">
        <f t="shared" si="158"/>
        <v>24.48</v>
      </c>
    </row>
    <row r="1280" spans="1:13" x14ac:dyDescent="0.25">
      <c r="A1280" s="9">
        <f>Speed!A1280</f>
        <v>45701.295092592591</v>
      </c>
      <c r="B1280" s="9">
        <f t="shared" si="153"/>
        <v>45701.295092592591</v>
      </c>
      <c r="C1280" s="2">
        <f>Speed!B1280</f>
        <v>6</v>
      </c>
      <c r="D1280" s="9">
        <f>Odometer!A1280</f>
        <v>45701.296331018515</v>
      </c>
      <c r="E1280" s="9">
        <f t="shared" si="154"/>
        <v>45701.296331018515</v>
      </c>
      <c r="F1280" s="2">
        <f>Odometer!B1280</f>
        <v>428761003</v>
      </c>
      <c r="G1280" s="2">
        <f t="shared" si="155"/>
        <v>8</v>
      </c>
      <c r="H1280" s="2">
        <f>SUM($G$2:G1280)</f>
        <v>11113</v>
      </c>
      <c r="I1280" s="10">
        <f t="shared" si="156"/>
        <v>45701.295092592591</v>
      </c>
      <c r="J1280" s="10">
        <f t="shared" si="157"/>
        <v>45701.295092592591</v>
      </c>
      <c r="K1280" s="3">
        <f t="shared" si="159"/>
        <v>9955</v>
      </c>
      <c r="L1280">
        <f t="shared" si="152"/>
        <v>6</v>
      </c>
      <c r="M1280">
        <f t="shared" si="158"/>
        <v>21.6</v>
      </c>
    </row>
    <row r="1281" spans="1:13" x14ac:dyDescent="0.25">
      <c r="A1281" s="9">
        <f>Speed!A1281</f>
        <v>45701.295104166667</v>
      </c>
      <c r="B1281" s="9">
        <f t="shared" si="153"/>
        <v>45701.295104166667</v>
      </c>
      <c r="C1281" s="2">
        <f>Speed!B1281</f>
        <v>4.8250000000000002</v>
      </c>
      <c r="D1281" s="9">
        <f>Odometer!A1281</f>
        <v>45701.296342592592</v>
      </c>
      <c r="E1281" s="9">
        <f t="shared" si="154"/>
        <v>45701.296342592592</v>
      </c>
      <c r="F1281" s="2">
        <f>Odometer!B1281</f>
        <v>428761011</v>
      </c>
      <c r="G1281" s="2">
        <f t="shared" si="155"/>
        <v>9</v>
      </c>
      <c r="H1281" s="2">
        <f>SUM($G$2:G1281)</f>
        <v>11122</v>
      </c>
      <c r="I1281" s="10">
        <f t="shared" si="156"/>
        <v>45701.295104166667</v>
      </c>
      <c r="J1281" s="10">
        <f t="shared" si="157"/>
        <v>45701.295104166667</v>
      </c>
      <c r="K1281" s="3">
        <f t="shared" si="159"/>
        <v>9959</v>
      </c>
      <c r="L1281">
        <f t="shared" si="152"/>
        <v>4.8250000000000002</v>
      </c>
      <c r="M1281">
        <f t="shared" si="158"/>
        <v>17.37</v>
      </c>
    </row>
    <row r="1282" spans="1:13" x14ac:dyDescent="0.25">
      <c r="A1282" s="9">
        <f>Speed!A1282</f>
        <v>45701.295115740744</v>
      </c>
      <c r="B1282" s="9">
        <f t="shared" si="153"/>
        <v>45701.295115740737</v>
      </c>
      <c r="C1282" s="2">
        <f>Speed!B1282</f>
        <v>3.613888889</v>
      </c>
      <c r="D1282" s="9">
        <f>Odometer!A1282</f>
        <v>45701.296354166669</v>
      </c>
      <c r="E1282" s="9">
        <f t="shared" si="154"/>
        <v>45701.296354166661</v>
      </c>
      <c r="F1282" s="2">
        <f>Odometer!B1282</f>
        <v>428761020</v>
      </c>
      <c r="G1282" s="2">
        <f t="shared" si="155"/>
        <v>9</v>
      </c>
      <c r="H1282" s="2">
        <f>SUM($G$2:G1282)</f>
        <v>11131</v>
      </c>
      <c r="I1282" s="10">
        <f t="shared" si="156"/>
        <v>45701.295115740744</v>
      </c>
      <c r="J1282" s="10">
        <f t="shared" si="157"/>
        <v>45701.295115740737</v>
      </c>
      <c r="K1282" s="3">
        <f t="shared" si="159"/>
        <v>9962</v>
      </c>
      <c r="L1282">
        <f t="shared" ref="L1282:L1345" si="160">INDEX($C$2:$C$2000, MATCH(I1282,$A$2:$A$2000,0))</f>
        <v>3.613888889</v>
      </c>
      <c r="M1282">
        <f t="shared" si="158"/>
        <v>13.0100000004</v>
      </c>
    </row>
    <row r="1283" spans="1:13" x14ac:dyDescent="0.25">
      <c r="A1283" s="9">
        <f>Speed!A1283</f>
        <v>45701.295127314814</v>
      </c>
      <c r="B1283" s="9">
        <f t="shared" ref="B1283:B1346" si="161">MROUND(A1283,"00:00:01")</f>
        <v>45701.295127314814</v>
      </c>
      <c r="C1283" s="2">
        <f>Speed!B1283</f>
        <v>2.380555556</v>
      </c>
      <c r="D1283" s="9">
        <f>Odometer!A1283</f>
        <v>45701.296365740738</v>
      </c>
      <c r="E1283" s="9">
        <f t="shared" ref="E1283:E1346" si="162">MROUND(D1283,"00:00:01")</f>
        <v>45701.296365740738</v>
      </c>
      <c r="F1283" s="2">
        <f>Odometer!B1283</f>
        <v>428761029</v>
      </c>
      <c r="G1283" s="2">
        <f t="shared" ref="G1283:G1346" si="163">IF(F1284-F1283&lt;0,0,F1284-F1283)</f>
        <v>6</v>
      </c>
      <c r="H1283" s="2">
        <f>SUM($G$2:G1283)</f>
        <v>11137</v>
      </c>
      <c r="I1283" s="10">
        <f t="shared" ref="I1283:I1346" si="164">A1283</f>
        <v>45701.295127314814</v>
      </c>
      <c r="J1283" s="10">
        <f t="shared" ref="J1283:J1346" si="165">MROUND(I1283,"0:00:01")</f>
        <v>45701.295127314814</v>
      </c>
      <c r="K1283" s="3">
        <f t="shared" si="159"/>
        <v>9964</v>
      </c>
      <c r="L1283">
        <f t="shared" si="160"/>
        <v>2.380555556</v>
      </c>
      <c r="M1283">
        <f t="shared" ref="M1283:M1346" si="166">L1283*3.6</f>
        <v>8.5700000016000004</v>
      </c>
    </row>
    <row r="1284" spans="1:13" x14ac:dyDescent="0.25">
      <c r="A1284" s="9">
        <f>Speed!A1284</f>
        <v>45701.295138888891</v>
      </c>
      <c r="B1284" s="9">
        <f t="shared" si="161"/>
        <v>45701.295138888883</v>
      </c>
      <c r="C1284" s="2">
        <f>Speed!B1284</f>
        <v>1.5083333329999999</v>
      </c>
      <c r="D1284" s="9">
        <f>Odometer!A1284</f>
        <v>45701.296377314815</v>
      </c>
      <c r="E1284" s="9">
        <f t="shared" si="162"/>
        <v>45701.296377314815</v>
      </c>
      <c r="F1284" s="2">
        <f>Odometer!B1284</f>
        <v>428761035</v>
      </c>
      <c r="G1284" s="2">
        <f t="shared" si="163"/>
        <v>1</v>
      </c>
      <c r="H1284" s="2">
        <f>SUM($G$2:G1284)</f>
        <v>11138</v>
      </c>
      <c r="I1284" s="10">
        <f t="shared" si="164"/>
        <v>45701.295138888891</v>
      </c>
      <c r="J1284" s="10">
        <f t="shared" si="165"/>
        <v>45701.295138888883</v>
      </c>
      <c r="K1284" s="3">
        <f t="shared" ref="K1284:K1347" si="167">IFERROR(INDEX($H$2:$H$2000,MATCH(J1284,$E$2:$E$2000,0)),NA())</f>
        <v>9965</v>
      </c>
      <c r="L1284">
        <f t="shared" si="160"/>
        <v>1.5083333329999999</v>
      </c>
      <c r="M1284">
        <f t="shared" si="166"/>
        <v>5.4299999987999996</v>
      </c>
    </row>
    <row r="1285" spans="1:13" x14ac:dyDescent="0.25">
      <c r="A1285" s="9">
        <f>Speed!A1285</f>
        <v>45701.29515046296</v>
      </c>
      <c r="B1285" s="9">
        <f t="shared" si="161"/>
        <v>45701.29515046296</v>
      </c>
      <c r="C1285" s="2">
        <f>Speed!B1285</f>
        <v>0.67222222200000004</v>
      </c>
      <c r="D1285" s="9">
        <f>Odometer!A1285</f>
        <v>45701.296377314815</v>
      </c>
      <c r="E1285" s="9">
        <f t="shared" si="162"/>
        <v>45701.296377314815</v>
      </c>
      <c r="F1285" s="2">
        <f>Odometer!B1285</f>
        <v>428761036</v>
      </c>
      <c r="G1285" s="2">
        <f t="shared" si="163"/>
        <v>6</v>
      </c>
      <c r="H1285" s="2">
        <f>SUM($G$2:G1285)</f>
        <v>11144</v>
      </c>
      <c r="I1285" s="10">
        <f t="shared" si="164"/>
        <v>45701.29515046296</v>
      </c>
      <c r="J1285" s="10">
        <f t="shared" si="165"/>
        <v>45701.29515046296</v>
      </c>
      <c r="K1285" s="3">
        <f t="shared" si="167"/>
        <v>9966</v>
      </c>
      <c r="L1285">
        <f t="shared" si="160"/>
        <v>0.67222222200000004</v>
      </c>
      <c r="M1285">
        <f t="shared" si="166"/>
        <v>2.4199999992000003</v>
      </c>
    </row>
    <row r="1286" spans="1:13" x14ac:dyDescent="0.25">
      <c r="A1286" s="9">
        <f>Speed!A1286</f>
        <v>45701.295162037037</v>
      </c>
      <c r="B1286" s="9">
        <f t="shared" si="161"/>
        <v>45701.295162037037</v>
      </c>
      <c r="C1286" s="2">
        <f>Speed!B1286</f>
        <v>0.13888888899999999</v>
      </c>
      <c r="D1286" s="9">
        <f>Odometer!A1286</f>
        <v>45701.296388888892</v>
      </c>
      <c r="E1286" s="9">
        <f t="shared" si="162"/>
        <v>45701.296388888884</v>
      </c>
      <c r="F1286" s="2">
        <f>Odometer!B1286</f>
        <v>428761042</v>
      </c>
      <c r="G1286" s="2">
        <f t="shared" si="163"/>
        <v>6</v>
      </c>
      <c r="H1286" s="2">
        <f>SUM($G$2:G1286)</f>
        <v>11150</v>
      </c>
      <c r="I1286" s="10">
        <f t="shared" si="164"/>
        <v>45701.295162037037</v>
      </c>
      <c r="J1286" s="10">
        <f t="shared" si="165"/>
        <v>45701.295162037037</v>
      </c>
      <c r="K1286" s="3" t="e">
        <f t="shared" si="167"/>
        <v>#N/A</v>
      </c>
      <c r="L1286">
        <f t="shared" si="160"/>
        <v>0.13888888899999999</v>
      </c>
      <c r="M1286">
        <f t="shared" si="166"/>
        <v>0.50000000039999992</v>
      </c>
    </row>
    <row r="1287" spans="1:13" x14ac:dyDescent="0.25">
      <c r="A1287" s="9">
        <f>Speed!A1287</f>
        <v>45701.295173611114</v>
      </c>
      <c r="B1287" s="9">
        <f t="shared" si="161"/>
        <v>45701.295173611106</v>
      </c>
      <c r="C1287" s="2">
        <f>Speed!B1287</f>
        <v>5.5555555999999999E-2</v>
      </c>
      <c r="D1287" s="9">
        <f>Odometer!A1287</f>
        <v>45701.296400462961</v>
      </c>
      <c r="E1287" s="9">
        <f t="shared" si="162"/>
        <v>45701.296400462961</v>
      </c>
      <c r="F1287" s="2">
        <f>Odometer!B1287</f>
        <v>428761048</v>
      </c>
      <c r="G1287" s="2">
        <f t="shared" si="163"/>
        <v>5</v>
      </c>
      <c r="H1287" s="2">
        <f>SUM($G$2:G1287)</f>
        <v>11155</v>
      </c>
      <c r="I1287" s="10">
        <f t="shared" si="164"/>
        <v>45701.295173611114</v>
      </c>
      <c r="J1287" s="10">
        <f t="shared" si="165"/>
        <v>45701.295173611106</v>
      </c>
      <c r="K1287" s="3" t="e">
        <f t="shared" si="167"/>
        <v>#N/A</v>
      </c>
      <c r="L1287">
        <f t="shared" si="160"/>
        <v>5.5555555999999999E-2</v>
      </c>
      <c r="M1287">
        <f t="shared" si="166"/>
        <v>0.2000000016</v>
      </c>
    </row>
    <row r="1288" spans="1:13" x14ac:dyDescent="0.25">
      <c r="A1288" s="9">
        <f>Speed!A1288</f>
        <v>45701.295185185183</v>
      </c>
      <c r="B1288" s="9">
        <f t="shared" si="161"/>
        <v>45701.295185185183</v>
      </c>
      <c r="C1288" s="2">
        <f>Speed!B1288</f>
        <v>0</v>
      </c>
      <c r="D1288" s="9">
        <f>Odometer!A1288</f>
        <v>45701.296412037038</v>
      </c>
      <c r="E1288" s="9">
        <f t="shared" si="162"/>
        <v>45701.296412037038</v>
      </c>
      <c r="F1288" s="2">
        <f>Odometer!B1288</f>
        <v>428761053</v>
      </c>
      <c r="G1288" s="2">
        <f t="shared" si="163"/>
        <v>5</v>
      </c>
      <c r="H1288" s="2">
        <f>SUM($G$2:G1288)</f>
        <v>11160</v>
      </c>
      <c r="I1288" s="10">
        <f t="shared" si="164"/>
        <v>45701.295185185183</v>
      </c>
      <c r="J1288" s="10">
        <f t="shared" si="165"/>
        <v>45701.295185185183</v>
      </c>
      <c r="K1288" s="3" t="e">
        <f t="shared" si="167"/>
        <v>#N/A</v>
      </c>
      <c r="L1288">
        <f t="shared" si="160"/>
        <v>0</v>
      </c>
      <c r="M1288">
        <f t="shared" si="166"/>
        <v>0</v>
      </c>
    </row>
    <row r="1289" spans="1:13" x14ac:dyDescent="0.25">
      <c r="A1289" s="9">
        <f>Speed!A1289</f>
        <v>45701.295405092591</v>
      </c>
      <c r="B1289" s="9">
        <f t="shared" si="161"/>
        <v>45701.295405092591</v>
      </c>
      <c r="C1289" s="2">
        <f>Speed!B1289</f>
        <v>0.89166666699999997</v>
      </c>
      <c r="D1289" s="9">
        <f>Odometer!A1289</f>
        <v>45701.296423611115</v>
      </c>
      <c r="E1289" s="9">
        <f t="shared" si="162"/>
        <v>45701.296423611107</v>
      </c>
      <c r="F1289" s="2">
        <f>Odometer!B1289</f>
        <v>428761058</v>
      </c>
      <c r="G1289" s="2">
        <f t="shared" si="163"/>
        <v>2</v>
      </c>
      <c r="H1289" s="2">
        <f>SUM($G$2:G1289)</f>
        <v>11162</v>
      </c>
      <c r="I1289" s="10">
        <f t="shared" si="164"/>
        <v>45701.295405092591</v>
      </c>
      <c r="J1289" s="10">
        <f t="shared" si="165"/>
        <v>45701.295405092591</v>
      </c>
      <c r="K1289" s="3">
        <f t="shared" si="167"/>
        <v>9967</v>
      </c>
      <c r="L1289">
        <f t="shared" si="160"/>
        <v>0.89166666699999997</v>
      </c>
      <c r="M1289">
        <f t="shared" si="166"/>
        <v>3.2100000012000001</v>
      </c>
    </row>
    <row r="1290" spans="1:13" x14ac:dyDescent="0.25">
      <c r="A1290" s="9">
        <f>Speed!A1290</f>
        <v>45701.295416666668</v>
      </c>
      <c r="B1290" s="9">
        <f t="shared" si="161"/>
        <v>45701.295416666668</v>
      </c>
      <c r="C1290" s="2">
        <f>Speed!B1290</f>
        <v>2.0861111110000001</v>
      </c>
      <c r="D1290" s="9">
        <f>Odometer!A1290</f>
        <v>45701.296423611115</v>
      </c>
      <c r="E1290" s="9">
        <f t="shared" si="162"/>
        <v>45701.296423611107</v>
      </c>
      <c r="F1290" s="2">
        <f>Odometer!B1290</f>
        <v>428761060</v>
      </c>
      <c r="G1290" s="2">
        <f t="shared" si="163"/>
        <v>3</v>
      </c>
      <c r="H1290" s="2">
        <f>SUM($G$2:G1290)</f>
        <v>11165</v>
      </c>
      <c r="I1290" s="10">
        <f t="shared" si="164"/>
        <v>45701.295416666668</v>
      </c>
      <c r="J1290" s="10">
        <f t="shared" si="165"/>
        <v>45701.295416666668</v>
      </c>
      <c r="K1290" s="3" t="e">
        <f t="shared" si="167"/>
        <v>#N/A</v>
      </c>
      <c r="L1290">
        <f t="shared" si="160"/>
        <v>2.0861111110000001</v>
      </c>
      <c r="M1290">
        <f t="shared" si="166"/>
        <v>7.5099999996000006</v>
      </c>
    </row>
    <row r="1291" spans="1:13" x14ac:dyDescent="0.25">
      <c r="A1291" s="9">
        <f>Speed!A1291</f>
        <v>45701.295428240737</v>
      </c>
      <c r="B1291" s="9">
        <f t="shared" si="161"/>
        <v>45701.295428240737</v>
      </c>
      <c r="C1291" s="2">
        <f>Speed!B1291</f>
        <v>3.2805555559999999</v>
      </c>
      <c r="D1291" s="9">
        <f>Odometer!A1291</f>
        <v>45701.296435185184</v>
      </c>
      <c r="E1291" s="9">
        <f t="shared" si="162"/>
        <v>45701.296435185184</v>
      </c>
      <c r="F1291" s="2">
        <f>Odometer!B1291</f>
        <v>428761063</v>
      </c>
      <c r="G1291" s="2">
        <f t="shared" si="163"/>
        <v>4</v>
      </c>
      <c r="H1291" s="2">
        <f>SUM($G$2:G1291)</f>
        <v>11169</v>
      </c>
      <c r="I1291" s="10">
        <f t="shared" si="164"/>
        <v>45701.295428240737</v>
      </c>
      <c r="J1291" s="10">
        <f t="shared" si="165"/>
        <v>45701.295428240737</v>
      </c>
      <c r="K1291" s="3">
        <f t="shared" si="167"/>
        <v>9974</v>
      </c>
      <c r="L1291">
        <f t="shared" si="160"/>
        <v>3.2805555559999999</v>
      </c>
      <c r="M1291">
        <f t="shared" si="166"/>
        <v>11.810000001600001</v>
      </c>
    </row>
    <row r="1292" spans="1:13" x14ac:dyDescent="0.25">
      <c r="A1292" s="9">
        <f>Speed!A1292</f>
        <v>45701.295439814814</v>
      </c>
      <c r="B1292" s="9">
        <f t="shared" si="161"/>
        <v>45701.295439814814</v>
      </c>
      <c r="C1292" s="2">
        <f>Speed!B1292</f>
        <v>4.3888888890000004</v>
      </c>
      <c r="D1292" s="9">
        <f>Odometer!A1292</f>
        <v>45701.296446759261</v>
      </c>
      <c r="E1292" s="9">
        <f t="shared" si="162"/>
        <v>45701.296446759254</v>
      </c>
      <c r="F1292" s="2">
        <f>Odometer!B1292</f>
        <v>428761067</v>
      </c>
      <c r="G1292" s="2">
        <f t="shared" si="163"/>
        <v>3</v>
      </c>
      <c r="H1292" s="2">
        <f>SUM($G$2:G1292)</f>
        <v>11172</v>
      </c>
      <c r="I1292" s="10">
        <f t="shared" si="164"/>
        <v>45701.295439814814</v>
      </c>
      <c r="J1292" s="10">
        <f t="shared" si="165"/>
        <v>45701.295439814814</v>
      </c>
      <c r="K1292" s="3">
        <f t="shared" si="167"/>
        <v>9977</v>
      </c>
      <c r="L1292">
        <f t="shared" si="160"/>
        <v>4.3888888890000004</v>
      </c>
      <c r="M1292">
        <f t="shared" si="166"/>
        <v>15.800000000400003</v>
      </c>
    </row>
    <row r="1293" spans="1:13" x14ac:dyDescent="0.25">
      <c r="A1293" s="9">
        <f>Speed!A1293</f>
        <v>45701.295439814814</v>
      </c>
      <c r="B1293" s="9">
        <f t="shared" si="161"/>
        <v>45701.295439814814</v>
      </c>
      <c r="C1293" s="2">
        <f>Speed!B1293</f>
        <v>5.1277777779999996</v>
      </c>
      <c r="D1293" s="9">
        <f>Odometer!A1293</f>
        <v>45701.296458333331</v>
      </c>
      <c r="E1293" s="9">
        <f t="shared" si="162"/>
        <v>45701.296458333331</v>
      </c>
      <c r="F1293" s="2">
        <f>Odometer!B1293</f>
        <v>428761070</v>
      </c>
      <c r="G1293" s="2">
        <f t="shared" si="163"/>
        <v>2</v>
      </c>
      <c r="H1293" s="2">
        <f>SUM($G$2:G1293)</f>
        <v>11174</v>
      </c>
      <c r="I1293" s="10">
        <f t="shared" si="164"/>
        <v>45701.295439814814</v>
      </c>
      <c r="J1293" s="10">
        <f t="shared" si="165"/>
        <v>45701.295439814814</v>
      </c>
      <c r="K1293" s="3">
        <f t="shared" si="167"/>
        <v>9977</v>
      </c>
      <c r="L1293">
        <f t="shared" si="160"/>
        <v>4.3888888890000004</v>
      </c>
      <c r="M1293">
        <f t="shared" si="166"/>
        <v>15.800000000400003</v>
      </c>
    </row>
    <row r="1294" spans="1:13" x14ac:dyDescent="0.25">
      <c r="A1294" s="9">
        <f>Speed!A1294</f>
        <v>45701.295451388891</v>
      </c>
      <c r="B1294" s="9">
        <f t="shared" si="161"/>
        <v>45701.295451388884</v>
      </c>
      <c r="C1294" s="2">
        <f>Speed!B1294</f>
        <v>5.5527777780000003</v>
      </c>
      <c r="D1294" s="9">
        <f>Odometer!A1294</f>
        <v>45701.296469907407</v>
      </c>
      <c r="E1294" s="9">
        <f t="shared" si="162"/>
        <v>45701.296469907407</v>
      </c>
      <c r="F1294" s="2">
        <f>Odometer!B1294</f>
        <v>428761072</v>
      </c>
      <c r="G1294" s="2">
        <f t="shared" si="163"/>
        <v>1</v>
      </c>
      <c r="H1294" s="2">
        <f>SUM($G$2:G1294)</f>
        <v>11175</v>
      </c>
      <c r="I1294" s="10">
        <f t="shared" si="164"/>
        <v>45701.295451388891</v>
      </c>
      <c r="J1294" s="10">
        <f t="shared" si="165"/>
        <v>45701.295451388884</v>
      </c>
      <c r="K1294" s="3">
        <f t="shared" si="167"/>
        <v>9985</v>
      </c>
      <c r="L1294">
        <f t="shared" si="160"/>
        <v>5.5527777780000003</v>
      </c>
      <c r="M1294">
        <f t="shared" si="166"/>
        <v>19.990000000800002</v>
      </c>
    </row>
    <row r="1295" spans="1:13" x14ac:dyDescent="0.25">
      <c r="A1295" s="9">
        <f>Speed!A1295</f>
        <v>45701.295451388891</v>
      </c>
      <c r="B1295" s="9">
        <f t="shared" si="161"/>
        <v>45701.295451388884</v>
      </c>
      <c r="C1295" s="2">
        <f>Speed!B1295</f>
        <v>6.6638888889999999</v>
      </c>
      <c r="D1295" s="9">
        <f>Odometer!A1295</f>
        <v>45701.296481481484</v>
      </c>
      <c r="E1295" s="9">
        <f t="shared" si="162"/>
        <v>45701.296481481477</v>
      </c>
      <c r="F1295" s="2">
        <f>Odometer!B1295</f>
        <v>428761073</v>
      </c>
      <c r="G1295" s="2">
        <f t="shared" si="163"/>
        <v>1</v>
      </c>
      <c r="H1295" s="2">
        <f>SUM($G$2:G1295)</f>
        <v>11176</v>
      </c>
      <c r="I1295" s="10">
        <f t="shared" si="164"/>
        <v>45701.295451388891</v>
      </c>
      <c r="J1295" s="10">
        <f t="shared" si="165"/>
        <v>45701.295451388884</v>
      </c>
      <c r="K1295" s="3">
        <f t="shared" si="167"/>
        <v>9985</v>
      </c>
      <c r="L1295">
        <f t="shared" si="160"/>
        <v>5.5527777780000003</v>
      </c>
      <c r="M1295">
        <f t="shared" si="166"/>
        <v>19.990000000800002</v>
      </c>
    </row>
    <row r="1296" spans="1:13" x14ac:dyDescent="0.25">
      <c r="A1296" s="9">
        <f>Speed!A1296</f>
        <v>45701.29546296296</v>
      </c>
      <c r="B1296" s="9">
        <f t="shared" si="161"/>
        <v>45701.29546296296</v>
      </c>
      <c r="C1296" s="2">
        <f>Speed!B1296</f>
        <v>6.733333333</v>
      </c>
      <c r="D1296" s="9">
        <f>Odometer!A1296</f>
        <v>45701.296493055554</v>
      </c>
      <c r="E1296" s="9">
        <f t="shared" si="162"/>
        <v>45701.296493055554</v>
      </c>
      <c r="F1296" s="2">
        <f>Odometer!B1296</f>
        <v>428761074</v>
      </c>
      <c r="G1296" s="2">
        <f t="shared" si="163"/>
        <v>1</v>
      </c>
      <c r="H1296" s="2">
        <f>SUM($G$2:G1296)</f>
        <v>11177</v>
      </c>
      <c r="I1296" s="10">
        <f t="shared" si="164"/>
        <v>45701.29546296296</v>
      </c>
      <c r="J1296" s="10">
        <f t="shared" si="165"/>
        <v>45701.29546296296</v>
      </c>
      <c r="K1296" s="3" t="e">
        <f t="shared" si="167"/>
        <v>#N/A</v>
      </c>
      <c r="L1296">
        <f t="shared" si="160"/>
        <v>6.733333333</v>
      </c>
      <c r="M1296">
        <f t="shared" si="166"/>
        <v>24.239999998800002</v>
      </c>
    </row>
    <row r="1297" spans="1:13" x14ac:dyDescent="0.25">
      <c r="A1297" s="9">
        <f>Speed!A1297</f>
        <v>45701.295474537037</v>
      </c>
      <c r="B1297" s="9">
        <f t="shared" si="161"/>
        <v>45701.295474537037</v>
      </c>
      <c r="C1297" s="2">
        <f>Speed!B1297</f>
        <v>7.8222222219999997</v>
      </c>
      <c r="D1297" s="9">
        <f>Odometer!A1297</f>
        <v>45701.296643518515</v>
      </c>
      <c r="E1297" s="9">
        <f t="shared" si="162"/>
        <v>45701.296643518515</v>
      </c>
      <c r="F1297" s="2">
        <f>Odometer!B1297</f>
        <v>428761075</v>
      </c>
      <c r="G1297" s="2">
        <f t="shared" si="163"/>
        <v>3</v>
      </c>
      <c r="H1297" s="2">
        <f>SUM($G$2:G1297)</f>
        <v>11180</v>
      </c>
      <c r="I1297" s="10">
        <f t="shared" si="164"/>
        <v>45701.295474537037</v>
      </c>
      <c r="J1297" s="10">
        <f t="shared" si="165"/>
        <v>45701.295474537037</v>
      </c>
      <c r="K1297" s="3">
        <f t="shared" si="167"/>
        <v>10000</v>
      </c>
      <c r="L1297">
        <f t="shared" si="160"/>
        <v>7.8222222219999997</v>
      </c>
      <c r="M1297">
        <f t="shared" si="166"/>
        <v>28.1599999992</v>
      </c>
    </row>
    <row r="1298" spans="1:13" x14ac:dyDescent="0.25">
      <c r="A1298" s="9">
        <f>Speed!A1298</f>
        <v>45701.295474537037</v>
      </c>
      <c r="B1298" s="9">
        <f t="shared" si="161"/>
        <v>45701.295474537037</v>
      </c>
      <c r="C1298" s="2">
        <f>Speed!B1298</f>
        <v>7.755555556</v>
      </c>
      <c r="D1298" s="9">
        <f>Odometer!A1298</f>
        <v>45701.296655092592</v>
      </c>
      <c r="E1298" s="9">
        <f t="shared" si="162"/>
        <v>45701.296655092592</v>
      </c>
      <c r="F1298" s="2">
        <f>Odometer!B1298</f>
        <v>428761078</v>
      </c>
      <c r="G1298" s="2">
        <f t="shared" si="163"/>
        <v>4</v>
      </c>
      <c r="H1298" s="2">
        <f>SUM($G$2:G1298)</f>
        <v>11184</v>
      </c>
      <c r="I1298" s="10">
        <f t="shared" si="164"/>
        <v>45701.295474537037</v>
      </c>
      <c r="J1298" s="10">
        <f t="shared" si="165"/>
        <v>45701.295474537037</v>
      </c>
      <c r="K1298" s="3">
        <f t="shared" si="167"/>
        <v>10000</v>
      </c>
      <c r="L1298">
        <f t="shared" si="160"/>
        <v>7.8222222219999997</v>
      </c>
      <c r="M1298">
        <f t="shared" si="166"/>
        <v>28.1599999992</v>
      </c>
    </row>
    <row r="1299" spans="1:13" x14ac:dyDescent="0.25">
      <c r="A1299" s="9">
        <f>Speed!A1299</f>
        <v>45701.295486111114</v>
      </c>
      <c r="B1299" s="9">
        <f t="shared" si="161"/>
        <v>45701.295486111107</v>
      </c>
      <c r="C1299" s="2">
        <f>Speed!B1299</f>
        <v>8.9694444440000005</v>
      </c>
      <c r="D1299" s="9">
        <f>Odometer!A1299</f>
        <v>45701.296666666669</v>
      </c>
      <c r="E1299" s="9">
        <f t="shared" si="162"/>
        <v>45701.296666666662</v>
      </c>
      <c r="F1299" s="2">
        <f>Odometer!B1299</f>
        <v>428761082</v>
      </c>
      <c r="G1299" s="2">
        <f t="shared" si="163"/>
        <v>4</v>
      </c>
      <c r="H1299" s="2">
        <f>SUM($G$2:G1299)</f>
        <v>11188</v>
      </c>
      <c r="I1299" s="10">
        <f t="shared" si="164"/>
        <v>45701.295486111114</v>
      </c>
      <c r="J1299" s="10">
        <f t="shared" si="165"/>
        <v>45701.295486111107</v>
      </c>
      <c r="K1299" s="3">
        <f t="shared" si="167"/>
        <v>10010</v>
      </c>
      <c r="L1299">
        <f t="shared" si="160"/>
        <v>8.9694444440000005</v>
      </c>
      <c r="M1299">
        <f t="shared" si="166"/>
        <v>32.289999998400006</v>
      </c>
    </row>
    <row r="1300" spans="1:13" x14ac:dyDescent="0.25">
      <c r="A1300" s="9">
        <f>Speed!A1300</f>
        <v>45701.295497685183</v>
      </c>
      <c r="B1300" s="9">
        <f t="shared" si="161"/>
        <v>45701.295497685183</v>
      </c>
      <c r="C1300" s="2">
        <f>Speed!B1300</f>
        <v>10.169444439999999</v>
      </c>
      <c r="D1300" s="9">
        <f>Odometer!A1300</f>
        <v>45701.296678240738</v>
      </c>
      <c r="E1300" s="9">
        <f t="shared" si="162"/>
        <v>45701.296678240738</v>
      </c>
      <c r="F1300" s="2">
        <f>Odometer!B1300</f>
        <v>428761086</v>
      </c>
      <c r="G1300" s="2">
        <f t="shared" si="163"/>
        <v>7</v>
      </c>
      <c r="H1300" s="2">
        <f>SUM($G$2:G1300)</f>
        <v>11195</v>
      </c>
      <c r="I1300" s="10">
        <f t="shared" si="164"/>
        <v>45701.295497685183</v>
      </c>
      <c r="J1300" s="10">
        <f t="shared" si="165"/>
        <v>45701.295497685183</v>
      </c>
      <c r="K1300" s="3">
        <f t="shared" si="167"/>
        <v>10021</v>
      </c>
      <c r="L1300">
        <f t="shared" si="160"/>
        <v>10.169444439999999</v>
      </c>
      <c r="M1300">
        <f t="shared" si="166"/>
        <v>36.609999983999998</v>
      </c>
    </row>
    <row r="1301" spans="1:13" x14ac:dyDescent="0.25">
      <c r="A1301" s="9">
        <f>Speed!A1301</f>
        <v>45701.29550925926</v>
      </c>
      <c r="B1301" s="9">
        <f t="shared" si="161"/>
        <v>45701.29550925926</v>
      </c>
      <c r="C1301" s="2">
        <f>Speed!B1301</f>
        <v>11.30833333</v>
      </c>
      <c r="D1301" s="9">
        <f>Odometer!A1301</f>
        <v>45701.296689814815</v>
      </c>
      <c r="E1301" s="9">
        <f t="shared" si="162"/>
        <v>45701.296689814815</v>
      </c>
      <c r="F1301" s="2">
        <f>Odometer!B1301</f>
        <v>428761093</v>
      </c>
      <c r="G1301" s="2">
        <f t="shared" si="163"/>
        <v>4</v>
      </c>
      <c r="H1301" s="2">
        <f>SUM($G$2:G1301)</f>
        <v>11199</v>
      </c>
      <c r="I1301" s="10">
        <f t="shared" si="164"/>
        <v>45701.29550925926</v>
      </c>
      <c r="J1301" s="10">
        <f t="shared" si="165"/>
        <v>45701.29550925926</v>
      </c>
      <c r="K1301" s="3">
        <f t="shared" si="167"/>
        <v>10032</v>
      </c>
      <c r="L1301">
        <f t="shared" si="160"/>
        <v>11.30833333</v>
      </c>
      <c r="M1301">
        <f t="shared" si="166"/>
        <v>40.709999988</v>
      </c>
    </row>
    <row r="1302" spans="1:13" x14ac:dyDescent="0.25">
      <c r="A1302" s="9">
        <f>Speed!A1302</f>
        <v>45701.295520833337</v>
      </c>
      <c r="B1302" s="9">
        <f t="shared" si="161"/>
        <v>45701.29552083333</v>
      </c>
      <c r="C1302" s="2">
        <f>Speed!B1302</f>
        <v>12.116666670000001</v>
      </c>
      <c r="D1302" s="9">
        <f>Odometer!A1302</f>
        <v>45701.296689814815</v>
      </c>
      <c r="E1302" s="9">
        <f t="shared" si="162"/>
        <v>45701.296689814815</v>
      </c>
      <c r="F1302" s="2">
        <f>Odometer!B1302</f>
        <v>428761097</v>
      </c>
      <c r="G1302" s="2">
        <f t="shared" si="163"/>
        <v>4</v>
      </c>
      <c r="H1302" s="2">
        <f>SUM($G$2:G1302)</f>
        <v>11203</v>
      </c>
      <c r="I1302" s="10">
        <f t="shared" si="164"/>
        <v>45701.295520833337</v>
      </c>
      <c r="J1302" s="10">
        <f t="shared" si="165"/>
        <v>45701.29552083333</v>
      </c>
      <c r="K1302" s="3">
        <f t="shared" si="167"/>
        <v>10046</v>
      </c>
      <c r="L1302">
        <f t="shared" si="160"/>
        <v>12.116666670000001</v>
      </c>
      <c r="M1302">
        <f t="shared" si="166"/>
        <v>43.620000012000006</v>
      </c>
    </row>
    <row r="1303" spans="1:13" x14ac:dyDescent="0.25">
      <c r="A1303" s="9">
        <f>Speed!A1303</f>
        <v>45701.295532407406</v>
      </c>
      <c r="B1303" s="9">
        <f t="shared" si="161"/>
        <v>45701.295532407406</v>
      </c>
      <c r="C1303" s="2">
        <f>Speed!B1303</f>
        <v>13.038888890000001</v>
      </c>
      <c r="D1303" s="9">
        <f>Odometer!A1303</f>
        <v>45701.296689814815</v>
      </c>
      <c r="E1303" s="9">
        <f t="shared" si="162"/>
        <v>45701.296689814815</v>
      </c>
      <c r="F1303" s="2">
        <f>Odometer!B1303</f>
        <v>428761101</v>
      </c>
      <c r="G1303" s="2">
        <f t="shared" si="163"/>
        <v>9</v>
      </c>
      <c r="H1303" s="2">
        <f>SUM($G$2:G1303)</f>
        <v>11212</v>
      </c>
      <c r="I1303" s="10">
        <f t="shared" si="164"/>
        <v>45701.295532407406</v>
      </c>
      <c r="J1303" s="10">
        <f t="shared" si="165"/>
        <v>45701.295532407406</v>
      </c>
      <c r="K1303" s="3">
        <f t="shared" si="167"/>
        <v>10058</v>
      </c>
      <c r="L1303">
        <f t="shared" si="160"/>
        <v>13.038888890000001</v>
      </c>
      <c r="M1303">
        <f t="shared" si="166"/>
        <v>46.940000004000005</v>
      </c>
    </row>
    <row r="1304" spans="1:13" x14ac:dyDescent="0.25">
      <c r="A1304" s="9">
        <f>Speed!A1304</f>
        <v>45701.295543981483</v>
      </c>
      <c r="B1304" s="9">
        <f t="shared" si="161"/>
        <v>45701.295543981476</v>
      </c>
      <c r="C1304" s="2">
        <f>Speed!B1304</f>
        <v>13.644444439999999</v>
      </c>
      <c r="D1304" s="9">
        <f>Odometer!A1304</f>
        <v>45701.296712962961</v>
      </c>
      <c r="E1304" s="9">
        <f t="shared" si="162"/>
        <v>45701.296712962961</v>
      </c>
      <c r="F1304" s="2">
        <f>Odometer!B1304</f>
        <v>428761110</v>
      </c>
      <c r="G1304" s="2">
        <f t="shared" si="163"/>
        <v>9</v>
      </c>
      <c r="H1304" s="2">
        <f>SUM($G$2:G1304)</f>
        <v>11221</v>
      </c>
      <c r="I1304" s="10">
        <f t="shared" si="164"/>
        <v>45701.295543981483</v>
      </c>
      <c r="J1304" s="10">
        <f t="shared" si="165"/>
        <v>45701.295543981476</v>
      </c>
      <c r="K1304" s="3">
        <f t="shared" si="167"/>
        <v>10072</v>
      </c>
      <c r="L1304">
        <f t="shared" si="160"/>
        <v>13.644444439999999</v>
      </c>
      <c r="M1304">
        <f t="shared" si="166"/>
        <v>49.119999983999996</v>
      </c>
    </row>
    <row r="1305" spans="1:13" x14ac:dyDescent="0.25">
      <c r="A1305" s="9">
        <f>Speed!A1305</f>
        <v>45701.295555555553</v>
      </c>
      <c r="B1305" s="9">
        <f t="shared" si="161"/>
        <v>45701.295555555553</v>
      </c>
      <c r="C1305" s="2">
        <f>Speed!B1305</f>
        <v>14.269444439999999</v>
      </c>
      <c r="D1305" s="9">
        <f>Odometer!A1305</f>
        <v>45701.296724537038</v>
      </c>
      <c r="E1305" s="9">
        <f t="shared" si="162"/>
        <v>45701.296724537038</v>
      </c>
      <c r="F1305" s="2">
        <f>Odometer!B1305</f>
        <v>428761119</v>
      </c>
      <c r="G1305" s="2">
        <f t="shared" si="163"/>
        <v>1</v>
      </c>
      <c r="H1305" s="2">
        <f>SUM($G$2:G1305)</f>
        <v>11222</v>
      </c>
      <c r="I1305" s="10">
        <f t="shared" si="164"/>
        <v>45701.295555555553</v>
      </c>
      <c r="J1305" s="10">
        <f t="shared" si="165"/>
        <v>45701.295555555553</v>
      </c>
      <c r="K1305" s="3">
        <f t="shared" si="167"/>
        <v>10087</v>
      </c>
      <c r="L1305">
        <f t="shared" si="160"/>
        <v>14.269444439999999</v>
      </c>
      <c r="M1305">
        <f t="shared" si="166"/>
        <v>51.369999983999996</v>
      </c>
    </row>
    <row r="1306" spans="1:13" x14ac:dyDescent="0.25">
      <c r="A1306" s="9">
        <f>Speed!A1306</f>
        <v>45701.295555555553</v>
      </c>
      <c r="B1306" s="9">
        <f t="shared" si="161"/>
        <v>45701.295555555553</v>
      </c>
      <c r="C1306" s="2">
        <f>Speed!B1306</f>
        <v>14.71944444</v>
      </c>
      <c r="D1306" s="9">
        <f>Odometer!A1306</f>
        <v>45701.296724537038</v>
      </c>
      <c r="E1306" s="9">
        <f t="shared" si="162"/>
        <v>45701.296724537038</v>
      </c>
      <c r="F1306" s="2">
        <f>Odometer!B1306</f>
        <v>428761120</v>
      </c>
      <c r="G1306" s="2">
        <f t="shared" si="163"/>
        <v>11</v>
      </c>
      <c r="H1306" s="2">
        <f>SUM($G$2:G1306)</f>
        <v>11233</v>
      </c>
      <c r="I1306" s="10">
        <f t="shared" si="164"/>
        <v>45701.295555555553</v>
      </c>
      <c r="J1306" s="10">
        <f t="shared" si="165"/>
        <v>45701.295555555553</v>
      </c>
      <c r="K1306" s="3">
        <f t="shared" si="167"/>
        <v>10087</v>
      </c>
      <c r="L1306">
        <f t="shared" si="160"/>
        <v>14.269444439999999</v>
      </c>
      <c r="M1306">
        <f t="shared" si="166"/>
        <v>51.369999983999996</v>
      </c>
    </row>
    <row r="1307" spans="1:13" x14ac:dyDescent="0.25">
      <c r="A1307" s="9">
        <f>Speed!A1307</f>
        <v>45701.295578703706</v>
      </c>
      <c r="B1307" s="9">
        <f t="shared" si="161"/>
        <v>45701.295578703699</v>
      </c>
      <c r="C1307" s="2">
        <f>Speed!B1307</f>
        <v>15.13611111</v>
      </c>
      <c r="D1307" s="9">
        <f>Odometer!A1307</f>
        <v>45701.296736111108</v>
      </c>
      <c r="E1307" s="9">
        <f t="shared" si="162"/>
        <v>45701.296736111108</v>
      </c>
      <c r="F1307" s="2">
        <f>Odometer!B1307</f>
        <v>428761131</v>
      </c>
      <c r="G1307" s="2">
        <f t="shared" si="163"/>
        <v>9</v>
      </c>
      <c r="H1307" s="2">
        <f>SUM($G$2:G1307)</f>
        <v>11242</v>
      </c>
      <c r="I1307" s="10">
        <f t="shared" si="164"/>
        <v>45701.295578703706</v>
      </c>
      <c r="J1307" s="10">
        <f t="shared" si="165"/>
        <v>45701.295578703699</v>
      </c>
      <c r="K1307" s="3">
        <f t="shared" si="167"/>
        <v>10117</v>
      </c>
      <c r="L1307">
        <f t="shared" si="160"/>
        <v>15.13611111</v>
      </c>
      <c r="M1307">
        <f t="shared" si="166"/>
        <v>54.489999996000002</v>
      </c>
    </row>
    <row r="1308" spans="1:13" x14ac:dyDescent="0.25">
      <c r="A1308" s="9">
        <f>Speed!A1308</f>
        <v>45701.295590277776</v>
      </c>
      <c r="B1308" s="9">
        <f t="shared" si="161"/>
        <v>45701.295590277776</v>
      </c>
      <c r="C1308" s="2">
        <f>Speed!B1308</f>
        <v>15.51388889</v>
      </c>
      <c r="D1308" s="9">
        <f>Odometer!A1308</f>
        <v>45701.296736111108</v>
      </c>
      <c r="E1308" s="9">
        <f t="shared" si="162"/>
        <v>45701.296736111108</v>
      </c>
      <c r="F1308" s="2">
        <f>Odometer!B1308</f>
        <v>428761140</v>
      </c>
      <c r="G1308" s="2">
        <f t="shared" si="163"/>
        <v>2</v>
      </c>
      <c r="H1308" s="2">
        <f>SUM($G$2:G1308)</f>
        <v>11244</v>
      </c>
      <c r="I1308" s="10">
        <f t="shared" si="164"/>
        <v>45701.295590277776</v>
      </c>
      <c r="J1308" s="10">
        <f t="shared" si="165"/>
        <v>45701.295590277776</v>
      </c>
      <c r="K1308" s="3">
        <f t="shared" si="167"/>
        <v>10119</v>
      </c>
      <c r="L1308">
        <f t="shared" si="160"/>
        <v>15.51388889</v>
      </c>
      <c r="M1308">
        <f t="shared" si="166"/>
        <v>55.850000004000002</v>
      </c>
    </row>
    <row r="1309" spans="1:13" x14ac:dyDescent="0.25">
      <c r="A1309" s="9">
        <f>Speed!A1309</f>
        <v>45701.295590277776</v>
      </c>
      <c r="B1309" s="9">
        <f t="shared" si="161"/>
        <v>45701.295590277776</v>
      </c>
      <c r="C1309" s="2">
        <f>Speed!B1309</f>
        <v>15.56666667</v>
      </c>
      <c r="D1309" s="9">
        <f>Odometer!A1309</f>
        <v>45701.296747685185</v>
      </c>
      <c r="E1309" s="9">
        <f t="shared" si="162"/>
        <v>45701.296747685185</v>
      </c>
      <c r="F1309" s="2">
        <f>Odometer!B1309</f>
        <v>428761142</v>
      </c>
      <c r="G1309" s="2">
        <f t="shared" si="163"/>
        <v>13</v>
      </c>
      <c r="H1309" s="2">
        <f>SUM($G$2:G1309)</f>
        <v>11257</v>
      </c>
      <c r="I1309" s="10">
        <f t="shared" si="164"/>
        <v>45701.295590277776</v>
      </c>
      <c r="J1309" s="10">
        <f t="shared" si="165"/>
        <v>45701.295590277776</v>
      </c>
      <c r="K1309" s="3">
        <f t="shared" si="167"/>
        <v>10119</v>
      </c>
      <c r="L1309">
        <f t="shared" si="160"/>
        <v>15.51388889</v>
      </c>
      <c r="M1309">
        <f t="shared" si="166"/>
        <v>55.850000004000002</v>
      </c>
    </row>
    <row r="1310" spans="1:13" x14ac:dyDescent="0.25">
      <c r="A1310" s="9">
        <f>Speed!A1310</f>
        <v>45701.295601851853</v>
      </c>
      <c r="B1310" s="9">
        <f t="shared" si="161"/>
        <v>45701.295601851853</v>
      </c>
      <c r="C1310" s="2">
        <f>Speed!B1310</f>
        <v>15.855555560000001</v>
      </c>
      <c r="D1310" s="9">
        <f>Odometer!A1310</f>
        <v>45701.296759259261</v>
      </c>
      <c r="E1310" s="9">
        <f t="shared" si="162"/>
        <v>45701.296759259254</v>
      </c>
      <c r="F1310" s="2">
        <f>Odometer!B1310</f>
        <v>428761155</v>
      </c>
      <c r="G1310" s="2">
        <f t="shared" si="163"/>
        <v>13</v>
      </c>
      <c r="H1310" s="2">
        <f>SUM($G$2:G1310)</f>
        <v>11270</v>
      </c>
      <c r="I1310" s="10">
        <f t="shared" si="164"/>
        <v>45701.295601851853</v>
      </c>
      <c r="J1310" s="10">
        <f t="shared" si="165"/>
        <v>45701.295601851853</v>
      </c>
      <c r="K1310" s="3">
        <f t="shared" si="167"/>
        <v>10149</v>
      </c>
      <c r="L1310">
        <f t="shared" si="160"/>
        <v>15.855555560000001</v>
      </c>
      <c r="M1310">
        <f t="shared" si="166"/>
        <v>57.080000016000007</v>
      </c>
    </row>
    <row r="1311" spans="1:13" x14ac:dyDescent="0.25">
      <c r="A1311" s="9">
        <f>Speed!A1311</f>
        <v>45701.295613425929</v>
      </c>
      <c r="B1311" s="9">
        <f t="shared" si="161"/>
        <v>45701.295613425922</v>
      </c>
      <c r="C1311" s="2">
        <f>Speed!B1311</f>
        <v>16.26388889</v>
      </c>
      <c r="D1311" s="9">
        <f>Odometer!A1311</f>
        <v>45701.296770833331</v>
      </c>
      <c r="E1311" s="9">
        <f t="shared" si="162"/>
        <v>45701.296770833331</v>
      </c>
      <c r="F1311" s="2">
        <f>Odometer!B1311</f>
        <v>428761168</v>
      </c>
      <c r="G1311" s="2">
        <f t="shared" si="163"/>
        <v>13</v>
      </c>
      <c r="H1311" s="2">
        <f>SUM($G$2:G1311)</f>
        <v>11283</v>
      </c>
      <c r="I1311" s="10">
        <f t="shared" si="164"/>
        <v>45701.295613425929</v>
      </c>
      <c r="J1311" s="10">
        <f t="shared" si="165"/>
        <v>45701.295613425922</v>
      </c>
      <c r="K1311" s="3">
        <f t="shared" si="167"/>
        <v>10165</v>
      </c>
      <c r="L1311">
        <f t="shared" si="160"/>
        <v>16.26388889</v>
      </c>
      <c r="M1311">
        <f t="shared" si="166"/>
        <v>58.550000004000005</v>
      </c>
    </row>
    <row r="1312" spans="1:13" x14ac:dyDescent="0.25">
      <c r="A1312" s="9">
        <f>Speed!A1312</f>
        <v>45701.295624999999</v>
      </c>
      <c r="B1312" s="9">
        <f t="shared" si="161"/>
        <v>45701.295624999999</v>
      </c>
      <c r="C1312" s="2">
        <f>Speed!B1312</f>
        <v>16.68333333</v>
      </c>
      <c r="D1312" s="9">
        <f>Odometer!A1312</f>
        <v>45701.296782407408</v>
      </c>
      <c r="E1312" s="9">
        <f t="shared" si="162"/>
        <v>45701.296782407408</v>
      </c>
      <c r="F1312" s="2">
        <f>Odometer!B1312</f>
        <v>428761181</v>
      </c>
      <c r="G1312" s="2">
        <f t="shared" si="163"/>
        <v>15</v>
      </c>
      <c r="H1312" s="2">
        <f>SUM($G$2:G1312)</f>
        <v>11298</v>
      </c>
      <c r="I1312" s="10">
        <f t="shared" si="164"/>
        <v>45701.295624999999</v>
      </c>
      <c r="J1312" s="10">
        <f t="shared" si="165"/>
        <v>45701.295624999999</v>
      </c>
      <c r="K1312" s="3">
        <f t="shared" si="167"/>
        <v>10181</v>
      </c>
      <c r="L1312">
        <f t="shared" si="160"/>
        <v>16.68333333</v>
      </c>
      <c r="M1312">
        <f t="shared" si="166"/>
        <v>60.059999988000001</v>
      </c>
    </row>
    <row r="1313" spans="1:13" x14ac:dyDescent="0.25">
      <c r="A1313" s="9">
        <f>Speed!A1313</f>
        <v>45701.295636574076</v>
      </c>
      <c r="B1313" s="9">
        <f t="shared" si="161"/>
        <v>45701.295636574068</v>
      </c>
      <c r="C1313" s="2">
        <f>Speed!B1313</f>
        <v>17</v>
      </c>
      <c r="D1313" s="9">
        <f>Odometer!A1313</f>
        <v>45701.296793981484</v>
      </c>
      <c r="E1313" s="9">
        <f t="shared" si="162"/>
        <v>45701.296793981477</v>
      </c>
      <c r="F1313" s="2">
        <f>Odometer!B1313</f>
        <v>428761196</v>
      </c>
      <c r="G1313" s="2">
        <f t="shared" si="163"/>
        <v>13</v>
      </c>
      <c r="H1313" s="2">
        <f>SUM($G$2:G1313)</f>
        <v>11311</v>
      </c>
      <c r="I1313" s="10">
        <f t="shared" si="164"/>
        <v>45701.295636574076</v>
      </c>
      <c r="J1313" s="10">
        <f t="shared" si="165"/>
        <v>45701.295636574068</v>
      </c>
      <c r="K1313" s="3">
        <f t="shared" si="167"/>
        <v>10200</v>
      </c>
      <c r="L1313">
        <f t="shared" si="160"/>
        <v>17</v>
      </c>
      <c r="M1313">
        <f t="shared" si="166"/>
        <v>61.2</v>
      </c>
    </row>
    <row r="1314" spans="1:13" x14ac:dyDescent="0.25">
      <c r="A1314" s="9">
        <f>Speed!A1314</f>
        <v>45701.295648148145</v>
      </c>
      <c r="B1314" s="9">
        <f t="shared" si="161"/>
        <v>45701.295648148145</v>
      </c>
      <c r="C1314" s="2">
        <f>Speed!B1314</f>
        <v>17.297222219999998</v>
      </c>
      <c r="D1314" s="9">
        <f>Odometer!A1314</f>
        <v>45701.296805555554</v>
      </c>
      <c r="E1314" s="9">
        <f t="shared" si="162"/>
        <v>45701.296805555554</v>
      </c>
      <c r="F1314" s="2">
        <f>Odometer!B1314</f>
        <v>428761209</v>
      </c>
      <c r="G1314" s="2">
        <f t="shared" si="163"/>
        <v>1</v>
      </c>
      <c r="H1314" s="2">
        <f>SUM($G$2:G1314)</f>
        <v>11312</v>
      </c>
      <c r="I1314" s="10">
        <f t="shared" si="164"/>
        <v>45701.295648148145</v>
      </c>
      <c r="J1314" s="10">
        <f t="shared" si="165"/>
        <v>45701.295648148145</v>
      </c>
      <c r="K1314" s="3">
        <f t="shared" si="167"/>
        <v>10216</v>
      </c>
      <c r="L1314">
        <f t="shared" si="160"/>
        <v>17.297222219999998</v>
      </c>
      <c r="M1314">
        <f t="shared" si="166"/>
        <v>62.269999991999995</v>
      </c>
    </row>
    <row r="1315" spans="1:13" x14ac:dyDescent="0.25">
      <c r="A1315" s="9">
        <f>Speed!A1315</f>
        <v>45701.295659722222</v>
      </c>
      <c r="B1315" s="9">
        <f t="shared" si="161"/>
        <v>45701.295659722222</v>
      </c>
      <c r="C1315" s="2">
        <f>Speed!B1315</f>
        <v>17.569444440000002</v>
      </c>
      <c r="D1315" s="9">
        <f>Odometer!A1315</f>
        <v>45701.296805555554</v>
      </c>
      <c r="E1315" s="9">
        <f t="shared" si="162"/>
        <v>45701.296805555554</v>
      </c>
      <c r="F1315" s="2">
        <f>Odometer!B1315</f>
        <v>428761210</v>
      </c>
      <c r="G1315" s="2">
        <f t="shared" si="163"/>
        <v>14</v>
      </c>
      <c r="H1315" s="2">
        <f>SUM($G$2:G1315)</f>
        <v>11326</v>
      </c>
      <c r="I1315" s="10">
        <f t="shared" si="164"/>
        <v>45701.295659722222</v>
      </c>
      <c r="J1315" s="10">
        <f t="shared" si="165"/>
        <v>45701.295659722222</v>
      </c>
      <c r="K1315" s="3">
        <f t="shared" si="167"/>
        <v>10235</v>
      </c>
      <c r="L1315">
        <f t="shared" si="160"/>
        <v>17.569444440000002</v>
      </c>
      <c r="M1315">
        <f t="shared" si="166"/>
        <v>63.249999984000006</v>
      </c>
    </row>
    <row r="1316" spans="1:13" x14ac:dyDescent="0.25">
      <c r="A1316" s="9">
        <f>Speed!A1316</f>
        <v>45701.295671296299</v>
      </c>
      <c r="B1316" s="9">
        <f t="shared" si="161"/>
        <v>45701.295671296291</v>
      </c>
      <c r="C1316" s="2">
        <f>Speed!B1316</f>
        <v>17.891666669999999</v>
      </c>
      <c r="D1316" s="9">
        <f>Odometer!A1316</f>
        <v>45701.296817129631</v>
      </c>
      <c r="E1316" s="9">
        <f t="shared" si="162"/>
        <v>45701.296817129631</v>
      </c>
      <c r="F1316" s="2">
        <f>Odometer!B1316</f>
        <v>428761224</v>
      </c>
      <c r="G1316" s="2">
        <f t="shared" si="163"/>
        <v>14</v>
      </c>
      <c r="H1316" s="2">
        <f>SUM($G$2:G1316)</f>
        <v>11340</v>
      </c>
      <c r="I1316" s="10">
        <f t="shared" si="164"/>
        <v>45701.295671296299</v>
      </c>
      <c r="J1316" s="10">
        <f t="shared" si="165"/>
        <v>45701.295671296291</v>
      </c>
      <c r="K1316" s="3">
        <f t="shared" si="167"/>
        <v>10252</v>
      </c>
      <c r="L1316">
        <f t="shared" si="160"/>
        <v>17.891666669999999</v>
      </c>
      <c r="M1316">
        <f t="shared" si="166"/>
        <v>64.410000011999998</v>
      </c>
    </row>
    <row r="1317" spans="1:13" x14ac:dyDescent="0.25">
      <c r="A1317" s="9">
        <f>Speed!A1317</f>
        <v>45701.295682870368</v>
      </c>
      <c r="B1317" s="9">
        <f t="shared" si="161"/>
        <v>45701.295682870368</v>
      </c>
      <c r="C1317" s="2">
        <f>Speed!B1317</f>
        <v>18.119444439999999</v>
      </c>
      <c r="D1317" s="9">
        <f>Odometer!A1317</f>
        <v>45701.2968287037</v>
      </c>
      <c r="E1317" s="9">
        <f t="shared" si="162"/>
        <v>45701.2968287037</v>
      </c>
      <c r="F1317" s="2">
        <f>Odometer!B1317</f>
        <v>428761238</v>
      </c>
      <c r="G1317" s="2">
        <f t="shared" si="163"/>
        <v>15</v>
      </c>
      <c r="H1317" s="2">
        <f>SUM($G$2:G1317)</f>
        <v>11355</v>
      </c>
      <c r="I1317" s="10">
        <f t="shared" si="164"/>
        <v>45701.295682870368</v>
      </c>
      <c r="J1317" s="10">
        <f t="shared" si="165"/>
        <v>45701.295682870368</v>
      </c>
      <c r="K1317" s="3">
        <f t="shared" si="167"/>
        <v>10270</v>
      </c>
      <c r="L1317">
        <f t="shared" si="160"/>
        <v>18.119444439999999</v>
      </c>
      <c r="M1317">
        <f t="shared" si="166"/>
        <v>65.229999984000003</v>
      </c>
    </row>
    <row r="1318" spans="1:13" x14ac:dyDescent="0.25">
      <c r="A1318" s="9">
        <f>Speed!A1318</f>
        <v>45701.295694444445</v>
      </c>
      <c r="B1318" s="9">
        <f t="shared" si="161"/>
        <v>45701.295694444445</v>
      </c>
      <c r="C1318" s="2">
        <f>Speed!B1318</f>
        <v>18.163888889999999</v>
      </c>
      <c r="D1318" s="9">
        <f>Odometer!A1318</f>
        <v>45701.296840277777</v>
      </c>
      <c r="E1318" s="9">
        <f t="shared" si="162"/>
        <v>45701.296840277777</v>
      </c>
      <c r="F1318" s="2">
        <f>Odometer!B1318</f>
        <v>428761253</v>
      </c>
      <c r="G1318" s="2">
        <f t="shared" si="163"/>
        <v>15</v>
      </c>
      <c r="H1318" s="2">
        <f>SUM($G$2:G1318)</f>
        <v>11370</v>
      </c>
      <c r="I1318" s="10">
        <f t="shared" si="164"/>
        <v>45701.295694444445</v>
      </c>
      <c r="J1318" s="10">
        <f t="shared" si="165"/>
        <v>45701.295694444445</v>
      </c>
      <c r="K1318" s="3">
        <f t="shared" si="167"/>
        <v>10273</v>
      </c>
      <c r="L1318">
        <f t="shared" si="160"/>
        <v>18.163888889999999</v>
      </c>
      <c r="M1318">
        <f t="shared" si="166"/>
        <v>65.390000004000001</v>
      </c>
    </row>
    <row r="1319" spans="1:13" x14ac:dyDescent="0.25">
      <c r="A1319" s="9">
        <f>Speed!A1319</f>
        <v>45701.295694444445</v>
      </c>
      <c r="B1319" s="9">
        <f t="shared" si="161"/>
        <v>45701.295694444445</v>
      </c>
      <c r="C1319" s="2">
        <f>Speed!B1319</f>
        <v>18.211111110000001</v>
      </c>
      <c r="D1319" s="9">
        <f>Odometer!A1319</f>
        <v>45701.296851851854</v>
      </c>
      <c r="E1319" s="9">
        <f t="shared" si="162"/>
        <v>45701.296851851846</v>
      </c>
      <c r="F1319" s="2">
        <f>Odometer!B1319</f>
        <v>428761268</v>
      </c>
      <c r="G1319" s="2">
        <f t="shared" si="163"/>
        <v>15</v>
      </c>
      <c r="H1319" s="2">
        <f>SUM($G$2:G1319)</f>
        <v>11385</v>
      </c>
      <c r="I1319" s="10">
        <f t="shared" si="164"/>
        <v>45701.295694444445</v>
      </c>
      <c r="J1319" s="10">
        <f t="shared" si="165"/>
        <v>45701.295694444445</v>
      </c>
      <c r="K1319" s="3">
        <f t="shared" si="167"/>
        <v>10273</v>
      </c>
      <c r="L1319">
        <f t="shared" si="160"/>
        <v>18.163888889999999</v>
      </c>
      <c r="M1319">
        <f t="shared" si="166"/>
        <v>65.390000004000001</v>
      </c>
    </row>
    <row r="1320" spans="1:13" x14ac:dyDescent="0.25">
      <c r="A1320" s="9">
        <f>Speed!A1320</f>
        <v>45701.295706018522</v>
      </c>
      <c r="B1320" s="9">
        <f t="shared" si="161"/>
        <v>45701.295706018514</v>
      </c>
      <c r="C1320" s="2">
        <f>Speed!B1320</f>
        <v>18.238888889999998</v>
      </c>
      <c r="D1320" s="9">
        <f>Odometer!A1320</f>
        <v>45701.296863425923</v>
      </c>
      <c r="E1320" s="9">
        <f t="shared" si="162"/>
        <v>45701.296863425923</v>
      </c>
      <c r="F1320" s="2">
        <f>Odometer!B1320</f>
        <v>428761283</v>
      </c>
      <c r="G1320" s="2">
        <f t="shared" si="163"/>
        <v>4</v>
      </c>
      <c r="H1320" s="2">
        <f>SUM($G$2:G1320)</f>
        <v>11389</v>
      </c>
      <c r="I1320" s="10">
        <f t="shared" si="164"/>
        <v>45701.295706018522</v>
      </c>
      <c r="J1320" s="10">
        <f t="shared" si="165"/>
        <v>45701.295706018514</v>
      </c>
      <c r="K1320" s="3">
        <f t="shared" si="167"/>
        <v>10307</v>
      </c>
      <c r="L1320">
        <f t="shared" si="160"/>
        <v>18.238888889999998</v>
      </c>
      <c r="M1320">
        <f t="shared" si="166"/>
        <v>65.660000003999997</v>
      </c>
    </row>
    <row r="1321" spans="1:13" x14ac:dyDescent="0.25">
      <c r="A1321" s="9">
        <f>Speed!A1321</f>
        <v>45701.295717592591</v>
      </c>
      <c r="B1321" s="9">
        <f t="shared" si="161"/>
        <v>45701.295717592591</v>
      </c>
      <c r="C1321" s="2">
        <f>Speed!B1321</f>
        <v>18.216666669999999</v>
      </c>
      <c r="D1321" s="9">
        <f>Odometer!A1321</f>
        <v>45701.296863425923</v>
      </c>
      <c r="E1321" s="9">
        <f t="shared" si="162"/>
        <v>45701.296863425923</v>
      </c>
      <c r="F1321" s="2">
        <f>Odometer!B1321</f>
        <v>428761287</v>
      </c>
      <c r="G1321" s="2">
        <f t="shared" si="163"/>
        <v>3</v>
      </c>
      <c r="H1321" s="2">
        <f>SUM($G$2:G1321)</f>
        <v>11392</v>
      </c>
      <c r="I1321" s="10">
        <f t="shared" si="164"/>
        <v>45701.295717592591</v>
      </c>
      <c r="J1321" s="10">
        <f t="shared" si="165"/>
        <v>45701.295717592591</v>
      </c>
      <c r="K1321" s="3">
        <f t="shared" si="167"/>
        <v>10308</v>
      </c>
      <c r="L1321">
        <f t="shared" si="160"/>
        <v>18.216666669999999</v>
      </c>
      <c r="M1321">
        <f t="shared" si="166"/>
        <v>65.580000011999999</v>
      </c>
    </row>
    <row r="1322" spans="1:13" x14ac:dyDescent="0.25">
      <c r="A1322" s="9">
        <f>Speed!A1322</f>
        <v>45701.295717592591</v>
      </c>
      <c r="B1322" s="9">
        <f t="shared" si="161"/>
        <v>45701.295717592591</v>
      </c>
      <c r="C1322" s="2">
        <f>Speed!B1322</f>
        <v>18.21944444</v>
      </c>
      <c r="D1322" s="9">
        <f>Odometer!A1322</f>
        <v>45701.296863425923</v>
      </c>
      <c r="E1322" s="9">
        <f t="shared" si="162"/>
        <v>45701.296863425923</v>
      </c>
      <c r="F1322" s="2">
        <f>Odometer!B1322</f>
        <v>428761290</v>
      </c>
      <c r="G1322" s="2">
        <f t="shared" si="163"/>
        <v>6</v>
      </c>
      <c r="H1322" s="2">
        <f>SUM($G$2:G1322)</f>
        <v>11398</v>
      </c>
      <c r="I1322" s="10">
        <f t="shared" si="164"/>
        <v>45701.295717592591</v>
      </c>
      <c r="J1322" s="10">
        <f t="shared" si="165"/>
        <v>45701.295717592591</v>
      </c>
      <c r="K1322" s="3">
        <f t="shared" si="167"/>
        <v>10308</v>
      </c>
      <c r="L1322">
        <f t="shared" si="160"/>
        <v>18.216666669999999</v>
      </c>
      <c r="M1322">
        <f t="shared" si="166"/>
        <v>65.580000011999999</v>
      </c>
    </row>
    <row r="1323" spans="1:13" x14ac:dyDescent="0.25">
      <c r="A1323" s="9">
        <f>Speed!A1323</f>
        <v>45701.295729166668</v>
      </c>
      <c r="B1323" s="9">
        <f t="shared" si="161"/>
        <v>45701.295729166668</v>
      </c>
      <c r="C1323" s="2">
        <f>Speed!B1323</f>
        <v>18.216666669999999</v>
      </c>
      <c r="D1323" s="9">
        <f>Odometer!A1323</f>
        <v>45701.296875</v>
      </c>
      <c r="E1323" s="9">
        <f t="shared" si="162"/>
        <v>45701.296875</v>
      </c>
      <c r="F1323" s="2">
        <f>Odometer!B1323</f>
        <v>428761296</v>
      </c>
      <c r="G1323" s="2">
        <f t="shared" si="163"/>
        <v>14</v>
      </c>
      <c r="H1323" s="2">
        <f>SUM($G$2:G1323)</f>
        <v>11412</v>
      </c>
      <c r="I1323" s="10">
        <f t="shared" si="164"/>
        <v>45701.295729166668</v>
      </c>
      <c r="J1323" s="10">
        <f t="shared" si="165"/>
        <v>45701.295729166668</v>
      </c>
      <c r="K1323" s="3">
        <f t="shared" si="167"/>
        <v>10344</v>
      </c>
      <c r="L1323">
        <f t="shared" si="160"/>
        <v>18.216666669999999</v>
      </c>
      <c r="M1323">
        <f t="shared" si="166"/>
        <v>65.580000011999999</v>
      </c>
    </row>
    <row r="1324" spans="1:13" x14ac:dyDescent="0.25">
      <c r="A1324" s="9">
        <f>Speed!A1324</f>
        <v>45701.295740740738</v>
      </c>
      <c r="B1324" s="9">
        <f t="shared" si="161"/>
        <v>45701.295740740738</v>
      </c>
      <c r="C1324" s="2">
        <f>Speed!B1324</f>
        <v>18.225000000000001</v>
      </c>
      <c r="D1324" s="9">
        <f>Odometer!A1324</f>
        <v>45701.296886574077</v>
      </c>
      <c r="E1324" s="9">
        <f t="shared" si="162"/>
        <v>45701.29688657407</v>
      </c>
      <c r="F1324" s="2">
        <f>Odometer!B1324</f>
        <v>428761310</v>
      </c>
      <c r="G1324" s="2">
        <f t="shared" si="163"/>
        <v>14</v>
      </c>
      <c r="H1324" s="2">
        <f>SUM($G$2:G1324)</f>
        <v>11426</v>
      </c>
      <c r="I1324" s="10">
        <f t="shared" si="164"/>
        <v>45701.295740740738</v>
      </c>
      <c r="J1324" s="10">
        <f t="shared" si="165"/>
        <v>45701.295740740738</v>
      </c>
      <c r="K1324" s="3">
        <f t="shared" si="167"/>
        <v>10363</v>
      </c>
      <c r="L1324">
        <f t="shared" si="160"/>
        <v>18.225000000000001</v>
      </c>
      <c r="M1324">
        <f t="shared" si="166"/>
        <v>65.610000000000014</v>
      </c>
    </row>
    <row r="1325" spans="1:13" x14ac:dyDescent="0.25">
      <c r="A1325" s="9">
        <f>Speed!A1325</f>
        <v>45701.295752314814</v>
      </c>
      <c r="B1325" s="9">
        <f t="shared" si="161"/>
        <v>45701.295752314814</v>
      </c>
      <c r="C1325" s="2">
        <f>Speed!B1325</f>
        <v>18.21388889</v>
      </c>
      <c r="D1325" s="9">
        <f>Odometer!A1325</f>
        <v>45701.296898148146</v>
      </c>
      <c r="E1325" s="9">
        <f t="shared" si="162"/>
        <v>45701.296898148146</v>
      </c>
      <c r="F1325" s="2">
        <f>Odometer!B1325</f>
        <v>428761324</v>
      </c>
      <c r="G1325" s="2">
        <f t="shared" si="163"/>
        <v>5</v>
      </c>
      <c r="H1325" s="2">
        <f>SUM($G$2:G1325)</f>
        <v>11431</v>
      </c>
      <c r="I1325" s="10">
        <f t="shared" si="164"/>
        <v>45701.295752314814</v>
      </c>
      <c r="J1325" s="10">
        <f t="shared" si="165"/>
        <v>45701.295752314814</v>
      </c>
      <c r="K1325" s="3">
        <f t="shared" si="167"/>
        <v>10379</v>
      </c>
      <c r="L1325">
        <f t="shared" si="160"/>
        <v>18.21388889</v>
      </c>
      <c r="M1325">
        <f t="shared" si="166"/>
        <v>65.570000004000008</v>
      </c>
    </row>
    <row r="1326" spans="1:13" x14ac:dyDescent="0.25">
      <c r="A1326" s="9">
        <f>Speed!A1326</f>
        <v>45701.295763888891</v>
      </c>
      <c r="B1326" s="9">
        <f t="shared" si="161"/>
        <v>45701.295763888884</v>
      </c>
      <c r="C1326" s="2">
        <f>Speed!B1326</f>
        <v>18.188888890000001</v>
      </c>
      <c r="D1326" s="9">
        <f>Odometer!A1326</f>
        <v>45701.296898148146</v>
      </c>
      <c r="E1326" s="9">
        <f t="shared" si="162"/>
        <v>45701.296898148146</v>
      </c>
      <c r="F1326" s="2">
        <f>Odometer!B1326</f>
        <v>428761329</v>
      </c>
      <c r="G1326" s="2">
        <f t="shared" si="163"/>
        <v>8</v>
      </c>
      <c r="H1326" s="2">
        <f>SUM($G$2:G1326)</f>
        <v>11439</v>
      </c>
      <c r="I1326" s="10">
        <f t="shared" si="164"/>
        <v>45701.295763888891</v>
      </c>
      <c r="J1326" s="10">
        <f t="shared" si="165"/>
        <v>45701.295763888884</v>
      </c>
      <c r="K1326" s="3">
        <f t="shared" si="167"/>
        <v>10398</v>
      </c>
      <c r="L1326">
        <f t="shared" si="160"/>
        <v>18.188888890000001</v>
      </c>
      <c r="M1326">
        <f t="shared" si="166"/>
        <v>65.480000004000004</v>
      </c>
    </row>
    <row r="1327" spans="1:13" x14ac:dyDescent="0.25">
      <c r="A1327" s="9">
        <f>Speed!A1327</f>
        <v>45701.295775462961</v>
      </c>
      <c r="B1327" s="9">
        <f t="shared" si="161"/>
        <v>45701.295775462961</v>
      </c>
      <c r="C1327" s="2">
        <f>Speed!B1327</f>
        <v>17.86111111</v>
      </c>
      <c r="D1327" s="9">
        <f>Odometer!A1327</f>
        <v>45701.296898148146</v>
      </c>
      <c r="E1327" s="9">
        <f t="shared" si="162"/>
        <v>45701.296898148146</v>
      </c>
      <c r="F1327" s="2">
        <f>Odometer!B1327</f>
        <v>428761337</v>
      </c>
      <c r="G1327" s="2">
        <f t="shared" si="163"/>
        <v>13</v>
      </c>
      <c r="H1327" s="2">
        <f>SUM($G$2:G1327)</f>
        <v>11452</v>
      </c>
      <c r="I1327" s="10">
        <f t="shared" si="164"/>
        <v>45701.295775462961</v>
      </c>
      <c r="J1327" s="10">
        <f t="shared" si="165"/>
        <v>45701.295775462961</v>
      </c>
      <c r="K1327" s="3">
        <f t="shared" si="167"/>
        <v>10416</v>
      </c>
      <c r="L1327">
        <f t="shared" si="160"/>
        <v>17.86111111</v>
      </c>
      <c r="M1327">
        <f t="shared" si="166"/>
        <v>64.299999995999997</v>
      </c>
    </row>
    <row r="1328" spans="1:13" x14ac:dyDescent="0.25">
      <c r="A1328" s="9">
        <f>Speed!A1328</f>
        <v>45701.295787037037</v>
      </c>
      <c r="B1328" s="9">
        <f t="shared" si="161"/>
        <v>45701.295787037037</v>
      </c>
      <c r="C1328" s="2">
        <f>Speed!B1328</f>
        <v>17.43333333</v>
      </c>
      <c r="D1328" s="9">
        <f>Odometer!A1328</f>
        <v>45701.2969212963</v>
      </c>
      <c r="E1328" s="9">
        <f t="shared" si="162"/>
        <v>45701.296921296293</v>
      </c>
      <c r="F1328" s="2">
        <f>Odometer!B1328</f>
        <v>428761350</v>
      </c>
      <c r="G1328" s="2">
        <f t="shared" si="163"/>
        <v>11</v>
      </c>
      <c r="H1328" s="2">
        <f>SUM($G$2:G1328)</f>
        <v>11463</v>
      </c>
      <c r="I1328" s="10">
        <f t="shared" si="164"/>
        <v>45701.295787037037</v>
      </c>
      <c r="J1328" s="10">
        <f t="shared" si="165"/>
        <v>45701.295787037037</v>
      </c>
      <c r="K1328" s="3">
        <f t="shared" si="167"/>
        <v>10433</v>
      </c>
      <c r="L1328">
        <f t="shared" si="160"/>
        <v>17.43333333</v>
      </c>
      <c r="M1328">
        <f t="shared" si="166"/>
        <v>62.759999988000004</v>
      </c>
    </row>
    <row r="1329" spans="1:13" x14ac:dyDescent="0.25">
      <c r="A1329" s="9">
        <f>Speed!A1329</f>
        <v>45701.295798611114</v>
      </c>
      <c r="B1329" s="9">
        <f t="shared" si="161"/>
        <v>45701.295798611107</v>
      </c>
      <c r="C1329" s="2">
        <f>Speed!B1329</f>
        <v>17.019444440000001</v>
      </c>
      <c r="D1329" s="9">
        <f>Odometer!A1329</f>
        <v>45701.2969212963</v>
      </c>
      <c r="E1329" s="9">
        <f t="shared" si="162"/>
        <v>45701.296921296293</v>
      </c>
      <c r="F1329" s="2">
        <f>Odometer!B1329</f>
        <v>428761361</v>
      </c>
      <c r="G1329" s="2">
        <f t="shared" si="163"/>
        <v>9</v>
      </c>
      <c r="H1329" s="2">
        <f>SUM($G$2:G1329)</f>
        <v>11472</v>
      </c>
      <c r="I1329" s="10">
        <f t="shared" si="164"/>
        <v>45701.295798611114</v>
      </c>
      <c r="J1329" s="10">
        <f t="shared" si="165"/>
        <v>45701.295798611107</v>
      </c>
      <c r="K1329" s="3">
        <f t="shared" si="167"/>
        <v>10436</v>
      </c>
      <c r="L1329">
        <f t="shared" si="160"/>
        <v>17.019444440000001</v>
      </c>
      <c r="M1329">
        <f t="shared" si="166"/>
        <v>61.269999984000002</v>
      </c>
    </row>
    <row r="1330" spans="1:13" x14ac:dyDescent="0.25">
      <c r="A1330" s="9">
        <f>Speed!A1330</f>
        <v>45701.295798611114</v>
      </c>
      <c r="B1330" s="9">
        <f t="shared" si="161"/>
        <v>45701.295798611107</v>
      </c>
      <c r="C1330" s="2">
        <f>Speed!B1330</f>
        <v>16.97777778</v>
      </c>
      <c r="D1330" s="9">
        <f>Odometer!A1330</f>
        <v>45701.296956018516</v>
      </c>
      <c r="E1330" s="9">
        <f t="shared" si="162"/>
        <v>45701.296956018516</v>
      </c>
      <c r="F1330" s="2">
        <f>Odometer!B1330</f>
        <v>428761370</v>
      </c>
      <c r="G1330" s="2">
        <f t="shared" si="163"/>
        <v>22</v>
      </c>
      <c r="H1330" s="2">
        <f>SUM($G$2:G1330)</f>
        <v>11494</v>
      </c>
      <c r="I1330" s="10">
        <f t="shared" si="164"/>
        <v>45701.295798611114</v>
      </c>
      <c r="J1330" s="10">
        <f t="shared" si="165"/>
        <v>45701.295798611107</v>
      </c>
      <c r="K1330" s="3">
        <f t="shared" si="167"/>
        <v>10436</v>
      </c>
      <c r="L1330">
        <f t="shared" si="160"/>
        <v>17.019444440000001</v>
      </c>
      <c r="M1330">
        <f t="shared" si="166"/>
        <v>61.269999984000002</v>
      </c>
    </row>
    <row r="1331" spans="1:13" x14ac:dyDescent="0.25">
      <c r="A1331" s="9">
        <f>Speed!A1331</f>
        <v>45701.295810185184</v>
      </c>
      <c r="B1331" s="9">
        <f t="shared" si="161"/>
        <v>45701.295810185184</v>
      </c>
      <c r="C1331" s="2">
        <f>Speed!B1331</f>
        <v>16.76388889</v>
      </c>
      <c r="D1331" s="9">
        <f>Odometer!A1331</f>
        <v>45701.296956018516</v>
      </c>
      <c r="E1331" s="9">
        <f t="shared" si="162"/>
        <v>45701.296956018516</v>
      </c>
      <c r="F1331" s="2">
        <f>Odometer!B1331</f>
        <v>428761392</v>
      </c>
      <c r="G1331" s="2">
        <f t="shared" si="163"/>
        <v>4</v>
      </c>
      <c r="H1331" s="2">
        <f>SUM($G$2:G1331)</f>
        <v>11498</v>
      </c>
      <c r="I1331" s="10">
        <f t="shared" si="164"/>
        <v>45701.295810185184</v>
      </c>
      <c r="J1331" s="10">
        <f t="shared" si="165"/>
        <v>45701.295810185184</v>
      </c>
      <c r="K1331" s="3">
        <f t="shared" si="167"/>
        <v>10464</v>
      </c>
      <c r="L1331">
        <f t="shared" si="160"/>
        <v>16.76388889</v>
      </c>
      <c r="M1331">
        <f t="shared" si="166"/>
        <v>60.350000004000002</v>
      </c>
    </row>
    <row r="1332" spans="1:13" x14ac:dyDescent="0.25">
      <c r="A1332" s="9">
        <f>Speed!A1332</f>
        <v>45701.29582175926</v>
      </c>
      <c r="B1332" s="9">
        <f t="shared" si="161"/>
        <v>45701.29582175926</v>
      </c>
      <c r="C1332" s="2">
        <f>Speed!B1332</f>
        <v>16.658333330000001</v>
      </c>
      <c r="D1332" s="9">
        <f>Odometer!A1332</f>
        <v>45701.296967592592</v>
      </c>
      <c r="E1332" s="9">
        <f t="shared" si="162"/>
        <v>45701.296967592592</v>
      </c>
      <c r="F1332" s="2">
        <f>Odometer!B1332</f>
        <v>428761396</v>
      </c>
      <c r="G1332" s="2">
        <f t="shared" si="163"/>
        <v>1</v>
      </c>
      <c r="H1332" s="2">
        <f>SUM($G$2:G1332)</f>
        <v>11499</v>
      </c>
      <c r="I1332" s="10">
        <f t="shared" si="164"/>
        <v>45701.29582175926</v>
      </c>
      <c r="J1332" s="10">
        <f t="shared" si="165"/>
        <v>45701.29582175926</v>
      </c>
      <c r="K1332" s="3">
        <f t="shared" si="167"/>
        <v>10473</v>
      </c>
      <c r="L1332">
        <f t="shared" si="160"/>
        <v>16.658333330000001</v>
      </c>
      <c r="M1332">
        <f t="shared" si="166"/>
        <v>59.969999988000005</v>
      </c>
    </row>
    <row r="1333" spans="1:13" x14ac:dyDescent="0.25">
      <c r="A1333" s="9">
        <f>Speed!A1333</f>
        <v>45701.29582175926</v>
      </c>
      <c r="B1333" s="9">
        <f t="shared" si="161"/>
        <v>45701.29582175926</v>
      </c>
      <c r="C1333" s="2">
        <f>Speed!B1333</f>
        <v>16.483333330000001</v>
      </c>
      <c r="D1333" s="9">
        <f>Odometer!A1333</f>
        <v>45701.296967592592</v>
      </c>
      <c r="E1333" s="9">
        <f t="shared" si="162"/>
        <v>45701.296967592592</v>
      </c>
      <c r="F1333" s="2">
        <f>Odometer!B1333</f>
        <v>428761397</v>
      </c>
      <c r="G1333" s="2">
        <f t="shared" si="163"/>
        <v>11</v>
      </c>
      <c r="H1333" s="2">
        <f>SUM($G$2:G1333)</f>
        <v>11510</v>
      </c>
      <c r="I1333" s="10">
        <f t="shared" si="164"/>
        <v>45701.29582175926</v>
      </c>
      <c r="J1333" s="10">
        <f t="shared" si="165"/>
        <v>45701.29582175926</v>
      </c>
      <c r="K1333" s="3">
        <f t="shared" si="167"/>
        <v>10473</v>
      </c>
      <c r="L1333">
        <f t="shared" si="160"/>
        <v>16.658333330000001</v>
      </c>
      <c r="M1333">
        <f t="shared" si="166"/>
        <v>59.969999988000005</v>
      </c>
    </row>
    <row r="1334" spans="1:13" x14ac:dyDescent="0.25">
      <c r="A1334" s="9">
        <f>Speed!A1334</f>
        <v>45701.29582175926</v>
      </c>
      <c r="B1334" s="9">
        <f t="shared" si="161"/>
        <v>45701.29582175926</v>
      </c>
      <c r="C1334" s="2">
        <f>Speed!B1334</f>
        <v>16.42777778</v>
      </c>
      <c r="D1334" s="9">
        <f>Odometer!A1334</f>
        <v>45701.296979166669</v>
      </c>
      <c r="E1334" s="9">
        <f t="shared" si="162"/>
        <v>45701.296979166662</v>
      </c>
      <c r="F1334" s="2">
        <f>Odometer!B1334</f>
        <v>428761408</v>
      </c>
      <c r="G1334" s="2">
        <f t="shared" si="163"/>
        <v>8</v>
      </c>
      <c r="H1334" s="2">
        <f>SUM($G$2:G1334)</f>
        <v>11518</v>
      </c>
      <c r="I1334" s="10">
        <f t="shared" si="164"/>
        <v>45701.29582175926</v>
      </c>
      <c r="J1334" s="10">
        <f t="shared" si="165"/>
        <v>45701.29582175926</v>
      </c>
      <c r="K1334" s="3">
        <f t="shared" si="167"/>
        <v>10473</v>
      </c>
      <c r="L1334">
        <f t="shared" si="160"/>
        <v>16.658333330000001</v>
      </c>
      <c r="M1334">
        <f t="shared" si="166"/>
        <v>59.969999988000005</v>
      </c>
    </row>
    <row r="1335" spans="1:13" x14ac:dyDescent="0.25">
      <c r="A1335" s="9">
        <f>Speed!A1335</f>
        <v>45701.29583333333</v>
      </c>
      <c r="B1335" s="9">
        <f t="shared" si="161"/>
        <v>45701.29583333333</v>
      </c>
      <c r="C1335" s="2">
        <f>Speed!B1335</f>
        <v>16.21388889</v>
      </c>
      <c r="D1335" s="9">
        <f>Odometer!A1335</f>
        <v>45701.296990740739</v>
      </c>
      <c r="E1335" s="9">
        <f t="shared" si="162"/>
        <v>45701.296990740739</v>
      </c>
      <c r="F1335" s="2">
        <f>Odometer!B1335</f>
        <v>428761416</v>
      </c>
      <c r="G1335" s="2">
        <f t="shared" si="163"/>
        <v>11</v>
      </c>
      <c r="H1335" s="2">
        <f>SUM($G$2:G1335)</f>
        <v>11529</v>
      </c>
      <c r="I1335" s="10">
        <f t="shared" si="164"/>
        <v>45701.29583333333</v>
      </c>
      <c r="J1335" s="10">
        <f t="shared" si="165"/>
        <v>45701.29583333333</v>
      </c>
      <c r="K1335" s="3">
        <f t="shared" si="167"/>
        <v>10499</v>
      </c>
      <c r="L1335">
        <f t="shared" si="160"/>
        <v>16.21388889</v>
      </c>
      <c r="M1335">
        <f t="shared" si="166"/>
        <v>58.370000003999998</v>
      </c>
    </row>
    <row r="1336" spans="1:13" x14ac:dyDescent="0.25">
      <c r="A1336" s="9">
        <f>Speed!A1336</f>
        <v>45701.295844907407</v>
      </c>
      <c r="B1336" s="9">
        <f t="shared" si="161"/>
        <v>45701.295844907407</v>
      </c>
      <c r="C1336" s="2">
        <f>Speed!B1336</f>
        <v>15.625</v>
      </c>
      <c r="D1336" s="9">
        <f>Odometer!A1336</f>
        <v>45701.297002314815</v>
      </c>
      <c r="E1336" s="9">
        <f t="shared" si="162"/>
        <v>45701.297002314815</v>
      </c>
      <c r="F1336" s="2">
        <f>Odometer!B1336</f>
        <v>428761427</v>
      </c>
      <c r="G1336" s="2">
        <f t="shared" si="163"/>
        <v>9</v>
      </c>
      <c r="H1336" s="2">
        <f>SUM($G$2:G1336)</f>
        <v>11538</v>
      </c>
      <c r="I1336" s="10">
        <f t="shared" si="164"/>
        <v>45701.295844907407</v>
      </c>
      <c r="J1336" s="10">
        <f t="shared" si="165"/>
        <v>45701.295844907407</v>
      </c>
      <c r="K1336" s="3">
        <f t="shared" si="167"/>
        <v>10515</v>
      </c>
      <c r="L1336">
        <f t="shared" si="160"/>
        <v>15.625</v>
      </c>
      <c r="M1336">
        <f t="shared" si="166"/>
        <v>56.25</v>
      </c>
    </row>
    <row r="1337" spans="1:13" x14ac:dyDescent="0.25">
      <c r="A1337" s="9">
        <f>Speed!A1337</f>
        <v>45701.295856481483</v>
      </c>
      <c r="B1337" s="9">
        <f t="shared" si="161"/>
        <v>45701.295856481476</v>
      </c>
      <c r="C1337" s="2">
        <f>Speed!B1337</f>
        <v>14.95277778</v>
      </c>
      <c r="D1337" s="9">
        <f>Odometer!A1337</f>
        <v>45701.297013888892</v>
      </c>
      <c r="E1337" s="9">
        <f t="shared" si="162"/>
        <v>45701.297013888885</v>
      </c>
      <c r="F1337" s="2">
        <f>Odometer!B1337</f>
        <v>428761436</v>
      </c>
      <c r="G1337" s="2">
        <f t="shared" si="163"/>
        <v>8</v>
      </c>
      <c r="H1337" s="2">
        <f>SUM($G$2:G1337)</f>
        <v>11546</v>
      </c>
      <c r="I1337" s="10">
        <f t="shared" si="164"/>
        <v>45701.295856481483</v>
      </c>
      <c r="J1337" s="10">
        <f t="shared" si="165"/>
        <v>45701.295856481476</v>
      </c>
      <c r="K1337" s="3">
        <f t="shared" si="167"/>
        <v>10529</v>
      </c>
      <c r="L1337">
        <f t="shared" si="160"/>
        <v>14.95277778</v>
      </c>
      <c r="M1337">
        <f t="shared" si="166"/>
        <v>53.830000007999999</v>
      </c>
    </row>
    <row r="1338" spans="1:13" x14ac:dyDescent="0.25">
      <c r="A1338" s="9">
        <f>Speed!A1338</f>
        <v>45701.295868055553</v>
      </c>
      <c r="B1338" s="9">
        <f t="shared" si="161"/>
        <v>45701.295868055553</v>
      </c>
      <c r="C1338" s="2">
        <f>Speed!B1338</f>
        <v>14.438888889999999</v>
      </c>
      <c r="D1338" s="9">
        <f>Odometer!A1338</f>
        <v>45701.297025462962</v>
      </c>
      <c r="E1338" s="9">
        <f t="shared" si="162"/>
        <v>45701.297025462962</v>
      </c>
      <c r="F1338" s="2">
        <f>Odometer!B1338</f>
        <v>428761444</v>
      </c>
      <c r="G1338" s="2">
        <f t="shared" si="163"/>
        <v>8</v>
      </c>
      <c r="H1338" s="2">
        <f>SUM($G$2:G1338)</f>
        <v>11554</v>
      </c>
      <c r="I1338" s="10">
        <f t="shared" si="164"/>
        <v>45701.295868055553</v>
      </c>
      <c r="J1338" s="10">
        <f t="shared" si="165"/>
        <v>45701.295868055553</v>
      </c>
      <c r="K1338" s="3">
        <f t="shared" si="167"/>
        <v>10530</v>
      </c>
      <c r="L1338">
        <f t="shared" si="160"/>
        <v>14.438888889999999</v>
      </c>
      <c r="M1338">
        <f t="shared" si="166"/>
        <v>51.980000003999997</v>
      </c>
    </row>
    <row r="1339" spans="1:13" x14ac:dyDescent="0.25">
      <c r="A1339" s="9">
        <f>Speed!A1339</f>
        <v>45701.295868055553</v>
      </c>
      <c r="B1339" s="9">
        <f t="shared" si="161"/>
        <v>45701.295868055553</v>
      </c>
      <c r="C1339" s="2">
        <f>Speed!B1339</f>
        <v>14.40555556</v>
      </c>
      <c r="D1339" s="9">
        <f>Odometer!A1339</f>
        <v>45701.297037037039</v>
      </c>
      <c r="E1339" s="9">
        <f t="shared" si="162"/>
        <v>45701.297037037031</v>
      </c>
      <c r="F1339" s="2">
        <f>Odometer!B1339</f>
        <v>428761452</v>
      </c>
      <c r="G1339" s="2">
        <f t="shared" si="163"/>
        <v>7</v>
      </c>
      <c r="H1339" s="2">
        <f>SUM($G$2:G1339)</f>
        <v>11561</v>
      </c>
      <c r="I1339" s="10">
        <f t="shared" si="164"/>
        <v>45701.295868055553</v>
      </c>
      <c r="J1339" s="10">
        <f t="shared" si="165"/>
        <v>45701.295868055553</v>
      </c>
      <c r="K1339" s="3">
        <f t="shared" si="167"/>
        <v>10530</v>
      </c>
      <c r="L1339">
        <f t="shared" si="160"/>
        <v>14.438888889999999</v>
      </c>
      <c r="M1339">
        <f t="shared" si="166"/>
        <v>51.980000003999997</v>
      </c>
    </row>
    <row r="1340" spans="1:13" x14ac:dyDescent="0.25">
      <c r="A1340" s="9">
        <f>Speed!A1340</f>
        <v>45701.29587962963</v>
      </c>
      <c r="B1340" s="9">
        <f t="shared" si="161"/>
        <v>45701.29587962963</v>
      </c>
      <c r="C1340" s="2">
        <f>Speed!B1340</f>
        <v>13.894444439999999</v>
      </c>
      <c r="D1340" s="9">
        <f>Odometer!A1340</f>
        <v>45701.297037037039</v>
      </c>
      <c r="E1340" s="9">
        <f t="shared" si="162"/>
        <v>45701.297037037031</v>
      </c>
      <c r="F1340" s="2">
        <f>Odometer!B1340</f>
        <v>428761459</v>
      </c>
      <c r="G1340" s="2">
        <f t="shared" si="163"/>
        <v>6</v>
      </c>
      <c r="H1340" s="2">
        <f>SUM($G$2:G1340)</f>
        <v>11567</v>
      </c>
      <c r="I1340" s="10">
        <f t="shared" si="164"/>
        <v>45701.29587962963</v>
      </c>
      <c r="J1340" s="10">
        <f t="shared" si="165"/>
        <v>45701.29587962963</v>
      </c>
      <c r="K1340" s="3">
        <f t="shared" si="167"/>
        <v>10556</v>
      </c>
      <c r="L1340">
        <f t="shared" si="160"/>
        <v>13.894444439999999</v>
      </c>
      <c r="M1340">
        <f t="shared" si="166"/>
        <v>50.019999983999995</v>
      </c>
    </row>
    <row r="1341" spans="1:13" x14ac:dyDescent="0.25">
      <c r="A1341" s="9">
        <f>Speed!A1341</f>
        <v>45701.295891203707</v>
      </c>
      <c r="B1341" s="9">
        <f t="shared" si="161"/>
        <v>45701.295891203699</v>
      </c>
      <c r="C1341" s="2">
        <f>Speed!B1341</f>
        <v>13.45</v>
      </c>
      <c r="D1341" s="9">
        <f>Odometer!A1341</f>
        <v>45701.297060185185</v>
      </c>
      <c r="E1341" s="9">
        <f t="shared" si="162"/>
        <v>45701.297060185185</v>
      </c>
      <c r="F1341" s="2">
        <f>Odometer!B1341</f>
        <v>428761465</v>
      </c>
      <c r="G1341" s="2">
        <f t="shared" si="163"/>
        <v>6</v>
      </c>
      <c r="H1341" s="2">
        <f>SUM($G$2:G1341)</f>
        <v>11573</v>
      </c>
      <c r="I1341" s="10">
        <f t="shared" si="164"/>
        <v>45701.295891203707</v>
      </c>
      <c r="J1341" s="10">
        <f t="shared" si="165"/>
        <v>45701.295891203699</v>
      </c>
      <c r="K1341" s="3">
        <f t="shared" si="167"/>
        <v>10568</v>
      </c>
      <c r="L1341">
        <f t="shared" si="160"/>
        <v>13.45</v>
      </c>
      <c r="M1341">
        <f t="shared" si="166"/>
        <v>48.42</v>
      </c>
    </row>
    <row r="1342" spans="1:13" x14ac:dyDescent="0.25">
      <c r="A1342" s="9">
        <f>Speed!A1342</f>
        <v>45701.295891203707</v>
      </c>
      <c r="B1342" s="9">
        <f t="shared" si="161"/>
        <v>45701.295891203699</v>
      </c>
      <c r="C1342" s="2">
        <f>Speed!B1342</f>
        <v>12.955555560000001</v>
      </c>
      <c r="D1342" s="9">
        <f>Odometer!A1342</f>
        <v>45701.297060185185</v>
      </c>
      <c r="E1342" s="9">
        <f t="shared" si="162"/>
        <v>45701.297060185185</v>
      </c>
      <c r="F1342" s="2">
        <f>Odometer!B1342</f>
        <v>428761471</v>
      </c>
      <c r="G1342" s="2">
        <f t="shared" si="163"/>
        <v>5</v>
      </c>
      <c r="H1342" s="2">
        <f>SUM($G$2:G1342)</f>
        <v>11578</v>
      </c>
      <c r="I1342" s="10">
        <f t="shared" si="164"/>
        <v>45701.295891203707</v>
      </c>
      <c r="J1342" s="10">
        <f t="shared" si="165"/>
        <v>45701.295891203699</v>
      </c>
      <c r="K1342" s="3">
        <f t="shared" si="167"/>
        <v>10568</v>
      </c>
      <c r="L1342">
        <f t="shared" si="160"/>
        <v>13.45</v>
      </c>
      <c r="M1342">
        <f t="shared" si="166"/>
        <v>48.42</v>
      </c>
    </row>
    <row r="1343" spans="1:13" x14ac:dyDescent="0.25">
      <c r="A1343" s="9">
        <f>Speed!A1343</f>
        <v>45701.295902777776</v>
      </c>
      <c r="B1343" s="9">
        <f t="shared" si="161"/>
        <v>45701.295902777776</v>
      </c>
      <c r="C1343" s="2">
        <f>Speed!B1343</f>
        <v>12.836111109999999</v>
      </c>
      <c r="D1343" s="9">
        <f>Odometer!A1343</f>
        <v>45701.297083333331</v>
      </c>
      <c r="E1343" s="9">
        <f t="shared" si="162"/>
        <v>45701.297083333331</v>
      </c>
      <c r="F1343" s="2">
        <f>Odometer!B1343</f>
        <v>428761476</v>
      </c>
      <c r="G1343" s="2">
        <f t="shared" si="163"/>
        <v>6</v>
      </c>
      <c r="H1343" s="2">
        <f>SUM($G$2:G1343)</f>
        <v>11584</v>
      </c>
      <c r="I1343" s="10">
        <f t="shared" si="164"/>
        <v>45701.295902777776</v>
      </c>
      <c r="J1343" s="10">
        <f t="shared" si="165"/>
        <v>45701.295902777776</v>
      </c>
      <c r="K1343" s="3">
        <f t="shared" si="167"/>
        <v>10583</v>
      </c>
      <c r="L1343">
        <f t="shared" si="160"/>
        <v>12.836111109999999</v>
      </c>
      <c r="M1343">
        <f t="shared" si="166"/>
        <v>46.209999996000001</v>
      </c>
    </row>
    <row r="1344" spans="1:13" x14ac:dyDescent="0.25">
      <c r="A1344" s="9">
        <f>Speed!A1344</f>
        <v>45701.295914351853</v>
      </c>
      <c r="B1344" s="9">
        <f t="shared" si="161"/>
        <v>45701.295914351853</v>
      </c>
      <c r="C1344" s="2">
        <f>Speed!B1344</f>
        <v>12.79722222</v>
      </c>
      <c r="D1344" s="9">
        <f>Odometer!A1344</f>
        <v>45701.297094907408</v>
      </c>
      <c r="E1344" s="9">
        <f t="shared" si="162"/>
        <v>45701.297094907408</v>
      </c>
      <c r="F1344" s="2">
        <f>Odometer!B1344</f>
        <v>428761482</v>
      </c>
      <c r="G1344" s="2">
        <f t="shared" si="163"/>
        <v>6</v>
      </c>
      <c r="H1344" s="2">
        <f>SUM($G$2:G1344)</f>
        <v>11590</v>
      </c>
      <c r="I1344" s="10">
        <f t="shared" si="164"/>
        <v>45701.295914351853</v>
      </c>
      <c r="J1344" s="10">
        <f t="shared" si="165"/>
        <v>45701.295914351853</v>
      </c>
      <c r="K1344" s="3">
        <f t="shared" si="167"/>
        <v>10595</v>
      </c>
      <c r="L1344">
        <f t="shared" si="160"/>
        <v>12.79722222</v>
      </c>
      <c r="M1344">
        <f t="shared" si="166"/>
        <v>46.069999992</v>
      </c>
    </row>
    <row r="1345" spans="1:13" x14ac:dyDescent="0.25">
      <c r="A1345" s="9">
        <f>Speed!A1345</f>
        <v>45701.295925925922</v>
      </c>
      <c r="B1345" s="9">
        <f t="shared" si="161"/>
        <v>45701.295925925922</v>
      </c>
      <c r="C1345" s="2">
        <f>Speed!B1345</f>
        <v>12.81944444</v>
      </c>
      <c r="D1345" s="9">
        <f>Odometer!A1345</f>
        <v>45701.297106481485</v>
      </c>
      <c r="E1345" s="9">
        <f t="shared" si="162"/>
        <v>45701.297106481477</v>
      </c>
      <c r="F1345" s="2">
        <f>Odometer!B1345</f>
        <v>428761488</v>
      </c>
      <c r="G1345" s="2">
        <f t="shared" si="163"/>
        <v>5</v>
      </c>
      <c r="H1345" s="2">
        <f>SUM($G$2:G1345)</f>
        <v>11595</v>
      </c>
      <c r="I1345" s="10">
        <f t="shared" si="164"/>
        <v>45701.295925925922</v>
      </c>
      <c r="J1345" s="10">
        <f t="shared" si="165"/>
        <v>45701.295925925922</v>
      </c>
      <c r="K1345" s="3">
        <f t="shared" si="167"/>
        <v>10609</v>
      </c>
      <c r="L1345">
        <f t="shared" si="160"/>
        <v>12.81944444</v>
      </c>
      <c r="M1345">
        <f t="shared" si="166"/>
        <v>46.149999983999997</v>
      </c>
    </row>
    <row r="1346" spans="1:13" x14ac:dyDescent="0.25">
      <c r="A1346" s="9">
        <f>Speed!A1346</f>
        <v>45701.295937499999</v>
      </c>
      <c r="B1346" s="9">
        <f t="shared" si="161"/>
        <v>45701.295937499999</v>
      </c>
      <c r="C1346" s="2">
        <f>Speed!B1346</f>
        <v>12.91111111</v>
      </c>
      <c r="D1346" s="9">
        <f>Odometer!A1346</f>
        <v>45701.297118055554</v>
      </c>
      <c r="E1346" s="9">
        <f t="shared" si="162"/>
        <v>45701.297118055554</v>
      </c>
      <c r="F1346" s="2">
        <f>Odometer!B1346</f>
        <v>428761493</v>
      </c>
      <c r="G1346" s="2">
        <f t="shared" si="163"/>
        <v>6</v>
      </c>
      <c r="H1346" s="2">
        <f>SUM($G$2:G1346)</f>
        <v>11601</v>
      </c>
      <c r="I1346" s="10">
        <f t="shared" si="164"/>
        <v>45701.295937499999</v>
      </c>
      <c r="J1346" s="10">
        <f t="shared" si="165"/>
        <v>45701.295937499999</v>
      </c>
      <c r="K1346" s="3">
        <f t="shared" si="167"/>
        <v>10621</v>
      </c>
      <c r="L1346">
        <f t="shared" ref="L1346:L1409" si="168">INDEX($C$2:$C$2000, MATCH(I1346,$A$2:$A$2000,0))</f>
        <v>12.91111111</v>
      </c>
      <c r="M1346">
        <f t="shared" si="166"/>
        <v>46.479999996000004</v>
      </c>
    </row>
    <row r="1347" spans="1:13" x14ac:dyDescent="0.25">
      <c r="A1347" s="9">
        <f>Speed!A1347</f>
        <v>45701.295937499999</v>
      </c>
      <c r="B1347" s="9">
        <f t="shared" ref="B1347:B1410" si="169">MROUND(A1347,"00:00:01")</f>
        <v>45701.295937499999</v>
      </c>
      <c r="C1347" s="2">
        <f>Speed!B1347</f>
        <v>13.002777780000001</v>
      </c>
      <c r="D1347" s="9">
        <f>Odometer!A1347</f>
        <v>45701.297118055554</v>
      </c>
      <c r="E1347" s="9">
        <f t="shared" ref="E1347:E1410" si="170">MROUND(D1347,"00:00:01")</f>
        <v>45701.297118055554</v>
      </c>
      <c r="F1347" s="2">
        <f>Odometer!B1347</f>
        <v>428761499</v>
      </c>
      <c r="G1347" s="2">
        <f t="shared" ref="G1347:G1410" si="171">IF(F1348-F1347&lt;0,0,F1348-F1347)</f>
        <v>6</v>
      </c>
      <c r="H1347" s="2">
        <f>SUM($G$2:G1347)</f>
        <v>11607</v>
      </c>
      <c r="I1347" s="10">
        <f t="shared" ref="I1347:I1410" si="172">A1347</f>
        <v>45701.295937499999</v>
      </c>
      <c r="J1347" s="10">
        <f t="shared" ref="J1347:J1410" si="173">MROUND(I1347,"0:00:01")</f>
        <v>45701.295937499999</v>
      </c>
      <c r="K1347" s="3">
        <f t="shared" si="167"/>
        <v>10621</v>
      </c>
      <c r="L1347">
        <f t="shared" si="168"/>
        <v>12.91111111</v>
      </c>
      <c r="M1347">
        <f t="shared" ref="M1347:M1410" si="174">L1347*3.6</f>
        <v>46.479999996000004</v>
      </c>
    </row>
    <row r="1348" spans="1:13" x14ac:dyDescent="0.25">
      <c r="A1348" s="9">
        <f>Speed!A1348</f>
        <v>45701.295960648145</v>
      </c>
      <c r="B1348" s="9">
        <f t="shared" si="169"/>
        <v>45701.295960648145</v>
      </c>
      <c r="C1348" s="2">
        <f>Speed!B1348</f>
        <v>13.175000000000001</v>
      </c>
      <c r="D1348" s="9">
        <f>Odometer!A1348</f>
        <v>45701.2971412037</v>
      </c>
      <c r="E1348" s="9">
        <f t="shared" si="170"/>
        <v>45701.2971412037</v>
      </c>
      <c r="F1348" s="2">
        <f>Odometer!B1348</f>
        <v>428761505</v>
      </c>
      <c r="G1348" s="2">
        <f t="shared" si="171"/>
        <v>6</v>
      </c>
      <c r="H1348" s="2">
        <f>SUM($G$2:G1348)</f>
        <v>11613</v>
      </c>
      <c r="I1348" s="10">
        <f t="shared" si="172"/>
        <v>45701.295960648145</v>
      </c>
      <c r="J1348" s="10">
        <f t="shared" si="173"/>
        <v>45701.295960648145</v>
      </c>
      <c r="K1348" s="3">
        <f t="shared" ref="K1348:K1411" si="175">IFERROR(INDEX($H$2:$H$2000,MATCH(J1348,$E$2:$E$2000,0)),NA())</f>
        <v>10648</v>
      </c>
      <c r="L1348">
        <f t="shared" si="168"/>
        <v>13.175000000000001</v>
      </c>
      <c r="M1348">
        <f t="shared" si="174"/>
        <v>47.430000000000007</v>
      </c>
    </row>
    <row r="1349" spans="1:13" x14ac:dyDescent="0.25">
      <c r="A1349" s="9">
        <f>Speed!A1349</f>
        <v>45701.295972222222</v>
      </c>
      <c r="B1349" s="9">
        <f t="shared" si="169"/>
        <v>45701.295972222222</v>
      </c>
      <c r="C1349" s="2">
        <f>Speed!B1349</f>
        <v>13.31944444</v>
      </c>
      <c r="D1349" s="9">
        <f>Odometer!A1349</f>
        <v>45701.297152777777</v>
      </c>
      <c r="E1349" s="9">
        <f t="shared" si="170"/>
        <v>45701.297152777777</v>
      </c>
      <c r="F1349" s="2">
        <f>Odometer!B1349</f>
        <v>428761511</v>
      </c>
      <c r="G1349" s="2">
        <f t="shared" si="171"/>
        <v>5</v>
      </c>
      <c r="H1349" s="2">
        <f>SUM($G$2:G1349)</f>
        <v>11618</v>
      </c>
      <c r="I1349" s="10">
        <f t="shared" si="172"/>
        <v>45701.295972222222</v>
      </c>
      <c r="J1349" s="10">
        <f t="shared" si="173"/>
        <v>45701.295972222222</v>
      </c>
      <c r="K1349" s="3">
        <f t="shared" si="175"/>
        <v>10661</v>
      </c>
      <c r="L1349">
        <f t="shared" si="168"/>
        <v>13.31944444</v>
      </c>
      <c r="M1349">
        <f t="shared" si="174"/>
        <v>47.949999984000002</v>
      </c>
    </row>
    <row r="1350" spans="1:13" x14ac:dyDescent="0.25">
      <c r="A1350" s="9">
        <f>Speed!A1350</f>
        <v>45701.295983796299</v>
      </c>
      <c r="B1350" s="9">
        <f t="shared" si="169"/>
        <v>45701.295983796292</v>
      </c>
      <c r="C1350" s="2">
        <f>Speed!B1350</f>
        <v>13.505555559999999</v>
      </c>
      <c r="D1350" s="9">
        <f>Odometer!A1350</f>
        <v>45701.297164351854</v>
      </c>
      <c r="E1350" s="9">
        <f t="shared" si="170"/>
        <v>45701.297164351847</v>
      </c>
      <c r="F1350" s="2">
        <f>Odometer!B1350</f>
        <v>428761516</v>
      </c>
      <c r="G1350" s="2">
        <f t="shared" si="171"/>
        <v>6</v>
      </c>
      <c r="H1350" s="2">
        <f>SUM($G$2:G1350)</f>
        <v>11624</v>
      </c>
      <c r="I1350" s="10">
        <f t="shared" si="172"/>
        <v>45701.295983796299</v>
      </c>
      <c r="J1350" s="10">
        <f t="shared" si="173"/>
        <v>45701.295983796292</v>
      </c>
      <c r="K1350" s="3">
        <f t="shared" si="175"/>
        <v>10674</v>
      </c>
      <c r="L1350">
        <f t="shared" si="168"/>
        <v>13.505555559999999</v>
      </c>
      <c r="M1350">
        <f t="shared" si="174"/>
        <v>48.620000015999999</v>
      </c>
    </row>
    <row r="1351" spans="1:13" x14ac:dyDescent="0.25">
      <c r="A1351" s="9">
        <f>Speed!A1351</f>
        <v>45701.295995370368</v>
      </c>
      <c r="B1351" s="9">
        <f t="shared" si="169"/>
        <v>45701.295995370368</v>
      </c>
      <c r="C1351" s="2">
        <f>Speed!B1351</f>
        <v>13.63888889</v>
      </c>
      <c r="D1351" s="9">
        <f>Odometer!A1351</f>
        <v>45701.297175925924</v>
      </c>
      <c r="E1351" s="9">
        <f t="shared" si="170"/>
        <v>45701.297175925924</v>
      </c>
      <c r="F1351" s="2">
        <f>Odometer!B1351</f>
        <v>428761522</v>
      </c>
      <c r="G1351" s="2">
        <f t="shared" si="171"/>
        <v>6</v>
      </c>
      <c r="H1351" s="2">
        <f>SUM($G$2:G1351)</f>
        <v>11630</v>
      </c>
      <c r="I1351" s="10">
        <f t="shared" si="172"/>
        <v>45701.295995370368</v>
      </c>
      <c r="J1351" s="10">
        <f t="shared" si="173"/>
        <v>45701.295995370368</v>
      </c>
      <c r="K1351" s="3">
        <f t="shared" si="175"/>
        <v>10688</v>
      </c>
      <c r="L1351">
        <f t="shared" si="168"/>
        <v>13.63888889</v>
      </c>
      <c r="M1351">
        <f t="shared" si="174"/>
        <v>49.100000004000002</v>
      </c>
    </row>
    <row r="1352" spans="1:13" x14ac:dyDescent="0.25">
      <c r="A1352" s="9">
        <f>Speed!A1352</f>
        <v>45701.296006944445</v>
      </c>
      <c r="B1352" s="9">
        <f t="shared" si="169"/>
        <v>45701.296006944445</v>
      </c>
      <c r="C1352" s="2">
        <f>Speed!B1352</f>
        <v>13.72777778</v>
      </c>
      <c r="D1352" s="9">
        <f>Odometer!A1352</f>
        <v>45701.2971875</v>
      </c>
      <c r="E1352" s="9">
        <f t="shared" si="170"/>
        <v>45701.2971875</v>
      </c>
      <c r="F1352" s="2">
        <f>Odometer!B1352</f>
        <v>428761528</v>
      </c>
      <c r="G1352" s="2">
        <f t="shared" si="171"/>
        <v>6</v>
      </c>
      <c r="H1352" s="2">
        <f>SUM($G$2:G1352)</f>
        <v>11636</v>
      </c>
      <c r="I1352" s="10">
        <f t="shared" si="172"/>
        <v>45701.296006944445</v>
      </c>
      <c r="J1352" s="10">
        <f t="shared" si="173"/>
        <v>45701.296006944445</v>
      </c>
      <c r="K1352" s="3">
        <f t="shared" si="175"/>
        <v>10702</v>
      </c>
      <c r="L1352">
        <f t="shared" si="168"/>
        <v>13.72777778</v>
      </c>
      <c r="M1352">
        <f t="shared" si="174"/>
        <v>49.420000008000002</v>
      </c>
    </row>
    <row r="1353" spans="1:13" x14ac:dyDescent="0.25">
      <c r="A1353" s="9">
        <f>Speed!A1353</f>
        <v>45701.296006944445</v>
      </c>
      <c r="B1353" s="9">
        <f t="shared" si="169"/>
        <v>45701.296006944445</v>
      </c>
      <c r="C1353" s="2">
        <f>Speed!B1353</f>
        <v>13.84166667</v>
      </c>
      <c r="D1353" s="9">
        <f>Odometer!A1353</f>
        <v>45701.297199074077</v>
      </c>
      <c r="E1353" s="9">
        <f t="shared" si="170"/>
        <v>45701.29719907407</v>
      </c>
      <c r="F1353" s="2">
        <f>Odometer!B1353</f>
        <v>428761534</v>
      </c>
      <c r="G1353" s="2">
        <f t="shared" si="171"/>
        <v>5</v>
      </c>
      <c r="H1353" s="2">
        <f>SUM($G$2:G1353)</f>
        <v>11641</v>
      </c>
      <c r="I1353" s="10">
        <f t="shared" si="172"/>
        <v>45701.296006944445</v>
      </c>
      <c r="J1353" s="10">
        <f t="shared" si="173"/>
        <v>45701.296006944445</v>
      </c>
      <c r="K1353" s="3">
        <f t="shared" si="175"/>
        <v>10702</v>
      </c>
      <c r="L1353">
        <f t="shared" si="168"/>
        <v>13.72777778</v>
      </c>
      <c r="M1353">
        <f t="shared" si="174"/>
        <v>49.420000008000002</v>
      </c>
    </row>
    <row r="1354" spans="1:13" x14ac:dyDescent="0.25">
      <c r="A1354" s="9">
        <f>Speed!A1354</f>
        <v>45701.296018518522</v>
      </c>
      <c r="B1354" s="9">
        <f t="shared" si="169"/>
        <v>45701.296018518515</v>
      </c>
      <c r="C1354" s="2">
        <f>Speed!B1354</f>
        <v>13.902777779999999</v>
      </c>
      <c r="D1354" s="9">
        <f>Odometer!A1354</f>
        <v>45701.297210648147</v>
      </c>
      <c r="E1354" s="9">
        <f t="shared" si="170"/>
        <v>45701.297210648147</v>
      </c>
      <c r="F1354" s="2">
        <f>Odometer!B1354</f>
        <v>428761539</v>
      </c>
      <c r="G1354" s="2">
        <f t="shared" si="171"/>
        <v>5</v>
      </c>
      <c r="H1354" s="2">
        <f>SUM($G$2:G1354)</f>
        <v>11646</v>
      </c>
      <c r="I1354" s="10">
        <f t="shared" si="172"/>
        <v>45701.296018518522</v>
      </c>
      <c r="J1354" s="10">
        <f t="shared" si="173"/>
        <v>45701.296018518515</v>
      </c>
      <c r="K1354" s="3">
        <f t="shared" si="175"/>
        <v>10716</v>
      </c>
      <c r="L1354">
        <f t="shared" si="168"/>
        <v>13.902777779999999</v>
      </c>
      <c r="M1354">
        <f t="shared" si="174"/>
        <v>50.050000007999998</v>
      </c>
    </row>
    <row r="1355" spans="1:13" x14ac:dyDescent="0.25">
      <c r="A1355" s="9">
        <f>Speed!A1355</f>
        <v>45701.296030092592</v>
      </c>
      <c r="B1355" s="9">
        <f t="shared" si="169"/>
        <v>45701.296030092592</v>
      </c>
      <c r="C1355" s="2">
        <f>Speed!B1355</f>
        <v>14.51388889</v>
      </c>
      <c r="D1355" s="9">
        <f>Odometer!A1355</f>
        <v>45701.297222222223</v>
      </c>
      <c r="E1355" s="9">
        <f t="shared" si="170"/>
        <v>45701.297222222223</v>
      </c>
      <c r="F1355" s="2">
        <f>Odometer!B1355</f>
        <v>428761544</v>
      </c>
      <c r="G1355" s="2">
        <f t="shared" si="171"/>
        <v>6</v>
      </c>
      <c r="H1355" s="2">
        <f>SUM($G$2:G1355)</f>
        <v>11652</v>
      </c>
      <c r="I1355" s="10">
        <f t="shared" si="172"/>
        <v>45701.296030092592</v>
      </c>
      <c r="J1355" s="10">
        <f t="shared" si="173"/>
        <v>45701.296030092592</v>
      </c>
      <c r="K1355" s="3">
        <f t="shared" si="175"/>
        <v>10732</v>
      </c>
      <c r="L1355">
        <f t="shared" si="168"/>
        <v>14.51388889</v>
      </c>
      <c r="M1355">
        <f t="shared" si="174"/>
        <v>52.250000004</v>
      </c>
    </row>
    <row r="1356" spans="1:13" x14ac:dyDescent="0.25">
      <c r="A1356" s="9">
        <f>Speed!A1356</f>
        <v>45701.296041666668</v>
      </c>
      <c r="B1356" s="9">
        <f t="shared" si="169"/>
        <v>45701.296041666661</v>
      </c>
      <c r="C1356" s="2">
        <f>Speed!B1356</f>
        <v>15.711111109999999</v>
      </c>
      <c r="D1356" s="9">
        <f>Odometer!A1356</f>
        <v>45701.297233796293</v>
      </c>
      <c r="E1356" s="9">
        <f t="shared" si="170"/>
        <v>45701.297233796293</v>
      </c>
      <c r="F1356" s="2">
        <f>Odometer!B1356</f>
        <v>428761550</v>
      </c>
      <c r="G1356" s="2">
        <f t="shared" si="171"/>
        <v>5</v>
      </c>
      <c r="H1356" s="2">
        <f>SUM($G$2:G1356)</f>
        <v>11657</v>
      </c>
      <c r="I1356" s="10">
        <f t="shared" si="172"/>
        <v>45701.296041666668</v>
      </c>
      <c r="J1356" s="10">
        <f t="shared" si="173"/>
        <v>45701.296041666661</v>
      </c>
      <c r="K1356" s="3">
        <f t="shared" si="175"/>
        <v>10747</v>
      </c>
      <c r="L1356">
        <f t="shared" si="168"/>
        <v>15.711111109999999</v>
      </c>
      <c r="M1356">
        <f t="shared" si="174"/>
        <v>56.559999995999995</v>
      </c>
    </row>
    <row r="1357" spans="1:13" x14ac:dyDescent="0.25">
      <c r="A1357" s="9">
        <f>Speed!A1357</f>
        <v>45701.296053240738</v>
      </c>
      <c r="B1357" s="9">
        <f t="shared" si="169"/>
        <v>45701.296053240738</v>
      </c>
      <c r="C1357" s="2">
        <f>Speed!B1357</f>
        <v>16.672222219999998</v>
      </c>
      <c r="D1357" s="9">
        <f>Odometer!A1357</f>
        <v>45701.297233796293</v>
      </c>
      <c r="E1357" s="9">
        <f t="shared" si="170"/>
        <v>45701.297233796293</v>
      </c>
      <c r="F1357" s="2">
        <f>Odometer!B1357</f>
        <v>428761555</v>
      </c>
      <c r="G1357" s="2">
        <f t="shared" si="171"/>
        <v>5</v>
      </c>
      <c r="H1357" s="2">
        <f>SUM($G$2:G1357)</f>
        <v>11662</v>
      </c>
      <c r="I1357" s="10">
        <f t="shared" si="172"/>
        <v>45701.296053240738</v>
      </c>
      <c r="J1357" s="10">
        <f t="shared" si="173"/>
        <v>45701.296053240738</v>
      </c>
      <c r="K1357" s="3">
        <f t="shared" si="175"/>
        <v>10764</v>
      </c>
      <c r="L1357">
        <f t="shared" si="168"/>
        <v>16.672222219999998</v>
      </c>
      <c r="M1357">
        <f t="shared" si="174"/>
        <v>60.019999991999995</v>
      </c>
    </row>
    <row r="1358" spans="1:13" x14ac:dyDescent="0.25">
      <c r="A1358" s="9">
        <f>Speed!A1358</f>
        <v>45701.296064814815</v>
      </c>
      <c r="B1358" s="9">
        <f t="shared" si="169"/>
        <v>45701.296064814815</v>
      </c>
      <c r="C1358" s="2">
        <f>Speed!B1358</f>
        <v>17.591666669999999</v>
      </c>
      <c r="D1358" s="9">
        <f>Odometer!A1358</f>
        <v>45701.297256944446</v>
      </c>
      <c r="E1358" s="9">
        <f t="shared" si="170"/>
        <v>45701.297256944439</v>
      </c>
      <c r="F1358" s="2">
        <f>Odometer!B1358</f>
        <v>428761560</v>
      </c>
      <c r="G1358" s="2">
        <f t="shared" si="171"/>
        <v>5</v>
      </c>
      <c r="H1358" s="2">
        <f>SUM($G$2:G1358)</f>
        <v>11667</v>
      </c>
      <c r="I1358" s="10">
        <f t="shared" si="172"/>
        <v>45701.296064814815</v>
      </c>
      <c r="J1358" s="10">
        <f t="shared" si="173"/>
        <v>45701.296064814815</v>
      </c>
      <c r="K1358" s="3">
        <f t="shared" si="175"/>
        <v>10765</v>
      </c>
      <c r="L1358">
        <f t="shared" si="168"/>
        <v>17.591666669999999</v>
      </c>
      <c r="M1358">
        <f t="shared" si="174"/>
        <v>63.330000011999999</v>
      </c>
    </row>
    <row r="1359" spans="1:13" x14ac:dyDescent="0.25">
      <c r="A1359" s="9">
        <f>Speed!A1359</f>
        <v>45701.296064814815</v>
      </c>
      <c r="B1359" s="9">
        <f t="shared" si="169"/>
        <v>45701.296064814815</v>
      </c>
      <c r="C1359" s="2">
        <f>Speed!B1359</f>
        <v>17.625</v>
      </c>
      <c r="D1359" s="9">
        <f>Odometer!A1359</f>
        <v>45701.297268518516</v>
      </c>
      <c r="E1359" s="9">
        <f t="shared" si="170"/>
        <v>45701.297268518516</v>
      </c>
      <c r="F1359" s="2">
        <f>Odometer!B1359</f>
        <v>428761565</v>
      </c>
      <c r="G1359" s="2">
        <f t="shared" si="171"/>
        <v>5</v>
      </c>
      <c r="H1359" s="2">
        <f>SUM($G$2:G1359)</f>
        <v>11672</v>
      </c>
      <c r="I1359" s="10">
        <f t="shared" si="172"/>
        <v>45701.296064814815</v>
      </c>
      <c r="J1359" s="10">
        <f t="shared" si="173"/>
        <v>45701.296064814815</v>
      </c>
      <c r="K1359" s="3">
        <f t="shared" si="175"/>
        <v>10765</v>
      </c>
      <c r="L1359">
        <f t="shared" si="168"/>
        <v>17.591666669999999</v>
      </c>
      <c r="M1359">
        <f t="shared" si="174"/>
        <v>63.330000011999999</v>
      </c>
    </row>
    <row r="1360" spans="1:13" x14ac:dyDescent="0.25">
      <c r="A1360" s="9">
        <f>Speed!A1360</f>
        <v>45701.296064814815</v>
      </c>
      <c r="B1360" s="9">
        <f t="shared" si="169"/>
        <v>45701.296064814815</v>
      </c>
      <c r="C1360" s="2">
        <f>Speed!B1360</f>
        <v>17.89722222</v>
      </c>
      <c r="D1360" s="9">
        <f>Odometer!A1360</f>
        <v>45701.297280092593</v>
      </c>
      <c r="E1360" s="9">
        <f t="shared" si="170"/>
        <v>45701.297280092593</v>
      </c>
      <c r="F1360" s="2">
        <f>Odometer!B1360</f>
        <v>428761570</v>
      </c>
      <c r="G1360" s="2">
        <f t="shared" si="171"/>
        <v>6</v>
      </c>
      <c r="H1360" s="2">
        <f>SUM($G$2:G1360)</f>
        <v>11678</v>
      </c>
      <c r="I1360" s="10">
        <f t="shared" si="172"/>
        <v>45701.296064814815</v>
      </c>
      <c r="J1360" s="10">
        <f t="shared" si="173"/>
        <v>45701.296064814815</v>
      </c>
      <c r="K1360" s="3">
        <f t="shared" si="175"/>
        <v>10765</v>
      </c>
      <c r="L1360">
        <f t="shared" si="168"/>
        <v>17.591666669999999</v>
      </c>
      <c r="M1360">
        <f t="shared" si="174"/>
        <v>63.330000011999999</v>
      </c>
    </row>
    <row r="1361" spans="1:13" x14ac:dyDescent="0.25">
      <c r="A1361" s="9">
        <f>Speed!A1361</f>
        <v>45701.296064814815</v>
      </c>
      <c r="B1361" s="9">
        <f t="shared" si="169"/>
        <v>45701.296064814815</v>
      </c>
      <c r="C1361" s="2">
        <f>Speed!B1361</f>
        <v>18.07222222</v>
      </c>
      <c r="D1361" s="9">
        <f>Odometer!A1361</f>
        <v>45701.297291666669</v>
      </c>
      <c r="E1361" s="9">
        <f t="shared" si="170"/>
        <v>45701.297291666662</v>
      </c>
      <c r="F1361" s="2">
        <f>Odometer!B1361</f>
        <v>428761576</v>
      </c>
      <c r="G1361" s="2">
        <f t="shared" si="171"/>
        <v>4</v>
      </c>
      <c r="H1361" s="2">
        <f>SUM($G$2:G1361)</f>
        <v>11682</v>
      </c>
      <c r="I1361" s="10">
        <f t="shared" si="172"/>
        <v>45701.296064814815</v>
      </c>
      <c r="J1361" s="10">
        <f t="shared" si="173"/>
        <v>45701.296064814815</v>
      </c>
      <c r="K1361" s="3">
        <f t="shared" si="175"/>
        <v>10765</v>
      </c>
      <c r="L1361">
        <f t="shared" si="168"/>
        <v>17.591666669999999</v>
      </c>
      <c r="M1361">
        <f t="shared" si="174"/>
        <v>63.330000011999999</v>
      </c>
    </row>
    <row r="1362" spans="1:13" x14ac:dyDescent="0.25">
      <c r="A1362" s="9">
        <f>Speed!A1362</f>
        <v>45701.296087962961</v>
      </c>
      <c r="B1362" s="9">
        <f t="shared" si="169"/>
        <v>45701.296087962961</v>
      </c>
      <c r="C1362" s="2">
        <f>Speed!B1362</f>
        <v>18.25</v>
      </c>
      <c r="D1362" s="9">
        <f>Odometer!A1362</f>
        <v>45701.297303240739</v>
      </c>
      <c r="E1362" s="9">
        <f t="shared" si="170"/>
        <v>45701.297303240739</v>
      </c>
      <c r="F1362" s="2">
        <f>Odometer!B1362</f>
        <v>428761580</v>
      </c>
      <c r="G1362" s="2">
        <f t="shared" si="171"/>
        <v>6</v>
      </c>
      <c r="H1362" s="2">
        <f>SUM($G$2:G1362)</f>
        <v>11688</v>
      </c>
      <c r="I1362" s="10">
        <f t="shared" si="172"/>
        <v>45701.296087962961</v>
      </c>
      <c r="J1362" s="10">
        <f t="shared" si="173"/>
        <v>45701.296087962961</v>
      </c>
      <c r="K1362" s="3">
        <f t="shared" si="175"/>
        <v>10810</v>
      </c>
      <c r="L1362">
        <f t="shared" si="168"/>
        <v>18.25</v>
      </c>
      <c r="M1362">
        <f t="shared" si="174"/>
        <v>65.7</v>
      </c>
    </row>
    <row r="1363" spans="1:13" x14ac:dyDescent="0.25">
      <c r="A1363" s="9">
        <f>Speed!A1363</f>
        <v>45701.296087962961</v>
      </c>
      <c r="B1363" s="9">
        <f t="shared" si="169"/>
        <v>45701.296087962961</v>
      </c>
      <c r="C1363" s="2">
        <f>Speed!B1363</f>
        <v>18.330555560000001</v>
      </c>
      <c r="D1363" s="9">
        <f>Odometer!A1363</f>
        <v>45701.297314814816</v>
      </c>
      <c r="E1363" s="9">
        <f t="shared" si="170"/>
        <v>45701.297314814816</v>
      </c>
      <c r="F1363" s="2">
        <f>Odometer!B1363</f>
        <v>428761586</v>
      </c>
      <c r="G1363" s="2">
        <f t="shared" si="171"/>
        <v>5</v>
      </c>
      <c r="H1363" s="2">
        <f>SUM($G$2:G1363)</f>
        <v>11693</v>
      </c>
      <c r="I1363" s="10">
        <f t="shared" si="172"/>
        <v>45701.296087962961</v>
      </c>
      <c r="J1363" s="10">
        <f t="shared" si="173"/>
        <v>45701.296087962961</v>
      </c>
      <c r="K1363" s="3">
        <f t="shared" si="175"/>
        <v>10810</v>
      </c>
      <c r="L1363">
        <f t="shared" si="168"/>
        <v>18.25</v>
      </c>
      <c r="M1363">
        <f t="shared" si="174"/>
        <v>65.7</v>
      </c>
    </row>
    <row r="1364" spans="1:13" x14ac:dyDescent="0.25">
      <c r="A1364" s="9">
        <f>Speed!A1364</f>
        <v>45701.296087962961</v>
      </c>
      <c r="B1364" s="9">
        <f t="shared" si="169"/>
        <v>45701.296087962961</v>
      </c>
      <c r="C1364" s="2">
        <f>Speed!B1364</f>
        <v>18.386111110000002</v>
      </c>
      <c r="D1364" s="9">
        <f>Odometer!A1364</f>
        <v>45701.297326388885</v>
      </c>
      <c r="E1364" s="9">
        <f t="shared" si="170"/>
        <v>45701.297326388885</v>
      </c>
      <c r="F1364" s="2">
        <f>Odometer!B1364</f>
        <v>428761591</v>
      </c>
      <c r="G1364" s="2">
        <f t="shared" si="171"/>
        <v>5</v>
      </c>
      <c r="H1364" s="2">
        <f>SUM($G$2:G1364)</f>
        <v>11698</v>
      </c>
      <c r="I1364" s="10">
        <f t="shared" si="172"/>
        <v>45701.296087962961</v>
      </c>
      <c r="J1364" s="10">
        <f t="shared" si="173"/>
        <v>45701.296087962961</v>
      </c>
      <c r="K1364" s="3">
        <f t="shared" si="175"/>
        <v>10810</v>
      </c>
      <c r="L1364">
        <f t="shared" si="168"/>
        <v>18.25</v>
      </c>
      <c r="M1364">
        <f t="shared" si="174"/>
        <v>65.7</v>
      </c>
    </row>
    <row r="1365" spans="1:13" x14ac:dyDescent="0.25">
      <c r="A1365" s="9">
        <f>Speed!A1365</f>
        <v>45701.296099537038</v>
      </c>
      <c r="B1365" s="9">
        <f t="shared" si="169"/>
        <v>45701.296099537038</v>
      </c>
      <c r="C1365" s="2">
        <f>Speed!B1365</f>
        <v>18.416666670000001</v>
      </c>
      <c r="D1365" s="9">
        <f>Odometer!A1365</f>
        <v>45701.297337962962</v>
      </c>
      <c r="E1365" s="9">
        <f t="shared" si="170"/>
        <v>45701.297337962962</v>
      </c>
      <c r="F1365" s="2">
        <f>Odometer!B1365</f>
        <v>428761596</v>
      </c>
      <c r="G1365" s="2">
        <f t="shared" si="171"/>
        <v>5</v>
      </c>
      <c r="H1365" s="2">
        <f>SUM($G$2:G1365)</f>
        <v>11703</v>
      </c>
      <c r="I1365" s="10">
        <f t="shared" si="172"/>
        <v>45701.296099537038</v>
      </c>
      <c r="J1365" s="10">
        <f t="shared" si="173"/>
        <v>45701.296099537038</v>
      </c>
      <c r="K1365" s="3">
        <f t="shared" si="175"/>
        <v>10838</v>
      </c>
      <c r="L1365">
        <f t="shared" si="168"/>
        <v>18.416666670000001</v>
      </c>
      <c r="M1365">
        <f t="shared" si="174"/>
        <v>66.300000012000012</v>
      </c>
    </row>
    <row r="1366" spans="1:13" x14ac:dyDescent="0.25">
      <c r="A1366" s="9">
        <f>Speed!A1366</f>
        <v>45701.296111111114</v>
      </c>
      <c r="B1366" s="9">
        <f t="shared" si="169"/>
        <v>45701.296111111107</v>
      </c>
      <c r="C1366" s="2">
        <f>Speed!B1366</f>
        <v>18.19722222</v>
      </c>
      <c r="D1366" s="9">
        <f>Odometer!A1366</f>
        <v>45701.297349537039</v>
      </c>
      <c r="E1366" s="9">
        <f t="shared" si="170"/>
        <v>45701.297349537032</v>
      </c>
      <c r="F1366" s="2">
        <f>Odometer!B1366</f>
        <v>428761601</v>
      </c>
      <c r="G1366" s="2">
        <f t="shared" si="171"/>
        <v>2</v>
      </c>
      <c r="H1366" s="2">
        <f>SUM($G$2:G1366)</f>
        <v>11705</v>
      </c>
      <c r="I1366" s="10">
        <f t="shared" si="172"/>
        <v>45701.296111111114</v>
      </c>
      <c r="J1366" s="10">
        <f t="shared" si="173"/>
        <v>45701.296111111107</v>
      </c>
      <c r="K1366" s="3">
        <f t="shared" si="175"/>
        <v>10855</v>
      </c>
      <c r="L1366">
        <f t="shared" si="168"/>
        <v>18.19722222</v>
      </c>
      <c r="M1366">
        <f t="shared" si="174"/>
        <v>65.509999992000004</v>
      </c>
    </row>
    <row r="1367" spans="1:13" x14ac:dyDescent="0.25">
      <c r="A1367" s="9">
        <f>Speed!A1367</f>
        <v>45701.296122685184</v>
      </c>
      <c r="B1367" s="9">
        <f t="shared" si="169"/>
        <v>45701.296122685184</v>
      </c>
      <c r="C1367" s="2">
        <f>Speed!B1367</f>
        <v>17.94166667</v>
      </c>
      <c r="D1367" s="9">
        <f>Odometer!A1367</f>
        <v>45701.297349537039</v>
      </c>
      <c r="E1367" s="9">
        <f t="shared" si="170"/>
        <v>45701.297349537032</v>
      </c>
      <c r="F1367" s="2">
        <f>Odometer!B1367</f>
        <v>428761603</v>
      </c>
      <c r="G1367" s="2">
        <f t="shared" si="171"/>
        <v>2</v>
      </c>
      <c r="H1367" s="2">
        <f>SUM($G$2:G1367)</f>
        <v>11707</v>
      </c>
      <c r="I1367" s="10">
        <f t="shared" si="172"/>
        <v>45701.296122685184</v>
      </c>
      <c r="J1367" s="10">
        <f t="shared" si="173"/>
        <v>45701.296122685184</v>
      </c>
      <c r="K1367" s="3">
        <f t="shared" si="175"/>
        <v>10872</v>
      </c>
      <c r="L1367">
        <f t="shared" si="168"/>
        <v>17.94166667</v>
      </c>
      <c r="M1367">
        <f t="shared" si="174"/>
        <v>64.590000012000004</v>
      </c>
    </row>
    <row r="1368" spans="1:13" x14ac:dyDescent="0.25">
      <c r="A1368" s="9">
        <f>Speed!A1368</f>
        <v>45701.296134259261</v>
      </c>
      <c r="B1368" s="9">
        <f t="shared" si="169"/>
        <v>45701.296134259253</v>
      </c>
      <c r="C1368" s="2">
        <f>Speed!B1368</f>
        <v>17.694444440000002</v>
      </c>
      <c r="D1368" s="9">
        <f>Odometer!A1368</f>
        <v>45701.297361111108</v>
      </c>
      <c r="E1368" s="9">
        <f t="shared" si="170"/>
        <v>45701.297361111108</v>
      </c>
      <c r="F1368" s="2">
        <f>Odometer!B1368</f>
        <v>428761605</v>
      </c>
      <c r="G1368" s="2">
        <f t="shared" si="171"/>
        <v>1</v>
      </c>
      <c r="H1368" s="2">
        <f>SUM($G$2:G1368)</f>
        <v>11708</v>
      </c>
      <c r="I1368" s="10">
        <f t="shared" si="172"/>
        <v>45701.296134259261</v>
      </c>
      <c r="J1368" s="10">
        <f t="shared" si="173"/>
        <v>45701.296134259253</v>
      </c>
      <c r="K1368" s="3">
        <f t="shared" si="175"/>
        <v>10890</v>
      </c>
      <c r="L1368">
        <f t="shared" si="168"/>
        <v>17.694444440000002</v>
      </c>
      <c r="M1368">
        <f t="shared" si="174"/>
        <v>63.699999984000009</v>
      </c>
    </row>
    <row r="1369" spans="1:13" x14ac:dyDescent="0.25">
      <c r="A1369" s="9">
        <f>Speed!A1369</f>
        <v>45701.296134259261</v>
      </c>
      <c r="B1369" s="9">
        <f t="shared" si="169"/>
        <v>45701.296134259253</v>
      </c>
      <c r="C1369" s="2">
        <f>Speed!B1369</f>
        <v>17.341666669999999</v>
      </c>
      <c r="D1369" s="9">
        <f>Odometer!A1369</f>
        <v>45701.297361111108</v>
      </c>
      <c r="E1369" s="9">
        <f t="shared" si="170"/>
        <v>45701.297361111108</v>
      </c>
      <c r="F1369" s="2">
        <f>Odometer!B1369</f>
        <v>428761606</v>
      </c>
      <c r="G1369" s="2">
        <f t="shared" si="171"/>
        <v>4</v>
      </c>
      <c r="H1369" s="2">
        <f>SUM($G$2:G1369)</f>
        <v>11712</v>
      </c>
      <c r="I1369" s="10">
        <f t="shared" si="172"/>
        <v>45701.296134259261</v>
      </c>
      <c r="J1369" s="10">
        <f t="shared" si="173"/>
        <v>45701.296134259253</v>
      </c>
      <c r="K1369" s="3">
        <f t="shared" si="175"/>
        <v>10890</v>
      </c>
      <c r="L1369">
        <f t="shared" si="168"/>
        <v>17.694444440000002</v>
      </c>
      <c r="M1369">
        <f t="shared" si="174"/>
        <v>63.699999984000009</v>
      </c>
    </row>
    <row r="1370" spans="1:13" x14ac:dyDescent="0.25">
      <c r="A1370" s="9">
        <f>Speed!A1370</f>
        <v>45701.296157407407</v>
      </c>
      <c r="B1370" s="9">
        <f t="shared" si="169"/>
        <v>45701.296157407407</v>
      </c>
      <c r="C1370" s="2">
        <f>Speed!B1370</f>
        <v>17.06666667</v>
      </c>
      <c r="D1370" s="9">
        <f>Odometer!A1370</f>
        <v>45701.297372685185</v>
      </c>
      <c r="E1370" s="9">
        <f t="shared" si="170"/>
        <v>45701.297372685185</v>
      </c>
      <c r="F1370" s="2">
        <f>Odometer!B1370</f>
        <v>428761610</v>
      </c>
      <c r="G1370" s="2">
        <f t="shared" si="171"/>
        <v>4</v>
      </c>
      <c r="H1370" s="2">
        <f>SUM($G$2:G1370)</f>
        <v>11716</v>
      </c>
      <c r="I1370" s="10">
        <f t="shared" si="172"/>
        <v>45701.296157407407</v>
      </c>
      <c r="J1370" s="10">
        <f t="shared" si="173"/>
        <v>45701.296157407407</v>
      </c>
      <c r="K1370" s="3">
        <f t="shared" si="175"/>
        <v>10918</v>
      </c>
      <c r="L1370">
        <f t="shared" si="168"/>
        <v>17.06666667</v>
      </c>
      <c r="M1370">
        <f t="shared" si="174"/>
        <v>61.440000011999999</v>
      </c>
    </row>
    <row r="1371" spans="1:13" x14ac:dyDescent="0.25">
      <c r="A1371" s="9">
        <f>Speed!A1371</f>
        <v>45701.296168981484</v>
      </c>
      <c r="B1371" s="9">
        <f t="shared" si="169"/>
        <v>45701.296168981477</v>
      </c>
      <c r="C1371" s="2">
        <f>Speed!B1371</f>
        <v>16.880555560000001</v>
      </c>
      <c r="D1371" s="9">
        <f>Odometer!A1371</f>
        <v>45701.297384259262</v>
      </c>
      <c r="E1371" s="9">
        <f t="shared" si="170"/>
        <v>45701.297384259255</v>
      </c>
      <c r="F1371" s="2">
        <f>Odometer!B1371</f>
        <v>428761614</v>
      </c>
      <c r="G1371" s="2">
        <f t="shared" si="171"/>
        <v>4</v>
      </c>
      <c r="H1371" s="2">
        <f>SUM($G$2:G1371)</f>
        <v>11720</v>
      </c>
      <c r="I1371" s="10">
        <f t="shared" si="172"/>
        <v>45701.296168981484</v>
      </c>
      <c r="J1371" s="10">
        <f t="shared" si="173"/>
        <v>45701.296168981477</v>
      </c>
      <c r="K1371" s="3">
        <f t="shared" si="175"/>
        <v>10925</v>
      </c>
      <c r="L1371">
        <f t="shared" si="168"/>
        <v>16.880555560000001</v>
      </c>
      <c r="M1371">
        <f t="shared" si="174"/>
        <v>60.770000016000004</v>
      </c>
    </row>
    <row r="1372" spans="1:13" x14ac:dyDescent="0.25">
      <c r="A1372" s="9">
        <f>Speed!A1372</f>
        <v>45701.296168981484</v>
      </c>
      <c r="B1372" s="9">
        <f t="shared" si="169"/>
        <v>45701.296168981477</v>
      </c>
      <c r="C1372" s="2">
        <f>Speed!B1372</f>
        <v>16.7</v>
      </c>
      <c r="D1372" s="9">
        <f>Odometer!A1372</f>
        <v>45701.297384259262</v>
      </c>
      <c r="E1372" s="9">
        <f t="shared" si="170"/>
        <v>45701.297384259255</v>
      </c>
      <c r="F1372" s="2">
        <f>Odometer!B1372</f>
        <v>428761618</v>
      </c>
      <c r="G1372" s="2">
        <f t="shared" si="171"/>
        <v>1</v>
      </c>
      <c r="H1372" s="2">
        <f>SUM($G$2:G1372)</f>
        <v>11721</v>
      </c>
      <c r="I1372" s="10">
        <f t="shared" si="172"/>
        <v>45701.296168981484</v>
      </c>
      <c r="J1372" s="10">
        <f t="shared" si="173"/>
        <v>45701.296168981477</v>
      </c>
      <c r="K1372" s="3">
        <f t="shared" si="175"/>
        <v>10925</v>
      </c>
      <c r="L1372">
        <f t="shared" si="168"/>
        <v>16.880555560000001</v>
      </c>
      <c r="M1372">
        <f t="shared" si="174"/>
        <v>60.770000016000004</v>
      </c>
    </row>
    <row r="1373" spans="1:13" x14ac:dyDescent="0.25">
      <c r="A1373" s="9">
        <f>Speed!A1373</f>
        <v>45701.296168981484</v>
      </c>
      <c r="B1373" s="9">
        <f t="shared" si="169"/>
        <v>45701.296168981477</v>
      </c>
      <c r="C1373" s="2">
        <f>Speed!B1373</f>
        <v>16.158333330000001</v>
      </c>
      <c r="D1373" s="9">
        <f>Odometer!A1373</f>
        <v>45701.297395833331</v>
      </c>
      <c r="E1373" s="9">
        <f t="shared" si="170"/>
        <v>45701.297395833331</v>
      </c>
      <c r="F1373" s="2">
        <f>Odometer!B1373</f>
        <v>428761619</v>
      </c>
      <c r="G1373" s="2">
        <f t="shared" si="171"/>
        <v>5</v>
      </c>
      <c r="H1373" s="2">
        <f>SUM($G$2:G1373)</f>
        <v>11726</v>
      </c>
      <c r="I1373" s="10">
        <f t="shared" si="172"/>
        <v>45701.296168981484</v>
      </c>
      <c r="J1373" s="10">
        <f t="shared" si="173"/>
        <v>45701.296168981477</v>
      </c>
      <c r="K1373" s="3">
        <f t="shared" si="175"/>
        <v>10925</v>
      </c>
      <c r="L1373">
        <f t="shared" si="168"/>
        <v>16.880555560000001</v>
      </c>
      <c r="M1373">
        <f t="shared" si="174"/>
        <v>60.770000016000004</v>
      </c>
    </row>
    <row r="1374" spans="1:13" x14ac:dyDescent="0.25">
      <c r="A1374" s="9">
        <f>Speed!A1374</f>
        <v>45701.29619212963</v>
      </c>
      <c r="B1374" s="9">
        <f t="shared" si="169"/>
        <v>45701.29619212963</v>
      </c>
      <c r="C1374" s="2">
        <f>Speed!B1374</f>
        <v>15.505555559999999</v>
      </c>
      <c r="D1374" s="9">
        <f>Odometer!A1374</f>
        <v>45701.297407407408</v>
      </c>
      <c r="E1374" s="9">
        <f t="shared" si="170"/>
        <v>45701.297407407408</v>
      </c>
      <c r="F1374" s="2">
        <f>Odometer!B1374</f>
        <v>428761624</v>
      </c>
      <c r="G1374" s="2">
        <f t="shared" si="171"/>
        <v>5</v>
      </c>
      <c r="H1374" s="2">
        <f>SUM($G$2:G1374)</f>
        <v>11731</v>
      </c>
      <c r="I1374" s="10">
        <f t="shared" si="172"/>
        <v>45701.29619212963</v>
      </c>
      <c r="J1374" s="10">
        <f t="shared" si="173"/>
        <v>45701.29619212963</v>
      </c>
      <c r="K1374" s="3">
        <f t="shared" si="175"/>
        <v>10974</v>
      </c>
      <c r="L1374">
        <f t="shared" si="168"/>
        <v>15.505555559999999</v>
      </c>
      <c r="M1374">
        <f t="shared" si="174"/>
        <v>55.820000016000002</v>
      </c>
    </row>
    <row r="1375" spans="1:13" x14ac:dyDescent="0.25">
      <c r="A1375" s="9">
        <f>Speed!A1375</f>
        <v>45701.296203703707</v>
      </c>
      <c r="B1375" s="9">
        <f t="shared" si="169"/>
        <v>45701.2962037037</v>
      </c>
      <c r="C1375" s="2">
        <f>Speed!B1375</f>
        <v>14.71388889</v>
      </c>
      <c r="D1375" s="9">
        <f>Odometer!A1375</f>
        <v>45701.297407407408</v>
      </c>
      <c r="E1375" s="9">
        <f t="shared" si="170"/>
        <v>45701.297407407408</v>
      </c>
      <c r="F1375" s="2">
        <f>Odometer!B1375</f>
        <v>428761629</v>
      </c>
      <c r="G1375" s="2">
        <f t="shared" si="171"/>
        <v>5</v>
      </c>
      <c r="H1375" s="2">
        <f>SUM($G$2:G1375)</f>
        <v>11736</v>
      </c>
      <c r="I1375" s="10">
        <f t="shared" si="172"/>
        <v>45701.296203703707</v>
      </c>
      <c r="J1375" s="10">
        <f t="shared" si="173"/>
        <v>45701.2962037037</v>
      </c>
      <c r="K1375" s="3">
        <f t="shared" si="175"/>
        <v>10987</v>
      </c>
      <c r="L1375">
        <f t="shared" si="168"/>
        <v>14.71388889</v>
      </c>
      <c r="M1375">
        <f t="shared" si="174"/>
        <v>52.970000003999999</v>
      </c>
    </row>
    <row r="1376" spans="1:13" x14ac:dyDescent="0.25">
      <c r="A1376" s="9">
        <f>Speed!A1376</f>
        <v>45701.296215277776</v>
      </c>
      <c r="B1376" s="9">
        <f t="shared" si="169"/>
        <v>45701.296215277776</v>
      </c>
      <c r="C1376" s="2">
        <f>Speed!B1376</f>
        <v>14.10277778</v>
      </c>
      <c r="D1376" s="9">
        <f>Odometer!A1376</f>
        <v>45701.297430555554</v>
      </c>
      <c r="E1376" s="9">
        <f t="shared" si="170"/>
        <v>45701.297430555554</v>
      </c>
      <c r="F1376" s="2">
        <f>Odometer!B1376</f>
        <v>428761634</v>
      </c>
      <c r="G1376" s="2">
        <f t="shared" si="171"/>
        <v>6</v>
      </c>
      <c r="H1376" s="2">
        <f>SUM($G$2:G1376)</f>
        <v>11742</v>
      </c>
      <c r="I1376" s="10">
        <f t="shared" si="172"/>
        <v>45701.296215277776</v>
      </c>
      <c r="J1376" s="10">
        <f t="shared" si="173"/>
        <v>45701.296215277776</v>
      </c>
      <c r="K1376" s="3">
        <f t="shared" si="175"/>
        <v>11001</v>
      </c>
      <c r="L1376">
        <f t="shared" si="168"/>
        <v>14.10277778</v>
      </c>
      <c r="M1376">
        <f t="shared" si="174"/>
        <v>50.770000008000004</v>
      </c>
    </row>
    <row r="1377" spans="1:13" x14ac:dyDescent="0.25">
      <c r="A1377" s="9">
        <f>Speed!A1377</f>
        <v>45701.296226851853</v>
      </c>
      <c r="B1377" s="9">
        <f t="shared" si="169"/>
        <v>45701.296226851853</v>
      </c>
      <c r="C1377" s="2">
        <f>Speed!B1377</f>
        <v>13.475</v>
      </c>
      <c r="D1377" s="9">
        <f>Odometer!A1377</f>
        <v>45701.297442129631</v>
      </c>
      <c r="E1377" s="9">
        <f t="shared" si="170"/>
        <v>45701.297442129624</v>
      </c>
      <c r="F1377" s="2">
        <f>Odometer!B1377</f>
        <v>428761640</v>
      </c>
      <c r="G1377" s="2">
        <f t="shared" si="171"/>
        <v>5</v>
      </c>
      <c r="H1377" s="2">
        <f>SUM($G$2:G1377)</f>
        <v>11747</v>
      </c>
      <c r="I1377" s="10">
        <f t="shared" si="172"/>
        <v>45701.296226851853</v>
      </c>
      <c r="J1377" s="10">
        <f t="shared" si="173"/>
        <v>45701.296226851853</v>
      </c>
      <c r="K1377" s="3">
        <f t="shared" si="175"/>
        <v>11013</v>
      </c>
      <c r="L1377">
        <f t="shared" si="168"/>
        <v>13.475</v>
      </c>
      <c r="M1377">
        <f t="shared" si="174"/>
        <v>48.51</v>
      </c>
    </row>
    <row r="1378" spans="1:13" x14ac:dyDescent="0.25">
      <c r="A1378" s="9">
        <f>Speed!A1378</f>
        <v>45701.296226851853</v>
      </c>
      <c r="B1378" s="9">
        <f t="shared" si="169"/>
        <v>45701.296226851853</v>
      </c>
      <c r="C1378" s="2">
        <f>Speed!B1378</f>
        <v>13.505555559999999</v>
      </c>
      <c r="D1378" s="9">
        <f>Odometer!A1378</f>
        <v>45701.297453703701</v>
      </c>
      <c r="E1378" s="9">
        <f t="shared" si="170"/>
        <v>45701.297453703701</v>
      </c>
      <c r="F1378" s="2">
        <f>Odometer!B1378</f>
        <v>428761645</v>
      </c>
      <c r="G1378" s="2">
        <f t="shared" si="171"/>
        <v>3</v>
      </c>
      <c r="H1378" s="2">
        <f>SUM($G$2:G1378)</f>
        <v>11750</v>
      </c>
      <c r="I1378" s="10">
        <f t="shared" si="172"/>
        <v>45701.296226851853</v>
      </c>
      <c r="J1378" s="10">
        <f t="shared" si="173"/>
        <v>45701.296226851853</v>
      </c>
      <c r="K1378" s="3">
        <f t="shared" si="175"/>
        <v>11013</v>
      </c>
      <c r="L1378">
        <f t="shared" si="168"/>
        <v>13.475</v>
      </c>
      <c r="M1378">
        <f t="shared" si="174"/>
        <v>48.51</v>
      </c>
    </row>
    <row r="1379" spans="1:13" x14ac:dyDescent="0.25">
      <c r="A1379" s="9">
        <f>Speed!A1379</f>
        <v>45701.296238425923</v>
      </c>
      <c r="B1379" s="9">
        <f t="shared" si="169"/>
        <v>45701.296238425923</v>
      </c>
      <c r="C1379" s="2">
        <f>Speed!B1379</f>
        <v>12.97777778</v>
      </c>
      <c r="D1379" s="9">
        <f>Odometer!A1379</f>
        <v>45701.297453703701</v>
      </c>
      <c r="E1379" s="9">
        <f t="shared" si="170"/>
        <v>45701.297453703701</v>
      </c>
      <c r="F1379" s="2">
        <f>Odometer!B1379</f>
        <v>428761648</v>
      </c>
      <c r="G1379" s="2">
        <f t="shared" si="171"/>
        <v>3</v>
      </c>
      <c r="H1379" s="2">
        <f>SUM($G$2:G1379)</f>
        <v>11753</v>
      </c>
      <c r="I1379" s="10">
        <f t="shared" si="172"/>
        <v>45701.296238425923</v>
      </c>
      <c r="J1379" s="10">
        <f t="shared" si="173"/>
        <v>45701.296238425923</v>
      </c>
      <c r="K1379" s="3">
        <f t="shared" si="175"/>
        <v>11027</v>
      </c>
      <c r="L1379">
        <f t="shared" si="168"/>
        <v>12.97777778</v>
      </c>
      <c r="M1379">
        <f t="shared" si="174"/>
        <v>46.720000008</v>
      </c>
    </row>
    <row r="1380" spans="1:13" x14ac:dyDescent="0.25">
      <c r="A1380" s="9">
        <f>Speed!A1380</f>
        <v>45701.296249999999</v>
      </c>
      <c r="B1380" s="9">
        <f t="shared" si="169"/>
        <v>45701.296249999999</v>
      </c>
      <c r="C1380" s="2">
        <f>Speed!B1380</f>
        <v>12.46944444</v>
      </c>
      <c r="D1380" s="9">
        <f>Odometer!A1380</f>
        <v>45701.297465277778</v>
      </c>
      <c r="E1380" s="9">
        <f t="shared" si="170"/>
        <v>45701.297465277778</v>
      </c>
      <c r="F1380" s="2">
        <f>Odometer!B1380</f>
        <v>428761651</v>
      </c>
      <c r="G1380" s="2">
        <f t="shared" si="171"/>
        <v>5</v>
      </c>
      <c r="H1380" s="2">
        <f>SUM($G$2:G1380)</f>
        <v>11758</v>
      </c>
      <c r="I1380" s="10">
        <f t="shared" si="172"/>
        <v>45701.296249999999</v>
      </c>
      <c r="J1380" s="10">
        <f t="shared" si="173"/>
        <v>45701.296249999999</v>
      </c>
      <c r="K1380" s="3">
        <f t="shared" si="175"/>
        <v>11039</v>
      </c>
      <c r="L1380">
        <f t="shared" si="168"/>
        <v>12.46944444</v>
      </c>
      <c r="M1380">
        <f t="shared" si="174"/>
        <v>44.889999983999999</v>
      </c>
    </row>
    <row r="1381" spans="1:13" x14ac:dyDescent="0.25">
      <c r="A1381" s="9">
        <f>Speed!A1381</f>
        <v>45701.296261574076</v>
      </c>
      <c r="B1381" s="9">
        <f t="shared" si="169"/>
        <v>45701.296261574069</v>
      </c>
      <c r="C1381" s="2">
        <f>Speed!B1381</f>
        <v>12.025</v>
      </c>
      <c r="D1381" s="9">
        <f>Odometer!A1381</f>
        <v>45701.297465277778</v>
      </c>
      <c r="E1381" s="9">
        <f t="shared" si="170"/>
        <v>45701.297465277778</v>
      </c>
      <c r="F1381" s="2">
        <f>Odometer!B1381</f>
        <v>428761656</v>
      </c>
      <c r="G1381" s="2">
        <f t="shared" si="171"/>
        <v>1</v>
      </c>
      <c r="H1381" s="2">
        <f>SUM($G$2:G1381)</f>
        <v>11759</v>
      </c>
      <c r="I1381" s="10">
        <f t="shared" si="172"/>
        <v>45701.296261574076</v>
      </c>
      <c r="J1381" s="10">
        <f t="shared" si="173"/>
        <v>45701.296261574069</v>
      </c>
      <c r="K1381" s="3">
        <f t="shared" si="175"/>
        <v>11050</v>
      </c>
      <c r="L1381">
        <f t="shared" si="168"/>
        <v>12.025</v>
      </c>
      <c r="M1381">
        <f t="shared" si="174"/>
        <v>43.29</v>
      </c>
    </row>
    <row r="1382" spans="1:13" x14ac:dyDescent="0.25">
      <c r="A1382" s="9">
        <f>Speed!A1382</f>
        <v>45701.296261574076</v>
      </c>
      <c r="B1382" s="9">
        <f t="shared" si="169"/>
        <v>45701.296261574069</v>
      </c>
      <c r="C1382" s="2">
        <f>Speed!B1382</f>
        <v>11.68055556</v>
      </c>
      <c r="D1382" s="9">
        <f>Odometer!A1382</f>
        <v>45701.297476851854</v>
      </c>
      <c r="E1382" s="9">
        <f t="shared" si="170"/>
        <v>45701.297476851847</v>
      </c>
      <c r="F1382" s="2">
        <f>Odometer!B1382</f>
        <v>428761657</v>
      </c>
      <c r="G1382" s="2">
        <f t="shared" si="171"/>
        <v>5</v>
      </c>
      <c r="H1382" s="2">
        <f>SUM($G$2:G1382)</f>
        <v>11764</v>
      </c>
      <c r="I1382" s="10">
        <f t="shared" si="172"/>
        <v>45701.296261574076</v>
      </c>
      <c r="J1382" s="10">
        <f t="shared" si="173"/>
        <v>45701.296261574069</v>
      </c>
      <c r="K1382" s="3">
        <f t="shared" si="175"/>
        <v>11050</v>
      </c>
      <c r="L1382">
        <f t="shared" si="168"/>
        <v>12.025</v>
      </c>
      <c r="M1382">
        <f t="shared" si="174"/>
        <v>43.29</v>
      </c>
    </row>
    <row r="1383" spans="1:13" x14ac:dyDescent="0.25">
      <c r="A1383" s="9">
        <f>Speed!A1383</f>
        <v>45701.296284722222</v>
      </c>
      <c r="B1383" s="9">
        <f t="shared" si="169"/>
        <v>45701.296284722222</v>
      </c>
      <c r="C1383" s="2">
        <f>Speed!B1383</f>
        <v>11.35277778</v>
      </c>
      <c r="D1383" s="9">
        <f>Odometer!A1383</f>
        <v>45701.297476851854</v>
      </c>
      <c r="E1383" s="9">
        <f t="shared" si="170"/>
        <v>45701.297476851847</v>
      </c>
      <c r="F1383" s="2">
        <f>Odometer!B1383</f>
        <v>428761662</v>
      </c>
      <c r="G1383" s="2">
        <f t="shared" si="171"/>
        <v>1</v>
      </c>
      <c r="H1383" s="2">
        <f>SUM($G$2:G1383)</f>
        <v>11765</v>
      </c>
      <c r="I1383" s="10">
        <f t="shared" si="172"/>
        <v>45701.296284722222</v>
      </c>
      <c r="J1383" s="10">
        <f t="shared" si="173"/>
        <v>45701.296284722222</v>
      </c>
      <c r="K1383" s="3">
        <f t="shared" si="175"/>
        <v>11074</v>
      </c>
      <c r="L1383">
        <f t="shared" si="168"/>
        <v>11.35277778</v>
      </c>
      <c r="M1383">
        <f t="shared" si="174"/>
        <v>40.870000008000005</v>
      </c>
    </row>
    <row r="1384" spans="1:13" x14ac:dyDescent="0.25">
      <c r="A1384" s="9">
        <f>Speed!A1384</f>
        <v>45701.296284722222</v>
      </c>
      <c r="B1384" s="9">
        <f t="shared" si="169"/>
        <v>45701.296284722222</v>
      </c>
      <c r="C1384" s="2">
        <f>Speed!B1384</f>
        <v>11.03333333</v>
      </c>
      <c r="D1384" s="9">
        <f>Odometer!A1384</f>
        <v>45701.297488425924</v>
      </c>
      <c r="E1384" s="9">
        <f t="shared" si="170"/>
        <v>45701.297488425924</v>
      </c>
      <c r="F1384" s="2">
        <f>Odometer!B1384</f>
        <v>428761663</v>
      </c>
      <c r="G1384" s="2">
        <f t="shared" si="171"/>
        <v>1</v>
      </c>
      <c r="H1384" s="2">
        <f>SUM($G$2:G1384)</f>
        <v>11766</v>
      </c>
      <c r="I1384" s="10">
        <f t="shared" si="172"/>
        <v>45701.296284722222</v>
      </c>
      <c r="J1384" s="10">
        <f t="shared" si="173"/>
        <v>45701.296284722222</v>
      </c>
      <c r="K1384" s="3">
        <f t="shared" si="175"/>
        <v>11074</v>
      </c>
      <c r="L1384">
        <f t="shared" si="168"/>
        <v>11.35277778</v>
      </c>
      <c r="M1384">
        <f t="shared" si="174"/>
        <v>40.870000008000005</v>
      </c>
    </row>
    <row r="1385" spans="1:13" x14ac:dyDescent="0.25">
      <c r="A1385" s="9">
        <f>Speed!A1385</f>
        <v>45701.296296296299</v>
      </c>
      <c r="B1385" s="9">
        <f t="shared" si="169"/>
        <v>45701.296296296292</v>
      </c>
      <c r="C1385" s="2">
        <f>Speed!B1385</f>
        <v>11.044444439999999</v>
      </c>
      <c r="D1385" s="9">
        <f>Odometer!A1385</f>
        <v>45701.297488425924</v>
      </c>
      <c r="E1385" s="9">
        <f t="shared" si="170"/>
        <v>45701.297488425924</v>
      </c>
      <c r="F1385" s="2">
        <f>Odometer!B1385</f>
        <v>428761664</v>
      </c>
      <c r="G1385" s="2">
        <f t="shared" si="171"/>
        <v>4</v>
      </c>
      <c r="H1385" s="2">
        <f>SUM($G$2:G1385)</f>
        <v>11770</v>
      </c>
      <c r="I1385" s="10">
        <f t="shared" si="172"/>
        <v>45701.296296296299</v>
      </c>
      <c r="J1385" s="10">
        <f t="shared" si="173"/>
        <v>45701.296296296292</v>
      </c>
      <c r="K1385" s="3" t="e">
        <f t="shared" si="175"/>
        <v>#N/A</v>
      </c>
      <c r="L1385">
        <f t="shared" si="168"/>
        <v>11.044444439999999</v>
      </c>
      <c r="M1385">
        <f t="shared" si="174"/>
        <v>39.759999983999997</v>
      </c>
    </row>
    <row r="1386" spans="1:13" x14ac:dyDescent="0.25">
      <c r="A1386" s="9">
        <f>Speed!A1386</f>
        <v>45701.296307870369</v>
      </c>
      <c r="B1386" s="9">
        <f t="shared" si="169"/>
        <v>45701.296307870369</v>
      </c>
      <c r="C1386" s="2">
        <f>Speed!B1386</f>
        <v>10.68055556</v>
      </c>
      <c r="D1386" s="9">
        <f>Odometer!A1386</f>
        <v>45701.297500000001</v>
      </c>
      <c r="E1386" s="9">
        <f t="shared" si="170"/>
        <v>45701.297500000001</v>
      </c>
      <c r="F1386" s="2">
        <f>Odometer!B1386</f>
        <v>428761668</v>
      </c>
      <c r="G1386" s="2">
        <f t="shared" si="171"/>
        <v>6</v>
      </c>
      <c r="H1386" s="2">
        <f>SUM($G$2:G1386)</f>
        <v>11776</v>
      </c>
      <c r="I1386" s="10">
        <f t="shared" si="172"/>
        <v>45701.296307870369</v>
      </c>
      <c r="J1386" s="10">
        <f t="shared" si="173"/>
        <v>45701.296307870369</v>
      </c>
      <c r="K1386" s="3">
        <f t="shared" si="175"/>
        <v>11094</v>
      </c>
      <c r="L1386">
        <f t="shared" si="168"/>
        <v>10.68055556</v>
      </c>
      <c r="M1386">
        <f t="shared" si="174"/>
        <v>38.450000016000004</v>
      </c>
    </row>
    <row r="1387" spans="1:13" x14ac:dyDescent="0.25">
      <c r="A1387" s="9">
        <f>Speed!A1387</f>
        <v>45701.296307870369</v>
      </c>
      <c r="B1387" s="9">
        <f t="shared" si="169"/>
        <v>45701.296307870369</v>
      </c>
      <c r="C1387" s="2">
        <f>Speed!B1387</f>
        <v>10.125</v>
      </c>
      <c r="D1387" s="9">
        <f>Odometer!A1387</f>
        <v>45701.297511574077</v>
      </c>
      <c r="E1387" s="9">
        <f t="shared" si="170"/>
        <v>45701.29751157407</v>
      </c>
      <c r="F1387" s="2">
        <f>Odometer!B1387</f>
        <v>428761674</v>
      </c>
      <c r="G1387" s="2">
        <f t="shared" si="171"/>
        <v>6</v>
      </c>
      <c r="H1387" s="2">
        <f>SUM($G$2:G1387)</f>
        <v>11782</v>
      </c>
      <c r="I1387" s="10">
        <f t="shared" si="172"/>
        <v>45701.296307870369</v>
      </c>
      <c r="J1387" s="10">
        <f t="shared" si="173"/>
        <v>45701.296307870369</v>
      </c>
      <c r="K1387" s="3">
        <f t="shared" si="175"/>
        <v>11094</v>
      </c>
      <c r="L1387">
        <f t="shared" si="168"/>
        <v>10.68055556</v>
      </c>
      <c r="M1387">
        <f t="shared" si="174"/>
        <v>38.450000016000004</v>
      </c>
    </row>
    <row r="1388" spans="1:13" x14ac:dyDescent="0.25">
      <c r="A1388" s="9">
        <f>Speed!A1388</f>
        <v>45701.296319444446</v>
      </c>
      <c r="B1388" s="9">
        <f t="shared" si="169"/>
        <v>45701.296319444446</v>
      </c>
      <c r="C1388" s="2">
        <f>Speed!B1388</f>
        <v>10.038888890000001</v>
      </c>
      <c r="D1388" s="9">
        <f>Odometer!A1388</f>
        <v>45701.297523148147</v>
      </c>
      <c r="E1388" s="9">
        <f t="shared" si="170"/>
        <v>45701.297523148147</v>
      </c>
      <c r="F1388" s="2">
        <f>Odometer!B1388</f>
        <v>428761680</v>
      </c>
      <c r="G1388" s="2">
        <f t="shared" si="171"/>
        <v>6</v>
      </c>
      <c r="H1388" s="2">
        <f>SUM($G$2:G1388)</f>
        <v>11788</v>
      </c>
      <c r="I1388" s="10">
        <f t="shared" si="172"/>
        <v>45701.296319444446</v>
      </c>
      <c r="J1388" s="10">
        <f t="shared" si="173"/>
        <v>45701.296319444446</v>
      </c>
      <c r="K1388" s="3">
        <f t="shared" si="175"/>
        <v>11104</v>
      </c>
      <c r="L1388">
        <f t="shared" si="168"/>
        <v>10.038888890000001</v>
      </c>
      <c r="M1388">
        <f t="shared" si="174"/>
        <v>36.140000004000001</v>
      </c>
    </row>
    <row r="1389" spans="1:13" x14ac:dyDescent="0.25">
      <c r="A1389" s="9">
        <f>Speed!A1389</f>
        <v>45701.296331018515</v>
      </c>
      <c r="B1389" s="9">
        <f t="shared" si="169"/>
        <v>45701.296331018515</v>
      </c>
      <c r="C1389" s="2">
        <f>Speed!B1389</f>
        <v>9.5166666670000009</v>
      </c>
      <c r="D1389" s="9">
        <f>Odometer!A1389</f>
        <v>45701.297534722224</v>
      </c>
      <c r="E1389" s="9">
        <f t="shared" si="170"/>
        <v>45701.297534722216</v>
      </c>
      <c r="F1389" s="2">
        <f>Odometer!B1389</f>
        <v>428761686</v>
      </c>
      <c r="G1389" s="2">
        <f t="shared" si="171"/>
        <v>5</v>
      </c>
      <c r="H1389" s="2">
        <f>SUM($G$2:G1389)</f>
        <v>11793</v>
      </c>
      <c r="I1389" s="10">
        <f t="shared" si="172"/>
        <v>45701.296331018515</v>
      </c>
      <c r="J1389" s="10">
        <f t="shared" si="173"/>
        <v>45701.296331018515</v>
      </c>
      <c r="K1389" s="3">
        <f t="shared" si="175"/>
        <v>11105</v>
      </c>
      <c r="L1389">
        <f t="shared" si="168"/>
        <v>9.5166666670000009</v>
      </c>
      <c r="M1389">
        <f t="shared" si="174"/>
        <v>34.260000001200005</v>
      </c>
    </row>
    <row r="1390" spans="1:13" x14ac:dyDescent="0.25">
      <c r="A1390" s="9">
        <f>Speed!A1390</f>
        <v>45701.296331018515</v>
      </c>
      <c r="B1390" s="9">
        <f t="shared" si="169"/>
        <v>45701.296331018515</v>
      </c>
      <c r="C1390" s="2">
        <f>Speed!B1390</f>
        <v>9.4777777780000001</v>
      </c>
      <c r="D1390" s="9">
        <f>Odometer!A1390</f>
        <v>45701.297546296293</v>
      </c>
      <c r="E1390" s="9">
        <f t="shared" si="170"/>
        <v>45701.297546296293</v>
      </c>
      <c r="F1390" s="2">
        <f>Odometer!B1390</f>
        <v>428761691</v>
      </c>
      <c r="G1390" s="2">
        <f t="shared" si="171"/>
        <v>4</v>
      </c>
      <c r="H1390" s="2">
        <f>SUM($G$2:G1390)</f>
        <v>11797</v>
      </c>
      <c r="I1390" s="10">
        <f t="shared" si="172"/>
        <v>45701.296331018515</v>
      </c>
      <c r="J1390" s="10">
        <f t="shared" si="173"/>
        <v>45701.296331018515</v>
      </c>
      <c r="K1390" s="3">
        <f t="shared" si="175"/>
        <v>11105</v>
      </c>
      <c r="L1390">
        <f t="shared" si="168"/>
        <v>9.5166666670000009</v>
      </c>
      <c r="M1390">
        <f t="shared" si="174"/>
        <v>34.260000001200005</v>
      </c>
    </row>
    <row r="1391" spans="1:13" x14ac:dyDescent="0.25">
      <c r="A1391" s="9">
        <f>Speed!A1391</f>
        <v>45701.296342592592</v>
      </c>
      <c r="B1391" s="9">
        <f t="shared" si="169"/>
        <v>45701.296342592592</v>
      </c>
      <c r="C1391" s="2">
        <f>Speed!B1391</f>
        <v>8.9361111110000007</v>
      </c>
      <c r="D1391" s="9">
        <f>Odometer!A1391</f>
        <v>45701.29755787037</v>
      </c>
      <c r="E1391" s="9">
        <f t="shared" si="170"/>
        <v>45701.29755787037</v>
      </c>
      <c r="F1391" s="2">
        <f>Odometer!B1391</f>
        <v>428761695</v>
      </c>
      <c r="G1391" s="2">
        <f t="shared" si="171"/>
        <v>1</v>
      </c>
      <c r="H1391" s="2">
        <f>SUM($G$2:G1391)</f>
        <v>11798</v>
      </c>
      <c r="I1391" s="10">
        <f t="shared" si="172"/>
        <v>45701.296342592592</v>
      </c>
      <c r="J1391" s="10">
        <f t="shared" si="173"/>
        <v>45701.296342592592</v>
      </c>
      <c r="K1391" s="3">
        <f t="shared" si="175"/>
        <v>11122</v>
      </c>
      <c r="L1391">
        <f t="shared" si="168"/>
        <v>8.9361111110000007</v>
      </c>
      <c r="M1391">
        <f t="shared" si="174"/>
        <v>32.169999999600002</v>
      </c>
    </row>
    <row r="1392" spans="1:13" x14ac:dyDescent="0.25">
      <c r="A1392" s="9">
        <f>Speed!A1392</f>
        <v>45701.296354166669</v>
      </c>
      <c r="B1392" s="9">
        <f t="shared" si="169"/>
        <v>45701.296354166661</v>
      </c>
      <c r="C1392" s="2">
        <f>Speed!B1392</f>
        <v>8.4027777780000008</v>
      </c>
      <c r="D1392" s="9">
        <f>Odometer!A1392</f>
        <v>45701.29755787037</v>
      </c>
      <c r="E1392" s="9">
        <f t="shared" si="170"/>
        <v>45701.29755787037</v>
      </c>
      <c r="F1392" s="2">
        <f>Odometer!B1392</f>
        <v>428761696</v>
      </c>
      <c r="G1392" s="2">
        <f t="shared" si="171"/>
        <v>4</v>
      </c>
      <c r="H1392" s="2">
        <f>SUM($G$2:G1392)</f>
        <v>11802</v>
      </c>
      <c r="I1392" s="10">
        <f t="shared" si="172"/>
        <v>45701.296354166669</v>
      </c>
      <c r="J1392" s="10">
        <f t="shared" si="173"/>
        <v>45701.296354166661</v>
      </c>
      <c r="K1392" s="3">
        <f t="shared" si="175"/>
        <v>11131</v>
      </c>
      <c r="L1392">
        <f t="shared" si="168"/>
        <v>8.4027777780000008</v>
      </c>
      <c r="M1392">
        <f t="shared" si="174"/>
        <v>30.250000000800004</v>
      </c>
    </row>
    <row r="1393" spans="1:13" x14ac:dyDescent="0.25">
      <c r="A1393" s="9">
        <f>Speed!A1393</f>
        <v>45701.296365740738</v>
      </c>
      <c r="B1393" s="9">
        <f t="shared" si="169"/>
        <v>45701.296365740738</v>
      </c>
      <c r="C1393" s="2">
        <f>Speed!B1393</f>
        <v>7.6777777780000003</v>
      </c>
      <c r="D1393" s="9">
        <f>Odometer!A1393</f>
        <v>45701.29755787037</v>
      </c>
      <c r="E1393" s="9">
        <f t="shared" si="170"/>
        <v>45701.29755787037</v>
      </c>
      <c r="F1393" s="2">
        <f>Odometer!B1393</f>
        <v>428761700</v>
      </c>
      <c r="G1393" s="2">
        <f t="shared" si="171"/>
        <v>1</v>
      </c>
      <c r="H1393" s="2">
        <f>SUM($G$2:G1393)</f>
        <v>11803</v>
      </c>
      <c r="I1393" s="10">
        <f t="shared" si="172"/>
        <v>45701.296365740738</v>
      </c>
      <c r="J1393" s="10">
        <f t="shared" si="173"/>
        <v>45701.296365740738</v>
      </c>
      <c r="K1393" s="3">
        <f t="shared" si="175"/>
        <v>11137</v>
      </c>
      <c r="L1393">
        <f t="shared" si="168"/>
        <v>7.6777777780000003</v>
      </c>
      <c r="M1393">
        <f t="shared" si="174"/>
        <v>27.640000000800001</v>
      </c>
    </row>
    <row r="1394" spans="1:13" x14ac:dyDescent="0.25">
      <c r="A1394" s="9">
        <f>Speed!A1394</f>
        <v>45701.296377314815</v>
      </c>
      <c r="B1394" s="9">
        <f t="shared" si="169"/>
        <v>45701.296377314815</v>
      </c>
      <c r="C1394" s="2">
        <f>Speed!B1394</f>
        <v>6.9472222219999997</v>
      </c>
      <c r="D1394" s="9">
        <f>Odometer!A1394</f>
        <v>45701.297569444447</v>
      </c>
      <c r="E1394" s="9">
        <f t="shared" si="170"/>
        <v>45701.297569444439</v>
      </c>
      <c r="F1394" s="2">
        <f>Odometer!B1394</f>
        <v>428761701</v>
      </c>
      <c r="G1394" s="2">
        <f t="shared" si="171"/>
        <v>4</v>
      </c>
      <c r="H1394" s="2">
        <f>SUM($G$2:G1394)</f>
        <v>11807</v>
      </c>
      <c r="I1394" s="10">
        <f t="shared" si="172"/>
        <v>45701.296377314815</v>
      </c>
      <c r="J1394" s="10">
        <f t="shared" si="173"/>
        <v>45701.296377314815</v>
      </c>
      <c r="K1394" s="3">
        <f t="shared" si="175"/>
        <v>11138</v>
      </c>
      <c r="L1394">
        <f t="shared" si="168"/>
        <v>6.9472222219999997</v>
      </c>
      <c r="M1394">
        <f t="shared" si="174"/>
        <v>25.009999999199998</v>
      </c>
    </row>
    <row r="1395" spans="1:13" x14ac:dyDescent="0.25">
      <c r="A1395" s="9">
        <f>Speed!A1395</f>
        <v>45701.296377314815</v>
      </c>
      <c r="B1395" s="9">
        <f t="shared" si="169"/>
        <v>45701.296377314815</v>
      </c>
      <c r="C1395" s="2">
        <f>Speed!B1395</f>
        <v>6.9027777779999999</v>
      </c>
      <c r="D1395" s="9">
        <f>Odometer!A1395</f>
        <v>45701.297581018516</v>
      </c>
      <c r="E1395" s="9">
        <f t="shared" si="170"/>
        <v>45701.297581018516</v>
      </c>
      <c r="F1395" s="2">
        <f>Odometer!B1395</f>
        <v>428761705</v>
      </c>
      <c r="G1395" s="2">
        <f t="shared" si="171"/>
        <v>4</v>
      </c>
      <c r="H1395" s="2">
        <f>SUM($G$2:G1395)</f>
        <v>11811</v>
      </c>
      <c r="I1395" s="10">
        <f t="shared" si="172"/>
        <v>45701.296377314815</v>
      </c>
      <c r="J1395" s="10">
        <f t="shared" si="173"/>
        <v>45701.296377314815</v>
      </c>
      <c r="K1395" s="3">
        <f t="shared" si="175"/>
        <v>11138</v>
      </c>
      <c r="L1395">
        <f t="shared" si="168"/>
        <v>6.9472222219999997</v>
      </c>
      <c r="M1395">
        <f t="shared" si="174"/>
        <v>25.009999999199998</v>
      </c>
    </row>
    <row r="1396" spans="1:13" x14ac:dyDescent="0.25">
      <c r="A1396" s="9">
        <f>Speed!A1396</f>
        <v>45701.296388888892</v>
      </c>
      <c r="B1396" s="9">
        <f t="shared" si="169"/>
        <v>45701.296388888884</v>
      </c>
      <c r="C1396" s="2">
        <f>Speed!B1396</f>
        <v>6.1861111109999998</v>
      </c>
      <c r="D1396" s="9">
        <f>Odometer!A1396</f>
        <v>45701.297592592593</v>
      </c>
      <c r="E1396" s="9">
        <f t="shared" si="170"/>
        <v>45701.297592592593</v>
      </c>
      <c r="F1396" s="2">
        <f>Odometer!B1396</f>
        <v>428761709</v>
      </c>
      <c r="G1396" s="2">
        <f t="shared" si="171"/>
        <v>3</v>
      </c>
      <c r="H1396" s="2">
        <f>SUM($G$2:G1396)</f>
        <v>11814</v>
      </c>
      <c r="I1396" s="10">
        <f t="shared" si="172"/>
        <v>45701.296388888892</v>
      </c>
      <c r="J1396" s="10">
        <f t="shared" si="173"/>
        <v>45701.296388888884</v>
      </c>
      <c r="K1396" s="3">
        <f t="shared" si="175"/>
        <v>11150</v>
      </c>
      <c r="L1396">
        <f t="shared" si="168"/>
        <v>6.1861111109999998</v>
      </c>
      <c r="M1396">
        <f t="shared" si="174"/>
        <v>22.2699999996</v>
      </c>
    </row>
    <row r="1397" spans="1:13" x14ac:dyDescent="0.25">
      <c r="A1397" s="9">
        <f>Speed!A1397</f>
        <v>45701.296388888892</v>
      </c>
      <c r="B1397" s="9">
        <f t="shared" si="169"/>
        <v>45701.296388888884</v>
      </c>
      <c r="C1397" s="2">
        <f>Speed!B1397</f>
        <v>6.1444444440000003</v>
      </c>
      <c r="D1397" s="9">
        <f>Odometer!A1397</f>
        <v>45701.297592592593</v>
      </c>
      <c r="E1397" s="9">
        <f t="shared" si="170"/>
        <v>45701.297592592593</v>
      </c>
      <c r="F1397" s="2">
        <f>Odometer!B1397</f>
        <v>428761712</v>
      </c>
      <c r="G1397" s="2">
        <f t="shared" si="171"/>
        <v>1</v>
      </c>
      <c r="H1397" s="2">
        <f>SUM($G$2:G1397)</f>
        <v>11815</v>
      </c>
      <c r="I1397" s="10">
        <f t="shared" si="172"/>
        <v>45701.296388888892</v>
      </c>
      <c r="J1397" s="10">
        <f t="shared" si="173"/>
        <v>45701.296388888884</v>
      </c>
      <c r="K1397" s="3">
        <f t="shared" si="175"/>
        <v>11150</v>
      </c>
      <c r="L1397">
        <f t="shared" si="168"/>
        <v>6.1861111109999998</v>
      </c>
      <c r="M1397">
        <f t="shared" si="174"/>
        <v>22.2699999996</v>
      </c>
    </row>
    <row r="1398" spans="1:13" x14ac:dyDescent="0.25">
      <c r="A1398" s="9">
        <f>Speed!A1398</f>
        <v>45701.296400462961</v>
      </c>
      <c r="B1398" s="9">
        <f t="shared" si="169"/>
        <v>45701.296400462961</v>
      </c>
      <c r="C1398" s="2">
        <f>Speed!B1398</f>
        <v>5.6555555560000004</v>
      </c>
      <c r="D1398" s="9">
        <f>Odometer!A1398</f>
        <v>45701.29760416667</v>
      </c>
      <c r="E1398" s="9">
        <f t="shared" si="170"/>
        <v>45701.297604166662</v>
      </c>
      <c r="F1398" s="2">
        <f>Odometer!B1398</f>
        <v>428761713</v>
      </c>
      <c r="G1398" s="2">
        <f t="shared" si="171"/>
        <v>4</v>
      </c>
      <c r="H1398" s="2">
        <f>SUM($G$2:G1398)</f>
        <v>11819</v>
      </c>
      <c r="I1398" s="10">
        <f t="shared" si="172"/>
        <v>45701.296400462961</v>
      </c>
      <c r="J1398" s="10">
        <f t="shared" si="173"/>
        <v>45701.296400462961</v>
      </c>
      <c r="K1398" s="3">
        <f t="shared" si="175"/>
        <v>11155</v>
      </c>
      <c r="L1398">
        <f t="shared" si="168"/>
        <v>5.6555555560000004</v>
      </c>
      <c r="M1398">
        <f t="shared" si="174"/>
        <v>20.360000001600003</v>
      </c>
    </row>
    <row r="1399" spans="1:13" x14ac:dyDescent="0.25">
      <c r="A1399" s="9">
        <f>Speed!A1399</f>
        <v>45701.296412037038</v>
      </c>
      <c r="B1399" s="9">
        <f t="shared" si="169"/>
        <v>45701.296412037038</v>
      </c>
      <c r="C1399" s="2">
        <f>Speed!B1399</f>
        <v>5.2916666670000003</v>
      </c>
      <c r="D1399" s="9">
        <f>Odometer!A1399</f>
        <v>45701.297615740739</v>
      </c>
      <c r="E1399" s="9">
        <f t="shared" si="170"/>
        <v>45701.297615740739</v>
      </c>
      <c r="F1399" s="2">
        <f>Odometer!B1399</f>
        <v>428761717</v>
      </c>
      <c r="G1399" s="2">
        <f t="shared" si="171"/>
        <v>5</v>
      </c>
      <c r="H1399" s="2">
        <f>SUM($G$2:G1399)</f>
        <v>11824</v>
      </c>
      <c r="I1399" s="10">
        <f t="shared" si="172"/>
        <v>45701.296412037038</v>
      </c>
      <c r="J1399" s="10">
        <f t="shared" si="173"/>
        <v>45701.296412037038</v>
      </c>
      <c r="K1399" s="3">
        <f t="shared" si="175"/>
        <v>11160</v>
      </c>
      <c r="L1399">
        <f t="shared" si="168"/>
        <v>5.2916666670000003</v>
      </c>
      <c r="M1399">
        <f t="shared" si="174"/>
        <v>19.050000001200001</v>
      </c>
    </row>
    <row r="1400" spans="1:13" x14ac:dyDescent="0.25">
      <c r="A1400" s="9">
        <f>Speed!A1400</f>
        <v>45701.296423611115</v>
      </c>
      <c r="B1400" s="9">
        <f t="shared" si="169"/>
        <v>45701.296423611107</v>
      </c>
      <c r="C1400" s="2">
        <f>Speed!B1400</f>
        <v>4.9055555560000004</v>
      </c>
      <c r="D1400" s="9">
        <f>Odometer!A1400</f>
        <v>45701.297627314816</v>
      </c>
      <c r="E1400" s="9">
        <f t="shared" si="170"/>
        <v>45701.297627314816</v>
      </c>
      <c r="F1400" s="2">
        <f>Odometer!B1400</f>
        <v>428761722</v>
      </c>
      <c r="G1400" s="2">
        <f t="shared" si="171"/>
        <v>1</v>
      </c>
      <c r="H1400" s="2">
        <f>SUM($G$2:G1400)</f>
        <v>11825</v>
      </c>
      <c r="I1400" s="10">
        <f t="shared" si="172"/>
        <v>45701.296423611115</v>
      </c>
      <c r="J1400" s="10">
        <f t="shared" si="173"/>
        <v>45701.296423611107</v>
      </c>
      <c r="K1400" s="3">
        <f t="shared" si="175"/>
        <v>11162</v>
      </c>
      <c r="L1400">
        <f t="shared" si="168"/>
        <v>4.9055555560000004</v>
      </c>
      <c r="M1400">
        <f t="shared" si="174"/>
        <v>17.6600000016</v>
      </c>
    </row>
    <row r="1401" spans="1:13" x14ac:dyDescent="0.25">
      <c r="A1401" s="9">
        <f>Speed!A1401</f>
        <v>45701.296423611115</v>
      </c>
      <c r="B1401" s="9">
        <f t="shared" si="169"/>
        <v>45701.296423611107</v>
      </c>
      <c r="C1401" s="2">
        <f>Speed!B1401</f>
        <v>4.6388888890000004</v>
      </c>
      <c r="D1401" s="9">
        <f>Odometer!A1401</f>
        <v>45701.297627314816</v>
      </c>
      <c r="E1401" s="9">
        <f t="shared" si="170"/>
        <v>45701.297627314816</v>
      </c>
      <c r="F1401" s="2">
        <f>Odometer!B1401</f>
        <v>428761723</v>
      </c>
      <c r="G1401" s="2">
        <f t="shared" si="171"/>
        <v>2</v>
      </c>
      <c r="H1401" s="2">
        <f>SUM($G$2:G1401)</f>
        <v>11827</v>
      </c>
      <c r="I1401" s="10">
        <f t="shared" si="172"/>
        <v>45701.296423611115</v>
      </c>
      <c r="J1401" s="10">
        <f t="shared" si="173"/>
        <v>45701.296423611107</v>
      </c>
      <c r="K1401" s="3">
        <f t="shared" si="175"/>
        <v>11162</v>
      </c>
      <c r="L1401">
        <f t="shared" si="168"/>
        <v>4.9055555560000004</v>
      </c>
      <c r="M1401">
        <f t="shared" si="174"/>
        <v>17.6600000016</v>
      </c>
    </row>
    <row r="1402" spans="1:13" x14ac:dyDescent="0.25">
      <c r="A1402" s="9">
        <f>Speed!A1402</f>
        <v>45701.296435185184</v>
      </c>
      <c r="B1402" s="9">
        <f t="shared" si="169"/>
        <v>45701.296435185184</v>
      </c>
      <c r="C1402" s="2">
        <f>Speed!B1402</f>
        <v>4.3388888889999997</v>
      </c>
      <c r="D1402" s="9">
        <f>Odometer!A1402</f>
        <v>45701.297638888886</v>
      </c>
      <c r="E1402" s="9">
        <f t="shared" si="170"/>
        <v>45701.297638888886</v>
      </c>
      <c r="F1402" s="2">
        <f>Odometer!B1402</f>
        <v>428761725</v>
      </c>
      <c r="G1402" s="2">
        <f t="shared" si="171"/>
        <v>5</v>
      </c>
      <c r="H1402" s="2">
        <f>SUM($G$2:G1402)</f>
        <v>11832</v>
      </c>
      <c r="I1402" s="10">
        <f t="shared" si="172"/>
        <v>45701.296435185184</v>
      </c>
      <c r="J1402" s="10">
        <f t="shared" si="173"/>
        <v>45701.296435185184</v>
      </c>
      <c r="K1402" s="3">
        <f t="shared" si="175"/>
        <v>11169</v>
      </c>
      <c r="L1402">
        <f t="shared" si="168"/>
        <v>4.3388888889999997</v>
      </c>
      <c r="M1402">
        <f t="shared" si="174"/>
        <v>15.620000000399999</v>
      </c>
    </row>
    <row r="1403" spans="1:13" x14ac:dyDescent="0.25">
      <c r="A1403" s="9">
        <f>Speed!A1403</f>
        <v>45701.296446759261</v>
      </c>
      <c r="B1403" s="9">
        <f t="shared" si="169"/>
        <v>45701.296446759254</v>
      </c>
      <c r="C1403" s="2">
        <f>Speed!B1403</f>
        <v>3.5472222219999998</v>
      </c>
      <c r="D1403" s="9">
        <f>Odometer!A1403</f>
        <v>45701.297650462962</v>
      </c>
      <c r="E1403" s="9">
        <f t="shared" si="170"/>
        <v>45701.297650462962</v>
      </c>
      <c r="F1403" s="2">
        <f>Odometer!B1403</f>
        <v>428761730</v>
      </c>
      <c r="G1403" s="2">
        <f t="shared" si="171"/>
        <v>4</v>
      </c>
      <c r="H1403" s="2">
        <f>SUM($G$2:G1403)</f>
        <v>11836</v>
      </c>
      <c r="I1403" s="10">
        <f t="shared" si="172"/>
        <v>45701.296446759261</v>
      </c>
      <c r="J1403" s="10">
        <f t="shared" si="173"/>
        <v>45701.296446759254</v>
      </c>
      <c r="K1403" s="3">
        <f t="shared" si="175"/>
        <v>11172</v>
      </c>
      <c r="L1403">
        <f t="shared" si="168"/>
        <v>3.5472222219999998</v>
      </c>
      <c r="M1403">
        <f t="shared" si="174"/>
        <v>12.7699999992</v>
      </c>
    </row>
    <row r="1404" spans="1:13" x14ac:dyDescent="0.25">
      <c r="A1404" s="9">
        <f>Speed!A1404</f>
        <v>45701.296446759261</v>
      </c>
      <c r="B1404" s="9">
        <f t="shared" si="169"/>
        <v>45701.296446759254</v>
      </c>
      <c r="C1404" s="2">
        <f>Speed!B1404</f>
        <v>3.4750000000000001</v>
      </c>
      <c r="D1404" s="9">
        <f>Odometer!A1404</f>
        <v>45701.297662037039</v>
      </c>
      <c r="E1404" s="9">
        <f t="shared" si="170"/>
        <v>45701.297662037032</v>
      </c>
      <c r="F1404" s="2">
        <f>Odometer!B1404</f>
        <v>428761734</v>
      </c>
      <c r="G1404" s="2">
        <f t="shared" si="171"/>
        <v>4</v>
      </c>
      <c r="H1404" s="2">
        <f>SUM($G$2:G1404)</f>
        <v>11840</v>
      </c>
      <c r="I1404" s="10">
        <f t="shared" si="172"/>
        <v>45701.296446759261</v>
      </c>
      <c r="J1404" s="10">
        <f t="shared" si="173"/>
        <v>45701.296446759254</v>
      </c>
      <c r="K1404" s="3">
        <f t="shared" si="175"/>
        <v>11172</v>
      </c>
      <c r="L1404">
        <f t="shared" si="168"/>
        <v>3.5472222219999998</v>
      </c>
      <c r="M1404">
        <f t="shared" si="174"/>
        <v>12.7699999992</v>
      </c>
    </row>
    <row r="1405" spans="1:13" x14ac:dyDescent="0.25">
      <c r="A1405" s="9">
        <f>Speed!A1405</f>
        <v>45701.296458333331</v>
      </c>
      <c r="B1405" s="9">
        <f t="shared" si="169"/>
        <v>45701.296458333331</v>
      </c>
      <c r="C1405" s="2">
        <f>Speed!B1405</f>
        <v>2.516666667</v>
      </c>
      <c r="D1405" s="9">
        <f>Odometer!A1405</f>
        <v>45701.297673611109</v>
      </c>
      <c r="E1405" s="9">
        <f t="shared" si="170"/>
        <v>45701.297673611109</v>
      </c>
      <c r="F1405" s="2">
        <f>Odometer!B1405</f>
        <v>428761738</v>
      </c>
      <c r="G1405" s="2">
        <f t="shared" si="171"/>
        <v>4</v>
      </c>
      <c r="H1405" s="2">
        <f>SUM($G$2:G1405)</f>
        <v>11844</v>
      </c>
      <c r="I1405" s="10">
        <f t="shared" si="172"/>
        <v>45701.296458333331</v>
      </c>
      <c r="J1405" s="10">
        <f t="shared" si="173"/>
        <v>45701.296458333331</v>
      </c>
      <c r="K1405" s="3">
        <f t="shared" si="175"/>
        <v>11174</v>
      </c>
      <c r="L1405">
        <f t="shared" si="168"/>
        <v>2.516666667</v>
      </c>
      <c r="M1405">
        <f t="shared" si="174"/>
        <v>9.0600000012000006</v>
      </c>
    </row>
    <row r="1406" spans="1:13" x14ac:dyDescent="0.25">
      <c r="A1406" s="9">
        <f>Speed!A1406</f>
        <v>45701.296469907407</v>
      </c>
      <c r="B1406" s="9">
        <f t="shared" si="169"/>
        <v>45701.296469907407</v>
      </c>
      <c r="C1406" s="2">
        <f>Speed!B1406</f>
        <v>1.627777778</v>
      </c>
      <c r="D1406" s="9">
        <f>Odometer!A1406</f>
        <v>45701.297685185185</v>
      </c>
      <c r="E1406" s="9">
        <f t="shared" si="170"/>
        <v>45701.297685185185</v>
      </c>
      <c r="F1406" s="2">
        <f>Odometer!B1406</f>
        <v>428761742</v>
      </c>
      <c r="G1406" s="2">
        <f t="shared" si="171"/>
        <v>5</v>
      </c>
      <c r="H1406" s="2">
        <f>SUM($G$2:G1406)</f>
        <v>11849</v>
      </c>
      <c r="I1406" s="10">
        <f t="shared" si="172"/>
        <v>45701.296469907407</v>
      </c>
      <c r="J1406" s="10">
        <f t="shared" si="173"/>
        <v>45701.296469907407</v>
      </c>
      <c r="K1406" s="3">
        <f t="shared" si="175"/>
        <v>11175</v>
      </c>
      <c r="L1406">
        <f t="shared" si="168"/>
        <v>1.627777778</v>
      </c>
      <c r="M1406">
        <f t="shared" si="174"/>
        <v>5.8600000008000004</v>
      </c>
    </row>
    <row r="1407" spans="1:13" x14ac:dyDescent="0.25">
      <c r="A1407" s="9">
        <f>Speed!A1407</f>
        <v>45701.296481481484</v>
      </c>
      <c r="B1407" s="9">
        <f t="shared" si="169"/>
        <v>45701.296481481477</v>
      </c>
      <c r="C1407" s="2">
        <f>Speed!B1407</f>
        <v>0.78055555600000004</v>
      </c>
      <c r="D1407" s="9">
        <f>Odometer!A1407</f>
        <v>45701.297696759262</v>
      </c>
      <c r="E1407" s="9">
        <f t="shared" si="170"/>
        <v>45701.297696759255</v>
      </c>
      <c r="F1407" s="2">
        <f>Odometer!B1407</f>
        <v>428761747</v>
      </c>
      <c r="G1407" s="2">
        <f t="shared" si="171"/>
        <v>4</v>
      </c>
      <c r="H1407" s="2">
        <f>SUM($G$2:G1407)</f>
        <v>11853</v>
      </c>
      <c r="I1407" s="10">
        <f t="shared" si="172"/>
        <v>45701.296481481484</v>
      </c>
      <c r="J1407" s="10">
        <f t="shared" si="173"/>
        <v>45701.296481481477</v>
      </c>
      <c r="K1407" s="3">
        <f t="shared" si="175"/>
        <v>11176</v>
      </c>
      <c r="L1407">
        <f t="shared" si="168"/>
        <v>0.78055555600000004</v>
      </c>
      <c r="M1407">
        <f t="shared" si="174"/>
        <v>2.8100000016000002</v>
      </c>
    </row>
    <row r="1408" spans="1:13" x14ac:dyDescent="0.25">
      <c r="A1408" s="9">
        <f>Speed!A1408</f>
        <v>45701.296481481484</v>
      </c>
      <c r="B1408" s="9">
        <f t="shared" si="169"/>
        <v>45701.296481481477</v>
      </c>
      <c r="C1408" s="2">
        <f>Speed!B1408</f>
        <v>0.83055555599999997</v>
      </c>
      <c r="D1408" s="9">
        <f>Odometer!A1408</f>
        <v>45701.297708333332</v>
      </c>
      <c r="E1408" s="9">
        <f t="shared" si="170"/>
        <v>45701.297708333332</v>
      </c>
      <c r="F1408" s="2">
        <f>Odometer!B1408</f>
        <v>428761751</v>
      </c>
      <c r="G1408" s="2">
        <f t="shared" si="171"/>
        <v>2</v>
      </c>
      <c r="H1408" s="2">
        <f>SUM($G$2:G1408)</f>
        <v>11855</v>
      </c>
      <c r="I1408" s="10">
        <f t="shared" si="172"/>
        <v>45701.296481481484</v>
      </c>
      <c r="J1408" s="10">
        <f t="shared" si="173"/>
        <v>45701.296481481477</v>
      </c>
      <c r="K1408" s="3">
        <f t="shared" si="175"/>
        <v>11176</v>
      </c>
      <c r="L1408">
        <f t="shared" si="168"/>
        <v>0.78055555600000004</v>
      </c>
      <c r="M1408">
        <f t="shared" si="174"/>
        <v>2.8100000016000002</v>
      </c>
    </row>
    <row r="1409" spans="1:13" x14ac:dyDescent="0.25">
      <c r="A1409" s="9">
        <f>Speed!A1409</f>
        <v>45701.296493055554</v>
      </c>
      <c r="B1409" s="9">
        <f t="shared" si="169"/>
        <v>45701.296493055554</v>
      </c>
      <c r="C1409" s="2">
        <f>Speed!B1409</f>
        <v>0.16666666699999999</v>
      </c>
      <c r="D1409" s="9">
        <f>Odometer!A1409</f>
        <v>45701.297708333332</v>
      </c>
      <c r="E1409" s="9">
        <f t="shared" si="170"/>
        <v>45701.297708333332</v>
      </c>
      <c r="F1409" s="2">
        <f>Odometer!B1409</f>
        <v>428761753</v>
      </c>
      <c r="G1409" s="2">
        <f t="shared" si="171"/>
        <v>3</v>
      </c>
      <c r="H1409" s="2">
        <f>SUM($G$2:G1409)</f>
        <v>11858</v>
      </c>
      <c r="I1409" s="10">
        <f t="shared" si="172"/>
        <v>45701.296493055554</v>
      </c>
      <c r="J1409" s="10">
        <f t="shared" si="173"/>
        <v>45701.296493055554</v>
      </c>
      <c r="K1409" s="3">
        <f t="shared" si="175"/>
        <v>11177</v>
      </c>
      <c r="L1409">
        <f t="shared" si="168"/>
        <v>0.16666666699999999</v>
      </c>
      <c r="M1409">
        <f t="shared" si="174"/>
        <v>0.60000000119999997</v>
      </c>
    </row>
    <row r="1410" spans="1:13" x14ac:dyDescent="0.25">
      <c r="A1410" s="9">
        <f>Speed!A1410</f>
        <v>45701.296493055554</v>
      </c>
      <c r="B1410" s="9">
        <f t="shared" si="169"/>
        <v>45701.296493055554</v>
      </c>
      <c r="C1410" s="2">
        <f>Speed!B1410</f>
        <v>0.13888888899999999</v>
      </c>
      <c r="D1410" s="9">
        <f>Odometer!A1410</f>
        <v>45701.297719907408</v>
      </c>
      <c r="E1410" s="9">
        <f t="shared" si="170"/>
        <v>45701.297719907408</v>
      </c>
      <c r="F1410" s="2">
        <f>Odometer!B1410</f>
        <v>428761756</v>
      </c>
      <c r="G1410" s="2">
        <f t="shared" si="171"/>
        <v>1</v>
      </c>
      <c r="H1410" s="2">
        <f>SUM($G$2:G1410)</f>
        <v>11859</v>
      </c>
      <c r="I1410" s="10">
        <f t="shared" si="172"/>
        <v>45701.296493055554</v>
      </c>
      <c r="J1410" s="10">
        <f t="shared" si="173"/>
        <v>45701.296493055554</v>
      </c>
      <c r="K1410" s="3">
        <f t="shared" si="175"/>
        <v>11177</v>
      </c>
      <c r="L1410">
        <f t="shared" ref="L1410:L1473" si="176">INDEX($C$2:$C$2000, MATCH(I1410,$A$2:$A$2000,0))</f>
        <v>0.16666666699999999</v>
      </c>
      <c r="M1410">
        <f t="shared" si="174"/>
        <v>0.60000000119999997</v>
      </c>
    </row>
    <row r="1411" spans="1:13" x14ac:dyDescent="0.25">
      <c r="A1411" s="9">
        <f>Speed!A1411</f>
        <v>45701.29650462963</v>
      </c>
      <c r="B1411" s="9">
        <f t="shared" ref="B1411:B1474" si="177">MROUND(A1411,"00:00:01")</f>
        <v>45701.29650462963</v>
      </c>
      <c r="C1411" s="2">
        <f>Speed!B1411</f>
        <v>6.1111111000000003E-2</v>
      </c>
      <c r="D1411" s="9">
        <f>Odometer!A1411</f>
        <v>45701.297719907408</v>
      </c>
      <c r="E1411" s="9">
        <f t="shared" ref="E1411:E1474" si="178">MROUND(D1411,"00:00:01")</f>
        <v>45701.297719907408</v>
      </c>
      <c r="F1411" s="2">
        <f>Odometer!B1411</f>
        <v>428761757</v>
      </c>
      <c r="G1411" s="2">
        <f t="shared" ref="G1411:G1474" si="179">IF(F1412-F1411&lt;0,0,F1412-F1411)</f>
        <v>3</v>
      </c>
      <c r="H1411" s="2">
        <f>SUM($G$2:G1411)</f>
        <v>11862</v>
      </c>
      <c r="I1411" s="10">
        <f t="shared" ref="I1411:I1474" si="180">A1411</f>
        <v>45701.29650462963</v>
      </c>
      <c r="J1411" s="10">
        <f t="shared" ref="J1411:J1474" si="181">MROUND(I1411,"0:00:01")</f>
        <v>45701.29650462963</v>
      </c>
      <c r="K1411" s="3" t="e">
        <f t="shared" si="175"/>
        <v>#N/A</v>
      </c>
      <c r="L1411">
        <f t="shared" si="176"/>
        <v>6.1111111000000003E-2</v>
      </c>
      <c r="M1411">
        <f t="shared" ref="M1411:M1474" si="182">L1411*3.6</f>
        <v>0.21999999960000002</v>
      </c>
    </row>
    <row r="1412" spans="1:13" x14ac:dyDescent="0.25">
      <c r="A1412" s="9">
        <f>Speed!A1412</f>
        <v>45701.29650462963</v>
      </c>
      <c r="B1412" s="9">
        <f t="shared" si="177"/>
        <v>45701.29650462963</v>
      </c>
      <c r="C1412" s="2">
        <f>Speed!B1412</f>
        <v>0</v>
      </c>
      <c r="D1412" s="9">
        <f>Odometer!A1412</f>
        <v>45701.297731481478</v>
      </c>
      <c r="E1412" s="9">
        <f t="shared" si="178"/>
        <v>45701.297731481478</v>
      </c>
      <c r="F1412" s="2">
        <f>Odometer!B1412</f>
        <v>428761760</v>
      </c>
      <c r="G1412" s="2">
        <f t="shared" si="179"/>
        <v>3</v>
      </c>
      <c r="H1412" s="2">
        <f>SUM($G$2:G1412)</f>
        <v>11865</v>
      </c>
      <c r="I1412" s="10">
        <f t="shared" si="180"/>
        <v>45701.29650462963</v>
      </c>
      <c r="J1412" s="10">
        <f t="shared" si="181"/>
        <v>45701.29650462963</v>
      </c>
      <c r="K1412" s="3" t="e">
        <f t="shared" ref="K1412:K1475" si="183">IFERROR(INDEX($H$2:$H$2000,MATCH(J1412,$E$2:$E$2000,0)),NA())</f>
        <v>#N/A</v>
      </c>
      <c r="L1412">
        <f t="shared" si="176"/>
        <v>6.1111111000000003E-2</v>
      </c>
      <c r="M1412">
        <f t="shared" si="182"/>
        <v>0.21999999960000002</v>
      </c>
    </row>
    <row r="1413" spans="1:13" x14ac:dyDescent="0.25">
      <c r="A1413" s="9">
        <f>Speed!A1413</f>
        <v>45701.296631944446</v>
      </c>
      <c r="B1413" s="9">
        <f t="shared" si="177"/>
        <v>45701.296631944439</v>
      </c>
      <c r="C1413" s="2">
        <f>Speed!B1413</f>
        <v>0.62222222199999999</v>
      </c>
      <c r="D1413" s="9">
        <f>Odometer!A1413</f>
        <v>45701.297731481478</v>
      </c>
      <c r="E1413" s="9">
        <f t="shared" si="178"/>
        <v>45701.297731481478</v>
      </c>
      <c r="F1413" s="2">
        <f>Odometer!B1413</f>
        <v>428761763</v>
      </c>
      <c r="G1413" s="2">
        <f t="shared" si="179"/>
        <v>1</v>
      </c>
      <c r="H1413" s="2">
        <f>SUM($G$2:G1413)</f>
        <v>11866</v>
      </c>
      <c r="I1413" s="10">
        <f t="shared" si="180"/>
        <v>45701.296631944446</v>
      </c>
      <c r="J1413" s="10">
        <f t="shared" si="181"/>
        <v>45701.296631944439</v>
      </c>
      <c r="K1413" s="3" t="e">
        <f t="shared" si="183"/>
        <v>#N/A</v>
      </c>
      <c r="L1413">
        <f t="shared" si="176"/>
        <v>0.62222222199999999</v>
      </c>
      <c r="M1413">
        <f t="shared" si="182"/>
        <v>2.2399999992000001</v>
      </c>
    </row>
    <row r="1414" spans="1:13" x14ac:dyDescent="0.25">
      <c r="A1414" s="9">
        <f>Speed!A1414</f>
        <v>45701.296631944446</v>
      </c>
      <c r="B1414" s="9">
        <f t="shared" si="177"/>
        <v>45701.296631944439</v>
      </c>
      <c r="C1414" s="2">
        <f>Speed!B1414</f>
        <v>0.94166666700000001</v>
      </c>
      <c r="D1414" s="9">
        <f>Odometer!A1414</f>
        <v>45701.297743055555</v>
      </c>
      <c r="E1414" s="9">
        <f t="shared" si="178"/>
        <v>45701.297743055555</v>
      </c>
      <c r="F1414" s="2">
        <f>Odometer!B1414</f>
        <v>428761764</v>
      </c>
      <c r="G1414" s="2">
        <f t="shared" si="179"/>
        <v>4</v>
      </c>
      <c r="H1414" s="2">
        <f>SUM($G$2:G1414)</f>
        <v>11870</v>
      </c>
      <c r="I1414" s="10">
        <f t="shared" si="180"/>
        <v>45701.296631944446</v>
      </c>
      <c r="J1414" s="10">
        <f t="shared" si="181"/>
        <v>45701.296631944439</v>
      </c>
      <c r="K1414" s="3" t="e">
        <f t="shared" si="183"/>
        <v>#N/A</v>
      </c>
      <c r="L1414">
        <f t="shared" si="176"/>
        <v>0.62222222199999999</v>
      </c>
      <c r="M1414">
        <f t="shared" si="182"/>
        <v>2.2399999992000001</v>
      </c>
    </row>
    <row r="1415" spans="1:13" x14ac:dyDescent="0.25">
      <c r="A1415" s="9">
        <f>Speed!A1415</f>
        <v>45701.296643518515</v>
      </c>
      <c r="B1415" s="9">
        <f t="shared" si="177"/>
        <v>45701.296643518515</v>
      </c>
      <c r="C1415" s="2">
        <f>Speed!B1415</f>
        <v>1.922222222</v>
      </c>
      <c r="D1415" s="9">
        <f>Odometer!A1415</f>
        <v>45701.297754629632</v>
      </c>
      <c r="E1415" s="9">
        <f t="shared" si="178"/>
        <v>45701.297754629624</v>
      </c>
      <c r="F1415" s="2">
        <f>Odometer!B1415</f>
        <v>428761768</v>
      </c>
      <c r="G1415" s="2">
        <f t="shared" si="179"/>
        <v>4</v>
      </c>
      <c r="H1415" s="2">
        <f>SUM($G$2:G1415)</f>
        <v>11874</v>
      </c>
      <c r="I1415" s="10">
        <f t="shared" si="180"/>
        <v>45701.296643518515</v>
      </c>
      <c r="J1415" s="10">
        <f t="shared" si="181"/>
        <v>45701.296643518515</v>
      </c>
      <c r="K1415" s="3">
        <f t="shared" si="183"/>
        <v>11180</v>
      </c>
      <c r="L1415">
        <f t="shared" si="176"/>
        <v>1.922222222</v>
      </c>
      <c r="M1415">
        <f t="shared" si="182"/>
        <v>6.9199999991999999</v>
      </c>
    </row>
    <row r="1416" spans="1:13" x14ac:dyDescent="0.25">
      <c r="A1416" s="9">
        <f>Speed!A1416</f>
        <v>45701.296643518515</v>
      </c>
      <c r="B1416" s="9">
        <f t="shared" si="177"/>
        <v>45701.296643518515</v>
      </c>
      <c r="C1416" s="2">
        <f>Speed!B1416</f>
        <v>2.0194444439999999</v>
      </c>
      <c r="D1416" s="9">
        <f>Odometer!A1416</f>
        <v>45701.297766203701</v>
      </c>
      <c r="E1416" s="9">
        <f t="shared" si="178"/>
        <v>45701.297766203701</v>
      </c>
      <c r="F1416" s="2">
        <f>Odometer!B1416</f>
        <v>428761772</v>
      </c>
      <c r="G1416" s="2">
        <f t="shared" si="179"/>
        <v>4</v>
      </c>
      <c r="H1416" s="2">
        <f>SUM($G$2:G1416)</f>
        <v>11878</v>
      </c>
      <c r="I1416" s="10">
        <f t="shared" si="180"/>
        <v>45701.296643518515</v>
      </c>
      <c r="J1416" s="10">
        <f t="shared" si="181"/>
        <v>45701.296643518515</v>
      </c>
      <c r="K1416" s="3">
        <f t="shared" si="183"/>
        <v>11180</v>
      </c>
      <c r="L1416">
        <f t="shared" si="176"/>
        <v>1.922222222</v>
      </c>
      <c r="M1416">
        <f t="shared" si="182"/>
        <v>6.9199999991999999</v>
      </c>
    </row>
    <row r="1417" spans="1:13" x14ac:dyDescent="0.25">
      <c r="A1417" s="9">
        <f>Speed!A1417</f>
        <v>45701.296655092592</v>
      </c>
      <c r="B1417" s="9">
        <f t="shared" si="177"/>
        <v>45701.296655092592</v>
      </c>
      <c r="C1417" s="2">
        <f>Speed!B1417</f>
        <v>3.1166666670000001</v>
      </c>
      <c r="D1417" s="9">
        <f>Odometer!A1417</f>
        <v>45701.297777777778</v>
      </c>
      <c r="E1417" s="9">
        <f t="shared" si="178"/>
        <v>45701.297777777778</v>
      </c>
      <c r="F1417" s="2">
        <f>Odometer!B1417</f>
        <v>428761776</v>
      </c>
      <c r="G1417" s="2">
        <f t="shared" si="179"/>
        <v>4</v>
      </c>
      <c r="H1417" s="2">
        <f>SUM($G$2:G1417)</f>
        <v>11882</v>
      </c>
      <c r="I1417" s="10">
        <f t="shared" si="180"/>
        <v>45701.296655092592</v>
      </c>
      <c r="J1417" s="10">
        <f t="shared" si="181"/>
        <v>45701.296655092592</v>
      </c>
      <c r="K1417" s="3">
        <f t="shared" si="183"/>
        <v>11184</v>
      </c>
      <c r="L1417">
        <f t="shared" si="176"/>
        <v>3.1166666670000001</v>
      </c>
      <c r="M1417">
        <f t="shared" si="182"/>
        <v>11.220000001200001</v>
      </c>
    </row>
    <row r="1418" spans="1:13" x14ac:dyDescent="0.25">
      <c r="A1418" s="9">
        <f>Speed!A1418</f>
        <v>45701.296666666669</v>
      </c>
      <c r="B1418" s="9">
        <f t="shared" si="177"/>
        <v>45701.296666666662</v>
      </c>
      <c r="C1418" s="2">
        <f>Speed!B1418</f>
        <v>4.4972222220000004</v>
      </c>
      <c r="D1418" s="9">
        <f>Odometer!A1418</f>
        <v>45701.297789351855</v>
      </c>
      <c r="E1418" s="9">
        <f t="shared" si="178"/>
        <v>45701.297789351847</v>
      </c>
      <c r="F1418" s="2">
        <f>Odometer!B1418</f>
        <v>428761780</v>
      </c>
      <c r="G1418" s="2">
        <f t="shared" si="179"/>
        <v>4</v>
      </c>
      <c r="H1418" s="2">
        <f>SUM($G$2:G1418)</f>
        <v>11886</v>
      </c>
      <c r="I1418" s="10">
        <f t="shared" si="180"/>
        <v>45701.296666666669</v>
      </c>
      <c r="J1418" s="10">
        <f t="shared" si="181"/>
        <v>45701.296666666662</v>
      </c>
      <c r="K1418" s="3">
        <f t="shared" si="183"/>
        <v>11188</v>
      </c>
      <c r="L1418">
        <f t="shared" si="176"/>
        <v>4.4972222220000004</v>
      </c>
      <c r="M1418">
        <f t="shared" si="182"/>
        <v>16.189999999200001</v>
      </c>
    </row>
    <row r="1419" spans="1:13" x14ac:dyDescent="0.25">
      <c r="A1419" s="9">
        <f>Speed!A1419</f>
        <v>45701.296678240738</v>
      </c>
      <c r="B1419" s="9">
        <f t="shared" si="177"/>
        <v>45701.296678240738</v>
      </c>
      <c r="C1419" s="2">
        <f>Speed!B1419</f>
        <v>5.625</v>
      </c>
      <c r="D1419" s="9">
        <f>Odometer!A1419</f>
        <v>45701.297800925924</v>
      </c>
      <c r="E1419" s="9">
        <f t="shared" si="178"/>
        <v>45701.297800925924</v>
      </c>
      <c r="F1419" s="2">
        <f>Odometer!B1419</f>
        <v>428761784</v>
      </c>
      <c r="G1419" s="2">
        <f t="shared" si="179"/>
        <v>4</v>
      </c>
      <c r="H1419" s="2">
        <f>SUM($G$2:G1419)</f>
        <v>11890</v>
      </c>
      <c r="I1419" s="10">
        <f t="shared" si="180"/>
        <v>45701.296678240738</v>
      </c>
      <c r="J1419" s="10">
        <f t="shared" si="181"/>
        <v>45701.296678240738</v>
      </c>
      <c r="K1419" s="3">
        <f t="shared" si="183"/>
        <v>11195</v>
      </c>
      <c r="L1419">
        <f t="shared" si="176"/>
        <v>5.625</v>
      </c>
      <c r="M1419">
        <f t="shared" si="182"/>
        <v>20.25</v>
      </c>
    </row>
    <row r="1420" spans="1:13" x14ac:dyDescent="0.25">
      <c r="A1420" s="9">
        <f>Speed!A1420</f>
        <v>45701.296689814815</v>
      </c>
      <c r="B1420" s="9">
        <f t="shared" si="177"/>
        <v>45701.296689814815</v>
      </c>
      <c r="C1420" s="2">
        <f>Speed!B1420</f>
        <v>6.9055555560000004</v>
      </c>
      <c r="D1420" s="9">
        <f>Odometer!A1420</f>
        <v>45701.297812500001</v>
      </c>
      <c r="E1420" s="9">
        <f t="shared" si="178"/>
        <v>45701.297812500001</v>
      </c>
      <c r="F1420" s="2">
        <f>Odometer!B1420</f>
        <v>428761788</v>
      </c>
      <c r="G1420" s="2">
        <f t="shared" si="179"/>
        <v>4</v>
      </c>
      <c r="H1420" s="2">
        <f>SUM($G$2:G1420)</f>
        <v>11894</v>
      </c>
      <c r="I1420" s="10">
        <f t="shared" si="180"/>
        <v>45701.296689814815</v>
      </c>
      <c r="J1420" s="10">
        <f t="shared" si="181"/>
        <v>45701.296689814815</v>
      </c>
      <c r="K1420" s="3">
        <f t="shared" si="183"/>
        <v>11199</v>
      </c>
      <c r="L1420">
        <f t="shared" si="176"/>
        <v>6.9055555560000004</v>
      </c>
      <c r="M1420">
        <f t="shared" si="182"/>
        <v>24.860000001600003</v>
      </c>
    </row>
    <row r="1421" spans="1:13" x14ac:dyDescent="0.25">
      <c r="A1421" s="9">
        <f>Speed!A1421</f>
        <v>45701.296689814815</v>
      </c>
      <c r="B1421" s="9">
        <f t="shared" si="177"/>
        <v>45701.296689814815</v>
      </c>
      <c r="C1421" s="2">
        <f>Speed!B1421</f>
        <v>7.5250000000000004</v>
      </c>
      <c r="D1421" s="9">
        <f>Odometer!A1421</f>
        <v>45701.297824074078</v>
      </c>
      <c r="E1421" s="9">
        <f t="shared" si="178"/>
        <v>45701.29782407407</v>
      </c>
      <c r="F1421" s="2">
        <f>Odometer!B1421</f>
        <v>428761792</v>
      </c>
      <c r="G1421" s="2">
        <f t="shared" si="179"/>
        <v>1</v>
      </c>
      <c r="H1421" s="2">
        <f>SUM($G$2:G1421)</f>
        <v>11895</v>
      </c>
      <c r="I1421" s="10">
        <f t="shared" si="180"/>
        <v>45701.296689814815</v>
      </c>
      <c r="J1421" s="10">
        <f t="shared" si="181"/>
        <v>45701.296689814815</v>
      </c>
      <c r="K1421" s="3">
        <f t="shared" si="183"/>
        <v>11199</v>
      </c>
      <c r="L1421">
        <f t="shared" si="176"/>
        <v>6.9055555560000004</v>
      </c>
      <c r="M1421">
        <f t="shared" si="182"/>
        <v>24.860000001600003</v>
      </c>
    </row>
    <row r="1422" spans="1:13" x14ac:dyDescent="0.25">
      <c r="A1422" s="9">
        <f>Speed!A1422</f>
        <v>45701.296689814815</v>
      </c>
      <c r="B1422" s="9">
        <f t="shared" si="177"/>
        <v>45701.296689814815</v>
      </c>
      <c r="C1422" s="2">
        <f>Speed!B1422</f>
        <v>8.1888888889999993</v>
      </c>
      <c r="D1422" s="9">
        <f>Odometer!A1422</f>
        <v>45701.297824074078</v>
      </c>
      <c r="E1422" s="9">
        <f t="shared" si="178"/>
        <v>45701.29782407407</v>
      </c>
      <c r="F1422" s="2">
        <f>Odometer!B1422</f>
        <v>428761793</v>
      </c>
      <c r="G1422" s="2">
        <f t="shared" si="179"/>
        <v>2</v>
      </c>
      <c r="H1422" s="2">
        <f>SUM($G$2:G1422)</f>
        <v>11897</v>
      </c>
      <c r="I1422" s="10">
        <f t="shared" si="180"/>
        <v>45701.296689814815</v>
      </c>
      <c r="J1422" s="10">
        <f t="shared" si="181"/>
        <v>45701.296689814815</v>
      </c>
      <c r="K1422" s="3">
        <f t="shared" si="183"/>
        <v>11199</v>
      </c>
      <c r="L1422">
        <f t="shared" si="176"/>
        <v>6.9055555560000004</v>
      </c>
      <c r="M1422">
        <f t="shared" si="182"/>
        <v>24.860000001600003</v>
      </c>
    </row>
    <row r="1423" spans="1:13" x14ac:dyDescent="0.25">
      <c r="A1423" s="9">
        <f>Speed!A1423</f>
        <v>45701.296712962961</v>
      </c>
      <c r="B1423" s="9">
        <f t="shared" si="177"/>
        <v>45701.296712962961</v>
      </c>
      <c r="C1423" s="2">
        <f>Speed!B1423</f>
        <v>9.5083333329999995</v>
      </c>
      <c r="D1423" s="9">
        <f>Odometer!A1423</f>
        <v>45701.297835648147</v>
      </c>
      <c r="E1423" s="9">
        <f t="shared" si="178"/>
        <v>45701.297835648147</v>
      </c>
      <c r="F1423" s="2">
        <f>Odometer!B1423</f>
        <v>428761795</v>
      </c>
      <c r="G1423" s="2">
        <f t="shared" si="179"/>
        <v>1</v>
      </c>
      <c r="H1423" s="2">
        <f>SUM($G$2:G1423)</f>
        <v>11898</v>
      </c>
      <c r="I1423" s="10">
        <f t="shared" si="180"/>
        <v>45701.296712962961</v>
      </c>
      <c r="J1423" s="10">
        <f t="shared" si="181"/>
        <v>45701.296712962961</v>
      </c>
      <c r="K1423" s="3">
        <f t="shared" si="183"/>
        <v>11221</v>
      </c>
      <c r="L1423">
        <f t="shared" si="176"/>
        <v>9.5083333329999995</v>
      </c>
      <c r="M1423">
        <f t="shared" si="182"/>
        <v>34.229999998799997</v>
      </c>
    </row>
    <row r="1424" spans="1:13" x14ac:dyDescent="0.25">
      <c r="A1424" s="9">
        <f>Speed!A1424</f>
        <v>45701.296712962961</v>
      </c>
      <c r="B1424" s="9">
        <f t="shared" si="177"/>
        <v>45701.296712962961</v>
      </c>
      <c r="C1424" s="2">
        <f>Speed!B1424</f>
        <v>9.4305555559999998</v>
      </c>
      <c r="D1424" s="9">
        <f>Odometer!A1424</f>
        <v>45701.297835648147</v>
      </c>
      <c r="E1424" s="9">
        <f t="shared" si="178"/>
        <v>45701.297835648147</v>
      </c>
      <c r="F1424" s="2">
        <f>Odometer!B1424</f>
        <v>428761796</v>
      </c>
      <c r="G1424" s="2">
        <f t="shared" si="179"/>
        <v>3</v>
      </c>
      <c r="H1424" s="2">
        <f>SUM($G$2:G1424)</f>
        <v>11901</v>
      </c>
      <c r="I1424" s="10">
        <f t="shared" si="180"/>
        <v>45701.296712962961</v>
      </c>
      <c r="J1424" s="10">
        <f t="shared" si="181"/>
        <v>45701.296712962961</v>
      </c>
      <c r="K1424" s="3">
        <f t="shared" si="183"/>
        <v>11221</v>
      </c>
      <c r="L1424">
        <f t="shared" si="176"/>
        <v>9.5083333329999995</v>
      </c>
      <c r="M1424">
        <f t="shared" si="182"/>
        <v>34.229999998799997</v>
      </c>
    </row>
    <row r="1425" spans="1:13" x14ac:dyDescent="0.25">
      <c r="A1425" s="9">
        <f>Speed!A1425</f>
        <v>45701.296724537038</v>
      </c>
      <c r="B1425" s="9">
        <f t="shared" si="177"/>
        <v>45701.296724537038</v>
      </c>
      <c r="C1425" s="2">
        <f>Speed!B1425</f>
        <v>10.57222222</v>
      </c>
      <c r="D1425" s="9">
        <f>Odometer!A1425</f>
        <v>45701.297847222224</v>
      </c>
      <c r="E1425" s="9">
        <f t="shared" si="178"/>
        <v>45701.297847222217</v>
      </c>
      <c r="F1425" s="2">
        <f>Odometer!B1425</f>
        <v>428761799</v>
      </c>
      <c r="G1425" s="2">
        <f t="shared" si="179"/>
        <v>4</v>
      </c>
      <c r="H1425" s="2">
        <f>SUM($G$2:G1425)</f>
        <v>11905</v>
      </c>
      <c r="I1425" s="10">
        <f t="shared" si="180"/>
        <v>45701.296724537038</v>
      </c>
      <c r="J1425" s="10">
        <f t="shared" si="181"/>
        <v>45701.296724537038</v>
      </c>
      <c r="K1425" s="3">
        <f t="shared" si="183"/>
        <v>11222</v>
      </c>
      <c r="L1425">
        <f t="shared" si="176"/>
        <v>10.57222222</v>
      </c>
      <c r="M1425">
        <f t="shared" si="182"/>
        <v>38.059999992000002</v>
      </c>
    </row>
    <row r="1426" spans="1:13" x14ac:dyDescent="0.25">
      <c r="A1426" s="9">
        <f>Speed!A1426</f>
        <v>45701.296724537038</v>
      </c>
      <c r="B1426" s="9">
        <f t="shared" si="177"/>
        <v>45701.296724537038</v>
      </c>
      <c r="C1426" s="2">
        <f>Speed!B1426</f>
        <v>10.633333329999999</v>
      </c>
      <c r="D1426" s="9">
        <f>Odometer!A1426</f>
        <v>45701.297858796293</v>
      </c>
      <c r="E1426" s="9">
        <f t="shared" si="178"/>
        <v>45701.297858796293</v>
      </c>
      <c r="F1426" s="2">
        <f>Odometer!B1426</f>
        <v>428761803</v>
      </c>
      <c r="G1426" s="2">
        <f t="shared" si="179"/>
        <v>3</v>
      </c>
      <c r="H1426" s="2">
        <f>SUM($G$2:G1426)</f>
        <v>11908</v>
      </c>
      <c r="I1426" s="10">
        <f t="shared" si="180"/>
        <v>45701.296724537038</v>
      </c>
      <c r="J1426" s="10">
        <f t="shared" si="181"/>
        <v>45701.296724537038</v>
      </c>
      <c r="K1426" s="3">
        <f t="shared" si="183"/>
        <v>11222</v>
      </c>
      <c r="L1426">
        <f t="shared" si="176"/>
        <v>10.57222222</v>
      </c>
      <c r="M1426">
        <f t="shared" si="182"/>
        <v>38.059999992000002</v>
      </c>
    </row>
    <row r="1427" spans="1:13" x14ac:dyDescent="0.25">
      <c r="A1427" s="9">
        <f>Speed!A1427</f>
        <v>45701.296736111108</v>
      </c>
      <c r="B1427" s="9">
        <f t="shared" si="177"/>
        <v>45701.296736111108</v>
      </c>
      <c r="C1427" s="2">
        <f>Speed!B1427</f>
        <v>11.40555556</v>
      </c>
      <c r="D1427" s="9">
        <f>Odometer!A1427</f>
        <v>45701.29787037037</v>
      </c>
      <c r="E1427" s="9">
        <f t="shared" si="178"/>
        <v>45701.29787037037</v>
      </c>
      <c r="F1427" s="2">
        <f>Odometer!B1427</f>
        <v>428761806</v>
      </c>
      <c r="G1427" s="2">
        <f t="shared" si="179"/>
        <v>2</v>
      </c>
      <c r="H1427" s="2">
        <f>SUM($G$2:G1427)</f>
        <v>11910</v>
      </c>
      <c r="I1427" s="10">
        <f t="shared" si="180"/>
        <v>45701.296736111108</v>
      </c>
      <c r="J1427" s="10">
        <f t="shared" si="181"/>
        <v>45701.296736111108</v>
      </c>
      <c r="K1427" s="3">
        <f t="shared" si="183"/>
        <v>11242</v>
      </c>
      <c r="L1427">
        <f t="shared" si="176"/>
        <v>11.40555556</v>
      </c>
      <c r="M1427">
        <f t="shared" si="182"/>
        <v>41.060000016000004</v>
      </c>
    </row>
    <row r="1428" spans="1:13" x14ac:dyDescent="0.25">
      <c r="A1428" s="9">
        <f>Speed!A1428</f>
        <v>45701.296736111108</v>
      </c>
      <c r="B1428" s="9">
        <f t="shared" si="177"/>
        <v>45701.296736111108</v>
      </c>
      <c r="C1428" s="2">
        <f>Speed!B1428</f>
        <v>12.044444439999999</v>
      </c>
      <c r="D1428" s="9">
        <f>Odometer!A1428</f>
        <v>45701.29787037037</v>
      </c>
      <c r="E1428" s="9">
        <f t="shared" si="178"/>
        <v>45701.29787037037</v>
      </c>
      <c r="F1428" s="2">
        <f>Odometer!B1428</f>
        <v>428761808</v>
      </c>
      <c r="G1428" s="2">
        <f t="shared" si="179"/>
        <v>1</v>
      </c>
      <c r="H1428" s="2">
        <f>SUM($G$2:G1428)</f>
        <v>11911</v>
      </c>
      <c r="I1428" s="10">
        <f t="shared" si="180"/>
        <v>45701.296736111108</v>
      </c>
      <c r="J1428" s="10">
        <f t="shared" si="181"/>
        <v>45701.296736111108</v>
      </c>
      <c r="K1428" s="3">
        <f t="shared" si="183"/>
        <v>11242</v>
      </c>
      <c r="L1428">
        <f t="shared" si="176"/>
        <v>11.40555556</v>
      </c>
      <c r="M1428">
        <f t="shared" si="182"/>
        <v>41.060000016000004</v>
      </c>
    </row>
    <row r="1429" spans="1:13" x14ac:dyDescent="0.25">
      <c r="A1429" s="9">
        <f>Speed!A1429</f>
        <v>45701.296747685185</v>
      </c>
      <c r="B1429" s="9">
        <f t="shared" si="177"/>
        <v>45701.296747685185</v>
      </c>
      <c r="C1429" s="2">
        <f>Speed!B1429</f>
        <v>12.13888889</v>
      </c>
      <c r="D1429" s="9">
        <f>Odometer!A1429</f>
        <v>45701.297881944447</v>
      </c>
      <c r="E1429" s="9">
        <f t="shared" si="178"/>
        <v>45701.29788194444</v>
      </c>
      <c r="F1429" s="2">
        <f>Odometer!B1429</f>
        <v>428761809</v>
      </c>
      <c r="G1429" s="2">
        <f t="shared" si="179"/>
        <v>2</v>
      </c>
      <c r="H1429" s="2">
        <f>SUM($G$2:G1429)</f>
        <v>11913</v>
      </c>
      <c r="I1429" s="10">
        <f t="shared" si="180"/>
        <v>45701.296747685185</v>
      </c>
      <c r="J1429" s="10">
        <f t="shared" si="181"/>
        <v>45701.296747685185</v>
      </c>
      <c r="K1429" s="3">
        <f t="shared" si="183"/>
        <v>11257</v>
      </c>
      <c r="L1429">
        <f t="shared" si="176"/>
        <v>12.13888889</v>
      </c>
      <c r="M1429">
        <f t="shared" si="182"/>
        <v>43.700000004000003</v>
      </c>
    </row>
    <row r="1430" spans="1:13" x14ac:dyDescent="0.25">
      <c r="A1430" s="9">
        <f>Speed!A1430</f>
        <v>45701.296759259261</v>
      </c>
      <c r="B1430" s="9">
        <f t="shared" si="177"/>
        <v>45701.296759259254</v>
      </c>
      <c r="C1430" s="2">
        <f>Speed!B1430</f>
        <v>12.91111111</v>
      </c>
      <c r="D1430" s="9">
        <f>Odometer!A1430</f>
        <v>45701.297893518517</v>
      </c>
      <c r="E1430" s="9">
        <f t="shared" si="178"/>
        <v>45701.297893518517</v>
      </c>
      <c r="F1430" s="2">
        <f>Odometer!B1430</f>
        <v>428761811</v>
      </c>
      <c r="G1430" s="2">
        <f t="shared" si="179"/>
        <v>3</v>
      </c>
      <c r="H1430" s="2">
        <f>SUM($G$2:G1430)</f>
        <v>11916</v>
      </c>
      <c r="I1430" s="10">
        <f t="shared" si="180"/>
        <v>45701.296759259261</v>
      </c>
      <c r="J1430" s="10">
        <f t="shared" si="181"/>
        <v>45701.296759259254</v>
      </c>
      <c r="K1430" s="3">
        <f t="shared" si="183"/>
        <v>11270</v>
      </c>
      <c r="L1430">
        <f t="shared" si="176"/>
        <v>12.91111111</v>
      </c>
      <c r="M1430">
        <f t="shared" si="182"/>
        <v>46.479999996000004</v>
      </c>
    </row>
    <row r="1431" spans="1:13" x14ac:dyDescent="0.25">
      <c r="A1431" s="9">
        <f>Speed!A1431</f>
        <v>45701.296770833331</v>
      </c>
      <c r="B1431" s="9">
        <f t="shared" si="177"/>
        <v>45701.296770833331</v>
      </c>
      <c r="C1431" s="2">
        <f>Speed!B1431</f>
        <v>13.36388889</v>
      </c>
      <c r="D1431" s="9">
        <f>Odometer!A1431</f>
        <v>45701.297905092593</v>
      </c>
      <c r="E1431" s="9">
        <f t="shared" si="178"/>
        <v>45701.297905092593</v>
      </c>
      <c r="F1431" s="2">
        <f>Odometer!B1431</f>
        <v>428761814</v>
      </c>
      <c r="G1431" s="2">
        <f t="shared" si="179"/>
        <v>1</v>
      </c>
      <c r="H1431" s="2">
        <f>SUM($G$2:G1431)</f>
        <v>11917</v>
      </c>
      <c r="I1431" s="10">
        <f t="shared" si="180"/>
        <v>45701.296770833331</v>
      </c>
      <c r="J1431" s="10">
        <f t="shared" si="181"/>
        <v>45701.296770833331</v>
      </c>
      <c r="K1431" s="3">
        <f t="shared" si="183"/>
        <v>11283</v>
      </c>
      <c r="L1431">
        <f t="shared" si="176"/>
        <v>13.36388889</v>
      </c>
      <c r="M1431">
        <f t="shared" si="182"/>
        <v>48.110000004</v>
      </c>
    </row>
    <row r="1432" spans="1:13" x14ac:dyDescent="0.25">
      <c r="A1432" s="9">
        <f>Speed!A1432</f>
        <v>45701.296782407408</v>
      </c>
      <c r="B1432" s="9">
        <f t="shared" si="177"/>
        <v>45701.296782407408</v>
      </c>
      <c r="C1432" s="2">
        <f>Speed!B1432</f>
        <v>13.73888889</v>
      </c>
      <c r="D1432" s="9">
        <f>Odometer!A1432</f>
        <v>45701.29791666667</v>
      </c>
      <c r="E1432" s="9">
        <f t="shared" si="178"/>
        <v>45701.297916666663</v>
      </c>
      <c r="F1432" s="2">
        <f>Odometer!B1432</f>
        <v>428761815</v>
      </c>
      <c r="G1432" s="2">
        <f t="shared" si="179"/>
        <v>1</v>
      </c>
      <c r="H1432" s="2">
        <f>SUM($G$2:G1432)</f>
        <v>11918</v>
      </c>
      <c r="I1432" s="10">
        <f t="shared" si="180"/>
        <v>45701.296782407408</v>
      </c>
      <c r="J1432" s="10">
        <f t="shared" si="181"/>
        <v>45701.296782407408</v>
      </c>
      <c r="K1432" s="3">
        <f t="shared" si="183"/>
        <v>11298</v>
      </c>
      <c r="L1432">
        <f t="shared" si="176"/>
        <v>13.73888889</v>
      </c>
      <c r="M1432">
        <f t="shared" si="182"/>
        <v>49.460000004000001</v>
      </c>
    </row>
    <row r="1433" spans="1:13" x14ac:dyDescent="0.25">
      <c r="A1433" s="9">
        <f>Speed!A1433</f>
        <v>45701.296793981484</v>
      </c>
      <c r="B1433" s="9">
        <f t="shared" si="177"/>
        <v>45701.296793981477</v>
      </c>
      <c r="C1433" s="2">
        <f>Speed!B1433</f>
        <v>13.997222219999999</v>
      </c>
      <c r="D1433" s="9">
        <f>Odometer!A1433</f>
        <v>45701.29792824074</v>
      </c>
      <c r="E1433" s="9">
        <f t="shared" si="178"/>
        <v>45701.29792824074</v>
      </c>
      <c r="F1433" s="2">
        <f>Odometer!B1433</f>
        <v>428761816</v>
      </c>
      <c r="G1433" s="2">
        <f t="shared" si="179"/>
        <v>1</v>
      </c>
      <c r="H1433" s="2">
        <f>SUM($G$2:G1433)</f>
        <v>11919</v>
      </c>
      <c r="I1433" s="10">
        <f t="shared" si="180"/>
        <v>45701.296793981484</v>
      </c>
      <c r="J1433" s="10">
        <f t="shared" si="181"/>
        <v>45701.296793981477</v>
      </c>
      <c r="K1433" s="3">
        <f t="shared" si="183"/>
        <v>11311</v>
      </c>
      <c r="L1433">
        <f t="shared" si="176"/>
        <v>13.997222219999999</v>
      </c>
      <c r="M1433">
        <f t="shared" si="182"/>
        <v>50.389999992</v>
      </c>
    </row>
    <row r="1434" spans="1:13" x14ac:dyDescent="0.25">
      <c r="A1434" s="9">
        <f>Speed!A1434</f>
        <v>45701.296793981484</v>
      </c>
      <c r="B1434" s="9">
        <f t="shared" si="177"/>
        <v>45701.296793981477</v>
      </c>
      <c r="C1434" s="2">
        <f>Speed!B1434</f>
        <v>13.994444440000001</v>
      </c>
      <c r="D1434" s="9">
        <f>Odometer!A1434</f>
        <v>45701.297939814816</v>
      </c>
      <c r="E1434" s="9">
        <f t="shared" si="178"/>
        <v>45701.297939814809</v>
      </c>
      <c r="F1434" s="2">
        <f>Odometer!B1434</f>
        <v>428761817</v>
      </c>
      <c r="G1434" s="2">
        <f t="shared" si="179"/>
        <v>1</v>
      </c>
      <c r="H1434" s="2">
        <f>SUM($G$2:G1434)</f>
        <v>11920</v>
      </c>
      <c r="I1434" s="10">
        <f t="shared" si="180"/>
        <v>45701.296793981484</v>
      </c>
      <c r="J1434" s="10">
        <f t="shared" si="181"/>
        <v>45701.296793981477</v>
      </c>
      <c r="K1434" s="3">
        <f t="shared" si="183"/>
        <v>11311</v>
      </c>
      <c r="L1434">
        <f t="shared" si="176"/>
        <v>13.997222219999999</v>
      </c>
      <c r="M1434">
        <f t="shared" si="182"/>
        <v>50.389999992</v>
      </c>
    </row>
    <row r="1435" spans="1:13" x14ac:dyDescent="0.25">
      <c r="A1435" s="9">
        <f>Speed!A1435</f>
        <v>45701.296805555554</v>
      </c>
      <c r="B1435" s="9">
        <f t="shared" si="177"/>
        <v>45701.296805555554</v>
      </c>
      <c r="C1435" s="2">
        <f>Speed!B1435</f>
        <v>14.18333333</v>
      </c>
      <c r="D1435" s="9">
        <f>Odometer!A1435</f>
        <v>45701.297951388886</v>
      </c>
      <c r="E1435" s="9">
        <f t="shared" si="178"/>
        <v>45701.297951388886</v>
      </c>
      <c r="F1435" s="2">
        <f>Odometer!B1435</f>
        <v>428761818</v>
      </c>
      <c r="G1435" s="2">
        <f t="shared" si="179"/>
        <v>0</v>
      </c>
      <c r="H1435" s="2">
        <f>SUM($G$2:G1435)</f>
        <v>11920</v>
      </c>
      <c r="I1435" s="10">
        <f t="shared" si="180"/>
        <v>45701.296805555554</v>
      </c>
      <c r="J1435" s="10">
        <f t="shared" si="181"/>
        <v>45701.296805555554</v>
      </c>
      <c r="K1435" s="3">
        <f t="shared" si="183"/>
        <v>11312</v>
      </c>
      <c r="L1435">
        <f t="shared" si="176"/>
        <v>14.18333333</v>
      </c>
      <c r="M1435">
        <f t="shared" si="182"/>
        <v>51.059999988000001</v>
      </c>
    </row>
    <row r="1436" spans="1:13" x14ac:dyDescent="0.25">
      <c r="A1436" s="9">
        <f>Speed!A1436</f>
        <v>45701.296805555554</v>
      </c>
      <c r="B1436" s="9">
        <f t="shared" si="177"/>
        <v>45701.296805555554</v>
      </c>
      <c r="C1436" s="2">
        <f>Speed!B1436</f>
        <v>14.205555560000001</v>
      </c>
      <c r="D1436" s="9">
        <f>Odometer!A1436</f>
        <v>0</v>
      </c>
      <c r="E1436" s="9">
        <f t="shared" si="178"/>
        <v>0</v>
      </c>
      <c r="F1436" s="2">
        <f>Odometer!B1436</f>
        <v>0</v>
      </c>
      <c r="G1436" s="2">
        <f t="shared" si="179"/>
        <v>0</v>
      </c>
      <c r="H1436" s="2">
        <f>SUM($G$2:G1436)</f>
        <v>11920</v>
      </c>
      <c r="I1436" s="10">
        <f t="shared" si="180"/>
        <v>45701.296805555554</v>
      </c>
      <c r="J1436" s="10">
        <f t="shared" si="181"/>
        <v>45701.296805555554</v>
      </c>
      <c r="K1436" s="3">
        <f t="shared" si="183"/>
        <v>11312</v>
      </c>
      <c r="L1436">
        <f t="shared" si="176"/>
        <v>14.18333333</v>
      </c>
      <c r="M1436">
        <f t="shared" si="182"/>
        <v>51.059999988000001</v>
      </c>
    </row>
    <row r="1437" spans="1:13" x14ac:dyDescent="0.25">
      <c r="A1437" s="9">
        <f>Speed!A1437</f>
        <v>45701.296817129631</v>
      </c>
      <c r="B1437" s="9">
        <f t="shared" si="177"/>
        <v>45701.296817129631</v>
      </c>
      <c r="C1437" s="2">
        <f>Speed!B1437</f>
        <v>14.40833333</v>
      </c>
      <c r="D1437" s="9">
        <f>Odometer!A1437</f>
        <v>0</v>
      </c>
      <c r="E1437" s="9">
        <f t="shared" si="178"/>
        <v>0</v>
      </c>
      <c r="F1437" s="2">
        <f>Odometer!B1437</f>
        <v>0</v>
      </c>
      <c r="G1437" s="2">
        <f t="shared" si="179"/>
        <v>0</v>
      </c>
      <c r="H1437" s="2">
        <f>SUM($G$2:G1437)</f>
        <v>11920</v>
      </c>
      <c r="I1437" s="10">
        <f t="shared" si="180"/>
        <v>45701.296817129631</v>
      </c>
      <c r="J1437" s="10">
        <f t="shared" si="181"/>
        <v>45701.296817129631</v>
      </c>
      <c r="K1437" s="3">
        <f t="shared" si="183"/>
        <v>11340</v>
      </c>
      <c r="L1437">
        <f t="shared" si="176"/>
        <v>14.40833333</v>
      </c>
      <c r="M1437">
        <f t="shared" si="182"/>
        <v>51.869999987999996</v>
      </c>
    </row>
    <row r="1438" spans="1:13" x14ac:dyDescent="0.25">
      <c r="A1438" s="9">
        <f>Speed!A1438</f>
        <v>45701.2968287037</v>
      </c>
      <c r="B1438" s="9">
        <f t="shared" si="177"/>
        <v>45701.2968287037</v>
      </c>
      <c r="C1438" s="2">
        <f>Speed!B1438</f>
        <v>14.538888890000001</v>
      </c>
      <c r="D1438" s="9">
        <f>Odometer!A1438</f>
        <v>0</v>
      </c>
      <c r="E1438" s="9">
        <f t="shared" si="178"/>
        <v>0</v>
      </c>
      <c r="F1438" s="2">
        <f>Odometer!B1438</f>
        <v>0</v>
      </c>
      <c r="G1438" s="2">
        <f t="shared" si="179"/>
        <v>0</v>
      </c>
      <c r="H1438" s="2">
        <f>SUM($G$2:G1438)</f>
        <v>11920</v>
      </c>
      <c r="I1438" s="10">
        <f t="shared" si="180"/>
        <v>45701.2968287037</v>
      </c>
      <c r="J1438" s="10">
        <f t="shared" si="181"/>
        <v>45701.2968287037</v>
      </c>
      <c r="K1438" s="3">
        <f t="shared" si="183"/>
        <v>11355</v>
      </c>
      <c r="L1438">
        <f t="shared" si="176"/>
        <v>14.538888890000001</v>
      </c>
      <c r="M1438">
        <f t="shared" si="182"/>
        <v>52.340000004000004</v>
      </c>
    </row>
    <row r="1439" spans="1:13" x14ac:dyDescent="0.25">
      <c r="A1439" s="9">
        <f>Speed!A1439</f>
        <v>45701.296840277777</v>
      </c>
      <c r="B1439" s="9">
        <f t="shared" si="177"/>
        <v>45701.296840277777</v>
      </c>
      <c r="C1439" s="2">
        <f>Speed!B1439</f>
        <v>14.627777780000001</v>
      </c>
      <c r="D1439" s="9">
        <f>Odometer!A1439</f>
        <v>0</v>
      </c>
      <c r="E1439" s="9">
        <f t="shared" si="178"/>
        <v>0</v>
      </c>
      <c r="F1439" s="2">
        <f>Odometer!B1439</f>
        <v>0</v>
      </c>
      <c r="G1439" s="2">
        <f t="shared" si="179"/>
        <v>0</v>
      </c>
      <c r="H1439" s="2">
        <f>SUM($G$2:G1439)</f>
        <v>11920</v>
      </c>
      <c r="I1439" s="10">
        <f t="shared" si="180"/>
        <v>45701.296840277777</v>
      </c>
      <c r="J1439" s="10">
        <f t="shared" si="181"/>
        <v>45701.296840277777</v>
      </c>
      <c r="K1439" s="3">
        <f t="shared" si="183"/>
        <v>11370</v>
      </c>
      <c r="L1439">
        <f t="shared" si="176"/>
        <v>14.627777780000001</v>
      </c>
      <c r="M1439">
        <f t="shared" si="182"/>
        <v>52.660000008000004</v>
      </c>
    </row>
    <row r="1440" spans="1:13" x14ac:dyDescent="0.25">
      <c r="A1440" s="9">
        <f>Speed!A1440</f>
        <v>45701.296851851854</v>
      </c>
      <c r="B1440" s="9">
        <f t="shared" si="177"/>
        <v>45701.296851851846</v>
      </c>
      <c r="C1440" s="2">
        <f>Speed!B1440</f>
        <v>14.52222222</v>
      </c>
      <c r="D1440" s="9">
        <f>Odometer!A1440</f>
        <v>0</v>
      </c>
      <c r="E1440" s="9">
        <f t="shared" si="178"/>
        <v>0</v>
      </c>
      <c r="F1440" s="2">
        <f>Odometer!B1440</f>
        <v>0</v>
      </c>
      <c r="G1440" s="2">
        <f t="shared" si="179"/>
        <v>0</v>
      </c>
      <c r="H1440" s="2">
        <f>SUM($G$2:G1440)</f>
        <v>11920</v>
      </c>
      <c r="I1440" s="10">
        <f t="shared" si="180"/>
        <v>45701.296851851854</v>
      </c>
      <c r="J1440" s="10">
        <f t="shared" si="181"/>
        <v>45701.296851851846</v>
      </c>
      <c r="K1440" s="3">
        <f t="shared" si="183"/>
        <v>11385</v>
      </c>
      <c r="L1440">
        <f t="shared" si="176"/>
        <v>14.52222222</v>
      </c>
      <c r="M1440">
        <f t="shared" si="182"/>
        <v>52.279999992</v>
      </c>
    </row>
    <row r="1441" spans="1:13" x14ac:dyDescent="0.25">
      <c r="A1441" s="9">
        <f>Speed!A1441</f>
        <v>45701.296863425923</v>
      </c>
      <c r="B1441" s="9">
        <f t="shared" si="177"/>
        <v>45701.296863425923</v>
      </c>
      <c r="C1441" s="2">
        <f>Speed!B1441</f>
        <v>14.36388889</v>
      </c>
      <c r="D1441" s="9">
        <f>Odometer!A1441</f>
        <v>0</v>
      </c>
      <c r="E1441" s="9">
        <f t="shared" si="178"/>
        <v>0</v>
      </c>
      <c r="F1441" s="2">
        <f>Odometer!B1441</f>
        <v>0</v>
      </c>
      <c r="G1441" s="2">
        <f t="shared" si="179"/>
        <v>0</v>
      </c>
      <c r="H1441" s="2">
        <f>SUM($G$2:G1441)</f>
        <v>11920</v>
      </c>
      <c r="I1441" s="10">
        <f t="shared" si="180"/>
        <v>45701.296863425923</v>
      </c>
      <c r="J1441" s="10">
        <f t="shared" si="181"/>
        <v>45701.296863425923</v>
      </c>
      <c r="K1441" s="3">
        <f t="shared" si="183"/>
        <v>11389</v>
      </c>
      <c r="L1441">
        <f t="shared" si="176"/>
        <v>14.36388889</v>
      </c>
      <c r="M1441">
        <f t="shared" si="182"/>
        <v>51.710000004000001</v>
      </c>
    </row>
    <row r="1442" spans="1:13" x14ac:dyDescent="0.25">
      <c r="A1442" s="9">
        <f>Speed!A1442</f>
        <v>45701.296863425923</v>
      </c>
      <c r="B1442" s="9">
        <f t="shared" si="177"/>
        <v>45701.296863425923</v>
      </c>
      <c r="C1442" s="2">
        <f>Speed!B1442</f>
        <v>14.35277778</v>
      </c>
      <c r="D1442" s="9">
        <f>Odometer!A1442</f>
        <v>0</v>
      </c>
      <c r="E1442" s="9">
        <f t="shared" si="178"/>
        <v>0</v>
      </c>
      <c r="F1442" s="2">
        <f>Odometer!B1442</f>
        <v>0</v>
      </c>
      <c r="G1442" s="2">
        <f t="shared" si="179"/>
        <v>0</v>
      </c>
      <c r="H1442" s="2">
        <f>SUM($G$2:G1442)</f>
        <v>11920</v>
      </c>
      <c r="I1442" s="10">
        <f t="shared" si="180"/>
        <v>45701.296863425923</v>
      </c>
      <c r="J1442" s="10">
        <f t="shared" si="181"/>
        <v>45701.296863425923</v>
      </c>
      <c r="K1442" s="3">
        <f t="shared" si="183"/>
        <v>11389</v>
      </c>
      <c r="L1442">
        <f t="shared" si="176"/>
        <v>14.36388889</v>
      </c>
      <c r="M1442">
        <f t="shared" si="182"/>
        <v>51.710000004000001</v>
      </c>
    </row>
    <row r="1443" spans="1:13" x14ac:dyDescent="0.25">
      <c r="A1443" s="9">
        <f>Speed!A1443</f>
        <v>45701.296863425923</v>
      </c>
      <c r="B1443" s="9">
        <f t="shared" si="177"/>
        <v>45701.296863425923</v>
      </c>
      <c r="C1443" s="2">
        <f>Speed!B1443</f>
        <v>14.34444444</v>
      </c>
      <c r="D1443" s="9">
        <f>Odometer!A1443</f>
        <v>0</v>
      </c>
      <c r="E1443" s="9">
        <f t="shared" si="178"/>
        <v>0</v>
      </c>
      <c r="F1443" s="2">
        <f>Odometer!B1443</f>
        <v>0</v>
      </c>
      <c r="G1443" s="2">
        <f t="shared" si="179"/>
        <v>0</v>
      </c>
      <c r="H1443" s="2">
        <f>SUM($G$2:G1443)</f>
        <v>11920</v>
      </c>
      <c r="I1443" s="10">
        <f t="shared" si="180"/>
        <v>45701.296863425923</v>
      </c>
      <c r="J1443" s="10">
        <f t="shared" si="181"/>
        <v>45701.296863425923</v>
      </c>
      <c r="K1443" s="3">
        <f t="shared" si="183"/>
        <v>11389</v>
      </c>
      <c r="L1443">
        <f t="shared" si="176"/>
        <v>14.36388889</v>
      </c>
      <c r="M1443">
        <f t="shared" si="182"/>
        <v>51.710000004000001</v>
      </c>
    </row>
    <row r="1444" spans="1:13" x14ac:dyDescent="0.25">
      <c r="A1444" s="9">
        <f>Speed!A1444</f>
        <v>45701.296875</v>
      </c>
      <c r="B1444" s="9">
        <f t="shared" si="177"/>
        <v>45701.296875</v>
      </c>
      <c r="C1444" s="2">
        <f>Speed!B1444</f>
        <v>14.18333333</v>
      </c>
      <c r="D1444" s="9">
        <f>Odometer!A1444</f>
        <v>0</v>
      </c>
      <c r="E1444" s="9">
        <f t="shared" si="178"/>
        <v>0</v>
      </c>
      <c r="F1444" s="2">
        <f>Odometer!B1444</f>
        <v>0</v>
      </c>
      <c r="G1444" s="2">
        <f t="shared" si="179"/>
        <v>0</v>
      </c>
      <c r="H1444" s="2">
        <f>SUM($G$2:G1444)</f>
        <v>11920</v>
      </c>
      <c r="I1444" s="10">
        <f t="shared" si="180"/>
        <v>45701.296875</v>
      </c>
      <c r="J1444" s="10">
        <f t="shared" si="181"/>
        <v>45701.296875</v>
      </c>
      <c r="K1444" s="3">
        <f t="shared" si="183"/>
        <v>11412</v>
      </c>
      <c r="L1444">
        <f t="shared" si="176"/>
        <v>14.18333333</v>
      </c>
      <c r="M1444">
        <f t="shared" si="182"/>
        <v>51.059999988000001</v>
      </c>
    </row>
    <row r="1445" spans="1:13" x14ac:dyDescent="0.25">
      <c r="A1445" s="9">
        <f>Speed!A1445</f>
        <v>45701.296886574077</v>
      </c>
      <c r="B1445" s="9">
        <f t="shared" si="177"/>
        <v>45701.29688657407</v>
      </c>
      <c r="C1445" s="2">
        <f>Speed!B1445</f>
        <v>13.747222219999999</v>
      </c>
      <c r="D1445" s="9">
        <f>Odometer!A1445</f>
        <v>0</v>
      </c>
      <c r="E1445" s="9">
        <f t="shared" si="178"/>
        <v>0</v>
      </c>
      <c r="F1445" s="2">
        <f>Odometer!B1445</f>
        <v>0</v>
      </c>
      <c r="G1445" s="2">
        <f t="shared" si="179"/>
        <v>0</v>
      </c>
      <c r="H1445" s="2">
        <f>SUM($G$2:G1445)</f>
        <v>11920</v>
      </c>
      <c r="I1445" s="10">
        <f t="shared" si="180"/>
        <v>45701.296886574077</v>
      </c>
      <c r="J1445" s="10">
        <f t="shared" si="181"/>
        <v>45701.29688657407</v>
      </c>
      <c r="K1445" s="3">
        <f t="shared" si="183"/>
        <v>11426</v>
      </c>
      <c r="L1445">
        <f t="shared" si="176"/>
        <v>13.747222219999999</v>
      </c>
      <c r="M1445">
        <f t="shared" si="182"/>
        <v>49.489999992000001</v>
      </c>
    </row>
    <row r="1446" spans="1:13" x14ac:dyDescent="0.25">
      <c r="A1446" s="9">
        <f>Speed!A1446</f>
        <v>45701.296898148146</v>
      </c>
      <c r="B1446" s="9">
        <f t="shared" si="177"/>
        <v>45701.296898148146</v>
      </c>
      <c r="C1446" s="2">
        <f>Speed!B1446</f>
        <v>13.144444439999999</v>
      </c>
      <c r="D1446" s="9">
        <f>Odometer!A1446</f>
        <v>0</v>
      </c>
      <c r="E1446" s="9">
        <f t="shared" si="178"/>
        <v>0</v>
      </c>
      <c r="F1446" s="2">
        <f>Odometer!B1446</f>
        <v>0</v>
      </c>
      <c r="G1446" s="2">
        <f t="shared" si="179"/>
        <v>0</v>
      </c>
      <c r="H1446" s="2">
        <f>SUM($G$2:G1446)</f>
        <v>11920</v>
      </c>
      <c r="I1446" s="10">
        <f t="shared" si="180"/>
        <v>45701.296898148146</v>
      </c>
      <c r="J1446" s="10">
        <f t="shared" si="181"/>
        <v>45701.296898148146</v>
      </c>
      <c r="K1446" s="3">
        <f t="shared" si="183"/>
        <v>11431</v>
      </c>
      <c r="L1446">
        <f t="shared" si="176"/>
        <v>13.144444439999999</v>
      </c>
      <c r="M1446">
        <f t="shared" si="182"/>
        <v>47.319999983999999</v>
      </c>
    </row>
    <row r="1447" spans="1:13" x14ac:dyDescent="0.25">
      <c r="A1447" s="9">
        <f>Speed!A1447</f>
        <v>45701.296898148146</v>
      </c>
      <c r="B1447" s="9">
        <f t="shared" si="177"/>
        <v>45701.296898148146</v>
      </c>
      <c r="C1447" s="2">
        <f>Speed!B1447</f>
        <v>13.016666669999999</v>
      </c>
      <c r="D1447" s="9">
        <f>Odometer!A1447</f>
        <v>0</v>
      </c>
      <c r="E1447" s="9">
        <f t="shared" si="178"/>
        <v>0</v>
      </c>
      <c r="F1447" s="2">
        <f>Odometer!B1447</f>
        <v>0</v>
      </c>
      <c r="G1447" s="2">
        <f t="shared" si="179"/>
        <v>0</v>
      </c>
      <c r="H1447" s="2">
        <f>SUM($G$2:G1447)</f>
        <v>11920</v>
      </c>
      <c r="I1447" s="10">
        <f t="shared" si="180"/>
        <v>45701.296898148146</v>
      </c>
      <c r="J1447" s="10">
        <f t="shared" si="181"/>
        <v>45701.296898148146</v>
      </c>
      <c r="K1447" s="3">
        <f t="shared" si="183"/>
        <v>11431</v>
      </c>
      <c r="L1447">
        <f t="shared" si="176"/>
        <v>13.144444439999999</v>
      </c>
      <c r="M1447">
        <f t="shared" si="182"/>
        <v>47.319999983999999</v>
      </c>
    </row>
    <row r="1448" spans="1:13" x14ac:dyDescent="0.25">
      <c r="A1448" s="9">
        <f>Speed!A1448</f>
        <v>45701.296898148146</v>
      </c>
      <c r="B1448" s="9">
        <f t="shared" si="177"/>
        <v>45701.296898148146</v>
      </c>
      <c r="C1448" s="2">
        <f>Speed!B1448</f>
        <v>12.83333333</v>
      </c>
      <c r="D1448" s="9">
        <f>Odometer!A1448</f>
        <v>0</v>
      </c>
      <c r="E1448" s="9">
        <f t="shared" si="178"/>
        <v>0</v>
      </c>
      <c r="F1448" s="2">
        <f>Odometer!B1448</f>
        <v>0</v>
      </c>
      <c r="G1448" s="2">
        <f t="shared" si="179"/>
        <v>0</v>
      </c>
      <c r="H1448" s="2">
        <f>SUM($G$2:G1448)</f>
        <v>11920</v>
      </c>
      <c r="I1448" s="10">
        <f t="shared" si="180"/>
        <v>45701.296898148146</v>
      </c>
      <c r="J1448" s="10">
        <f t="shared" si="181"/>
        <v>45701.296898148146</v>
      </c>
      <c r="K1448" s="3">
        <f t="shared" si="183"/>
        <v>11431</v>
      </c>
      <c r="L1448">
        <f t="shared" si="176"/>
        <v>13.144444439999999</v>
      </c>
      <c r="M1448">
        <f t="shared" si="182"/>
        <v>47.319999983999999</v>
      </c>
    </row>
    <row r="1449" spans="1:13" x14ac:dyDescent="0.25">
      <c r="A1449" s="9">
        <f>Speed!A1449</f>
        <v>45701.2969212963</v>
      </c>
      <c r="B1449" s="9">
        <f t="shared" si="177"/>
        <v>45701.296921296293</v>
      </c>
      <c r="C1449" s="2">
        <f>Speed!B1449</f>
        <v>12.538888890000001</v>
      </c>
      <c r="D1449" s="9">
        <f>Odometer!A1449</f>
        <v>0</v>
      </c>
      <c r="E1449" s="9">
        <f t="shared" si="178"/>
        <v>0</v>
      </c>
      <c r="F1449" s="2">
        <f>Odometer!B1449</f>
        <v>0</v>
      </c>
      <c r="G1449" s="2">
        <f t="shared" si="179"/>
        <v>0</v>
      </c>
      <c r="H1449" s="2">
        <f>SUM($G$2:G1449)</f>
        <v>11920</v>
      </c>
      <c r="I1449" s="10">
        <f t="shared" si="180"/>
        <v>45701.2969212963</v>
      </c>
      <c r="J1449" s="10">
        <f t="shared" si="181"/>
        <v>45701.296921296293</v>
      </c>
      <c r="K1449" s="3">
        <f t="shared" si="183"/>
        <v>11463</v>
      </c>
      <c r="L1449">
        <f t="shared" si="176"/>
        <v>12.538888890000001</v>
      </c>
      <c r="M1449">
        <f t="shared" si="182"/>
        <v>45.140000004000001</v>
      </c>
    </row>
    <row r="1450" spans="1:13" x14ac:dyDescent="0.25">
      <c r="A1450" s="9">
        <f>Speed!A1450</f>
        <v>45701.2969212963</v>
      </c>
      <c r="B1450" s="9">
        <f t="shared" si="177"/>
        <v>45701.296921296293</v>
      </c>
      <c r="C1450" s="2">
        <f>Speed!B1450</f>
        <v>12.25</v>
      </c>
      <c r="D1450" s="9">
        <f>Odometer!A1450</f>
        <v>0</v>
      </c>
      <c r="E1450" s="9">
        <f t="shared" si="178"/>
        <v>0</v>
      </c>
      <c r="F1450" s="2">
        <f>Odometer!B1450</f>
        <v>0</v>
      </c>
      <c r="G1450" s="2">
        <f t="shared" si="179"/>
        <v>0</v>
      </c>
      <c r="H1450" s="2">
        <f>SUM($G$2:G1450)</f>
        <v>11920</v>
      </c>
      <c r="I1450" s="10">
        <f t="shared" si="180"/>
        <v>45701.2969212963</v>
      </c>
      <c r="J1450" s="10">
        <f t="shared" si="181"/>
        <v>45701.296921296293</v>
      </c>
      <c r="K1450" s="3">
        <f t="shared" si="183"/>
        <v>11463</v>
      </c>
      <c r="L1450">
        <f t="shared" si="176"/>
        <v>12.538888890000001</v>
      </c>
      <c r="M1450">
        <f t="shared" si="182"/>
        <v>45.140000004000001</v>
      </c>
    </row>
    <row r="1451" spans="1:13" x14ac:dyDescent="0.25">
      <c r="A1451" s="9">
        <f>Speed!A1451</f>
        <v>45701.296956018516</v>
      </c>
      <c r="B1451" s="9">
        <f t="shared" si="177"/>
        <v>45701.296956018516</v>
      </c>
      <c r="C1451" s="2">
        <f>Speed!B1451</f>
        <v>12.061111110000001</v>
      </c>
      <c r="D1451" s="9">
        <f>Odometer!A1451</f>
        <v>0</v>
      </c>
      <c r="E1451" s="9">
        <f t="shared" si="178"/>
        <v>0</v>
      </c>
      <c r="F1451" s="2">
        <f>Odometer!B1451</f>
        <v>0</v>
      </c>
      <c r="G1451" s="2">
        <f t="shared" si="179"/>
        <v>0</v>
      </c>
      <c r="H1451" s="2">
        <f>SUM($G$2:G1451)</f>
        <v>11920</v>
      </c>
      <c r="I1451" s="10">
        <f t="shared" si="180"/>
        <v>45701.296956018516</v>
      </c>
      <c r="J1451" s="10">
        <f t="shared" si="181"/>
        <v>45701.296956018516</v>
      </c>
      <c r="K1451" s="3">
        <f t="shared" si="183"/>
        <v>11494</v>
      </c>
      <c r="L1451">
        <f t="shared" si="176"/>
        <v>12.061111110000001</v>
      </c>
      <c r="M1451">
        <f t="shared" si="182"/>
        <v>43.419999996000001</v>
      </c>
    </row>
    <row r="1452" spans="1:13" x14ac:dyDescent="0.25">
      <c r="A1452" s="9">
        <f>Speed!A1452</f>
        <v>45701.296956018516</v>
      </c>
      <c r="B1452" s="9">
        <f t="shared" si="177"/>
        <v>45701.296956018516</v>
      </c>
      <c r="C1452" s="2">
        <f>Speed!B1452</f>
        <v>10.997222219999999</v>
      </c>
      <c r="D1452" s="9">
        <f>Odometer!A1452</f>
        <v>0</v>
      </c>
      <c r="E1452" s="9">
        <f t="shared" si="178"/>
        <v>0</v>
      </c>
      <c r="F1452" s="2">
        <f>Odometer!B1452</f>
        <v>0</v>
      </c>
      <c r="G1452" s="2">
        <f t="shared" si="179"/>
        <v>0</v>
      </c>
      <c r="H1452" s="2">
        <f>SUM($G$2:G1452)</f>
        <v>11920</v>
      </c>
      <c r="I1452" s="10">
        <f t="shared" si="180"/>
        <v>45701.296956018516</v>
      </c>
      <c r="J1452" s="10">
        <f t="shared" si="181"/>
        <v>45701.296956018516</v>
      </c>
      <c r="K1452" s="3">
        <f t="shared" si="183"/>
        <v>11494</v>
      </c>
      <c r="L1452">
        <f t="shared" si="176"/>
        <v>12.061111110000001</v>
      </c>
      <c r="M1452">
        <f t="shared" si="182"/>
        <v>43.419999996000001</v>
      </c>
    </row>
    <row r="1453" spans="1:13" x14ac:dyDescent="0.25">
      <c r="A1453" s="9">
        <f>Speed!A1453</f>
        <v>45701.296967592592</v>
      </c>
      <c r="B1453" s="9">
        <f t="shared" si="177"/>
        <v>45701.296967592592</v>
      </c>
      <c r="C1453" s="2">
        <f>Speed!B1453</f>
        <v>10.69722222</v>
      </c>
      <c r="D1453" s="9">
        <f>Odometer!A1453</f>
        <v>0</v>
      </c>
      <c r="E1453" s="9">
        <f t="shared" si="178"/>
        <v>0</v>
      </c>
      <c r="F1453" s="2">
        <f>Odometer!B1453</f>
        <v>0</v>
      </c>
      <c r="G1453" s="2">
        <f t="shared" si="179"/>
        <v>0</v>
      </c>
      <c r="H1453" s="2">
        <f>SUM($G$2:G1453)</f>
        <v>11920</v>
      </c>
      <c r="I1453" s="10">
        <f t="shared" si="180"/>
        <v>45701.296967592592</v>
      </c>
      <c r="J1453" s="10">
        <f t="shared" si="181"/>
        <v>45701.296967592592</v>
      </c>
      <c r="K1453" s="3">
        <f t="shared" si="183"/>
        <v>11499</v>
      </c>
      <c r="L1453">
        <f t="shared" si="176"/>
        <v>10.69722222</v>
      </c>
      <c r="M1453">
        <f t="shared" si="182"/>
        <v>38.509999992000004</v>
      </c>
    </row>
    <row r="1454" spans="1:13" x14ac:dyDescent="0.25">
      <c r="A1454" s="9">
        <f>Speed!A1454</f>
        <v>45701.296967592592</v>
      </c>
      <c r="B1454" s="9">
        <f t="shared" si="177"/>
        <v>45701.296967592592</v>
      </c>
      <c r="C1454" s="2">
        <f>Speed!B1454</f>
        <v>10.65833333</v>
      </c>
      <c r="D1454" s="9">
        <f>Odometer!A1454</f>
        <v>0</v>
      </c>
      <c r="E1454" s="9">
        <f t="shared" si="178"/>
        <v>0</v>
      </c>
      <c r="F1454" s="2">
        <f>Odometer!B1454</f>
        <v>0</v>
      </c>
      <c r="G1454" s="2">
        <f t="shared" si="179"/>
        <v>0</v>
      </c>
      <c r="H1454" s="2">
        <f>SUM($G$2:G1454)</f>
        <v>11920</v>
      </c>
      <c r="I1454" s="10">
        <f t="shared" si="180"/>
        <v>45701.296967592592</v>
      </c>
      <c r="J1454" s="10">
        <f t="shared" si="181"/>
        <v>45701.296967592592</v>
      </c>
      <c r="K1454" s="3">
        <f t="shared" si="183"/>
        <v>11499</v>
      </c>
      <c r="L1454">
        <f t="shared" si="176"/>
        <v>10.69722222</v>
      </c>
      <c r="M1454">
        <f t="shared" si="182"/>
        <v>38.509999992000004</v>
      </c>
    </row>
    <row r="1455" spans="1:13" x14ac:dyDescent="0.25">
      <c r="A1455" s="9">
        <f>Speed!A1455</f>
        <v>45701.296979166669</v>
      </c>
      <c r="B1455" s="9">
        <f t="shared" si="177"/>
        <v>45701.296979166662</v>
      </c>
      <c r="C1455" s="2">
        <f>Speed!B1455</f>
        <v>9.9916666670000005</v>
      </c>
      <c r="D1455" s="9">
        <f>Odometer!A1455</f>
        <v>0</v>
      </c>
      <c r="E1455" s="9">
        <f t="shared" si="178"/>
        <v>0</v>
      </c>
      <c r="F1455" s="2">
        <f>Odometer!B1455</f>
        <v>0</v>
      </c>
      <c r="G1455" s="2">
        <f t="shared" si="179"/>
        <v>0</v>
      </c>
      <c r="H1455" s="2">
        <f>SUM($G$2:G1455)</f>
        <v>11920</v>
      </c>
      <c r="I1455" s="10">
        <f t="shared" si="180"/>
        <v>45701.296979166669</v>
      </c>
      <c r="J1455" s="10">
        <f t="shared" si="181"/>
        <v>45701.296979166662</v>
      </c>
      <c r="K1455" s="3">
        <f t="shared" si="183"/>
        <v>11518</v>
      </c>
      <c r="L1455">
        <f t="shared" si="176"/>
        <v>9.9916666670000005</v>
      </c>
      <c r="M1455">
        <f t="shared" si="182"/>
        <v>35.970000001200006</v>
      </c>
    </row>
    <row r="1456" spans="1:13" x14ac:dyDescent="0.25">
      <c r="A1456" s="9">
        <f>Speed!A1456</f>
        <v>45701.296990740739</v>
      </c>
      <c r="B1456" s="9">
        <f t="shared" si="177"/>
        <v>45701.296990740739</v>
      </c>
      <c r="C1456" s="2">
        <f>Speed!B1456</f>
        <v>9.6833333330000002</v>
      </c>
      <c r="D1456" s="9">
        <f>Odometer!A1456</f>
        <v>0</v>
      </c>
      <c r="E1456" s="9">
        <f t="shared" si="178"/>
        <v>0</v>
      </c>
      <c r="F1456" s="2">
        <f>Odometer!B1456</f>
        <v>0</v>
      </c>
      <c r="G1456" s="2">
        <f t="shared" si="179"/>
        <v>0</v>
      </c>
      <c r="H1456" s="2">
        <f>SUM($G$2:G1456)</f>
        <v>11920</v>
      </c>
      <c r="I1456" s="10">
        <f t="shared" si="180"/>
        <v>45701.296990740739</v>
      </c>
      <c r="J1456" s="10">
        <f t="shared" si="181"/>
        <v>45701.296990740739</v>
      </c>
      <c r="K1456" s="3">
        <f t="shared" si="183"/>
        <v>11529</v>
      </c>
      <c r="L1456">
        <f t="shared" si="176"/>
        <v>9.6833333330000002</v>
      </c>
      <c r="M1456">
        <f t="shared" si="182"/>
        <v>34.859999998799999</v>
      </c>
    </row>
    <row r="1457" spans="1:13" x14ac:dyDescent="0.25">
      <c r="A1457" s="9">
        <f>Speed!A1457</f>
        <v>45701.297002314815</v>
      </c>
      <c r="B1457" s="9">
        <f t="shared" si="177"/>
        <v>45701.297002314815</v>
      </c>
      <c r="C1457" s="2">
        <f>Speed!B1457</f>
        <v>9.3777777780000005</v>
      </c>
      <c r="D1457" s="9">
        <f>Odometer!A1457</f>
        <v>0</v>
      </c>
      <c r="E1457" s="9">
        <f t="shared" si="178"/>
        <v>0</v>
      </c>
      <c r="F1457" s="2">
        <f>Odometer!B1457</f>
        <v>0</v>
      </c>
      <c r="G1457" s="2">
        <f t="shared" si="179"/>
        <v>0</v>
      </c>
      <c r="H1457" s="2">
        <f>SUM($G$2:G1457)</f>
        <v>11920</v>
      </c>
      <c r="I1457" s="10">
        <f t="shared" si="180"/>
        <v>45701.297002314815</v>
      </c>
      <c r="J1457" s="10">
        <f t="shared" si="181"/>
        <v>45701.297002314815</v>
      </c>
      <c r="K1457" s="3">
        <f t="shared" si="183"/>
        <v>11538</v>
      </c>
      <c r="L1457">
        <f t="shared" si="176"/>
        <v>9.3777777780000005</v>
      </c>
      <c r="M1457">
        <f t="shared" si="182"/>
        <v>33.760000000800005</v>
      </c>
    </row>
    <row r="1458" spans="1:13" x14ac:dyDescent="0.25">
      <c r="A1458" s="9">
        <f>Speed!A1458</f>
        <v>45701.297013888892</v>
      </c>
      <c r="B1458" s="9">
        <f t="shared" si="177"/>
        <v>45701.297013888885</v>
      </c>
      <c r="C1458" s="2">
        <f>Speed!B1458</f>
        <v>8.8805555559999991</v>
      </c>
      <c r="D1458" s="9">
        <f>Odometer!A1458</f>
        <v>0</v>
      </c>
      <c r="E1458" s="9">
        <f t="shared" si="178"/>
        <v>0</v>
      </c>
      <c r="F1458" s="2">
        <f>Odometer!B1458</f>
        <v>0</v>
      </c>
      <c r="G1458" s="2">
        <f t="shared" si="179"/>
        <v>0</v>
      </c>
      <c r="H1458" s="2">
        <f>SUM($G$2:G1458)</f>
        <v>11920</v>
      </c>
      <c r="I1458" s="10">
        <f t="shared" si="180"/>
        <v>45701.297013888892</v>
      </c>
      <c r="J1458" s="10">
        <f t="shared" si="181"/>
        <v>45701.297013888885</v>
      </c>
      <c r="K1458" s="3">
        <f t="shared" si="183"/>
        <v>11546</v>
      </c>
      <c r="L1458">
        <f t="shared" si="176"/>
        <v>8.8805555559999991</v>
      </c>
      <c r="M1458">
        <f t="shared" si="182"/>
        <v>31.970000001599999</v>
      </c>
    </row>
    <row r="1459" spans="1:13" x14ac:dyDescent="0.25">
      <c r="A1459" s="9">
        <f>Speed!A1459</f>
        <v>45701.297025462962</v>
      </c>
      <c r="B1459" s="9">
        <f t="shared" si="177"/>
        <v>45701.297025462962</v>
      </c>
      <c r="C1459" s="2">
        <f>Speed!B1459</f>
        <v>8.2972222220000003</v>
      </c>
      <c r="D1459" s="9">
        <f>Odometer!A1459</f>
        <v>0</v>
      </c>
      <c r="E1459" s="9">
        <f t="shared" si="178"/>
        <v>0</v>
      </c>
      <c r="F1459" s="2">
        <f>Odometer!B1459</f>
        <v>0</v>
      </c>
      <c r="G1459" s="2">
        <f t="shared" si="179"/>
        <v>0</v>
      </c>
      <c r="H1459" s="2">
        <f>SUM($G$2:G1459)</f>
        <v>11920</v>
      </c>
      <c r="I1459" s="10">
        <f t="shared" si="180"/>
        <v>45701.297025462962</v>
      </c>
      <c r="J1459" s="10">
        <f t="shared" si="181"/>
        <v>45701.297025462962</v>
      </c>
      <c r="K1459" s="3">
        <f t="shared" si="183"/>
        <v>11554</v>
      </c>
      <c r="L1459">
        <f t="shared" si="176"/>
        <v>8.2972222220000003</v>
      </c>
      <c r="M1459">
        <f t="shared" si="182"/>
        <v>29.869999999200001</v>
      </c>
    </row>
    <row r="1460" spans="1:13" x14ac:dyDescent="0.25">
      <c r="A1460" s="9">
        <f>Speed!A1460</f>
        <v>45701.297037037039</v>
      </c>
      <c r="B1460" s="9">
        <f t="shared" si="177"/>
        <v>45701.297037037031</v>
      </c>
      <c r="C1460" s="2">
        <f>Speed!B1460</f>
        <v>7.3305555560000002</v>
      </c>
      <c r="D1460" s="9">
        <f>Odometer!A1460</f>
        <v>0</v>
      </c>
      <c r="E1460" s="9">
        <f t="shared" si="178"/>
        <v>0</v>
      </c>
      <c r="F1460" s="2">
        <f>Odometer!B1460</f>
        <v>0</v>
      </c>
      <c r="G1460" s="2">
        <f t="shared" si="179"/>
        <v>0</v>
      </c>
      <c r="H1460" s="2">
        <f>SUM($G$2:G1460)</f>
        <v>11920</v>
      </c>
      <c r="I1460" s="10">
        <f t="shared" si="180"/>
        <v>45701.297037037039</v>
      </c>
      <c r="J1460" s="10">
        <f t="shared" si="181"/>
        <v>45701.297037037031</v>
      </c>
      <c r="K1460" s="3">
        <f t="shared" si="183"/>
        <v>11561</v>
      </c>
      <c r="L1460">
        <f t="shared" si="176"/>
        <v>7.3305555560000002</v>
      </c>
      <c r="M1460">
        <f t="shared" si="182"/>
        <v>26.390000001600001</v>
      </c>
    </row>
    <row r="1461" spans="1:13" x14ac:dyDescent="0.25">
      <c r="A1461" s="9">
        <f>Speed!A1461</f>
        <v>45701.297037037039</v>
      </c>
      <c r="B1461" s="9">
        <f t="shared" si="177"/>
        <v>45701.297037037031</v>
      </c>
      <c r="C1461" s="2">
        <f>Speed!B1461</f>
        <v>6.3388888889999997</v>
      </c>
      <c r="D1461" s="9">
        <f>Odometer!A1461</f>
        <v>0</v>
      </c>
      <c r="E1461" s="9">
        <f t="shared" si="178"/>
        <v>0</v>
      </c>
      <c r="F1461" s="2">
        <f>Odometer!B1461</f>
        <v>0</v>
      </c>
      <c r="G1461" s="2">
        <f t="shared" si="179"/>
        <v>0</v>
      </c>
      <c r="H1461" s="2">
        <f>SUM($G$2:G1461)</f>
        <v>11920</v>
      </c>
      <c r="I1461" s="10">
        <f t="shared" si="180"/>
        <v>45701.297037037039</v>
      </c>
      <c r="J1461" s="10">
        <f t="shared" si="181"/>
        <v>45701.297037037031</v>
      </c>
      <c r="K1461" s="3">
        <f t="shared" si="183"/>
        <v>11561</v>
      </c>
      <c r="L1461">
        <f t="shared" si="176"/>
        <v>7.3305555560000002</v>
      </c>
      <c r="M1461">
        <f t="shared" si="182"/>
        <v>26.390000001600001</v>
      </c>
    </row>
    <row r="1462" spans="1:13" x14ac:dyDescent="0.25">
      <c r="A1462" s="9">
        <f>Speed!A1462</f>
        <v>45701.297060185185</v>
      </c>
      <c r="B1462" s="9">
        <f t="shared" si="177"/>
        <v>45701.297060185185</v>
      </c>
      <c r="C1462" s="2">
        <f>Speed!B1462</f>
        <v>5.7305555559999997</v>
      </c>
      <c r="D1462" s="9">
        <f>Odometer!A1462</f>
        <v>0</v>
      </c>
      <c r="E1462" s="9">
        <f t="shared" si="178"/>
        <v>0</v>
      </c>
      <c r="F1462" s="2">
        <f>Odometer!B1462</f>
        <v>0</v>
      </c>
      <c r="G1462" s="2">
        <f t="shared" si="179"/>
        <v>0</v>
      </c>
      <c r="H1462" s="2">
        <f>SUM($G$2:G1462)</f>
        <v>11920</v>
      </c>
      <c r="I1462" s="10">
        <f t="shared" si="180"/>
        <v>45701.297060185185</v>
      </c>
      <c r="J1462" s="10">
        <f t="shared" si="181"/>
        <v>45701.297060185185</v>
      </c>
      <c r="K1462" s="3">
        <f t="shared" si="183"/>
        <v>11573</v>
      </c>
      <c r="L1462">
        <f t="shared" si="176"/>
        <v>5.7305555559999997</v>
      </c>
      <c r="M1462">
        <f t="shared" si="182"/>
        <v>20.630000001599999</v>
      </c>
    </row>
    <row r="1463" spans="1:13" x14ac:dyDescent="0.25">
      <c r="A1463" s="9">
        <f>Speed!A1463</f>
        <v>45701.297071759262</v>
      </c>
      <c r="B1463" s="9">
        <f t="shared" si="177"/>
        <v>45701.297071759254</v>
      </c>
      <c r="C1463" s="2">
        <f>Speed!B1463</f>
        <v>5.619444444</v>
      </c>
      <c r="D1463" s="9">
        <f>Odometer!A1463</f>
        <v>0</v>
      </c>
      <c r="E1463" s="9">
        <f t="shared" si="178"/>
        <v>0</v>
      </c>
      <c r="F1463" s="2">
        <f>Odometer!B1463</f>
        <v>0</v>
      </c>
      <c r="G1463" s="2">
        <f t="shared" si="179"/>
        <v>0</v>
      </c>
      <c r="H1463" s="2">
        <f>SUM($G$2:G1463)</f>
        <v>11920</v>
      </c>
      <c r="I1463" s="10">
        <f t="shared" si="180"/>
        <v>45701.297071759262</v>
      </c>
      <c r="J1463" s="10">
        <f t="shared" si="181"/>
        <v>45701.297071759254</v>
      </c>
      <c r="K1463" s="3" t="e">
        <f t="shared" si="183"/>
        <v>#N/A</v>
      </c>
      <c r="L1463">
        <f t="shared" si="176"/>
        <v>5.619444444</v>
      </c>
      <c r="M1463">
        <f t="shared" si="182"/>
        <v>20.2299999984</v>
      </c>
    </row>
    <row r="1464" spans="1:13" x14ac:dyDescent="0.25">
      <c r="A1464" s="9">
        <f>Speed!A1464</f>
        <v>45701.297071759262</v>
      </c>
      <c r="B1464" s="9">
        <f t="shared" si="177"/>
        <v>45701.297071759254</v>
      </c>
      <c r="C1464" s="2">
        <f>Speed!B1464</f>
        <v>5.6277777779999996</v>
      </c>
      <c r="D1464" s="9">
        <f>Odometer!A1464</f>
        <v>0</v>
      </c>
      <c r="E1464" s="9">
        <f t="shared" si="178"/>
        <v>0</v>
      </c>
      <c r="F1464" s="2">
        <f>Odometer!B1464</f>
        <v>0</v>
      </c>
      <c r="G1464" s="2">
        <f t="shared" si="179"/>
        <v>0</v>
      </c>
      <c r="H1464" s="2">
        <f>SUM($G$2:G1464)</f>
        <v>11920</v>
      </c>
      <c r="I1464" s="10">
        <f t="shared" si="180"/>
        <v>45701.297071759262</v>
      </c>
      <c r="J1464" s="10">
        <f t="shared" si="181"/>
        <v>45701.297071759254</v>
      </c>
      <c r="K1464" s="3" t="e">
        <f t="shared" si="183"/>
        <v>#N/A</v>
      </c>
      <c r="L1464">
        <f t="shared" si="176"/>
        <v>5.619444444</v>
      </c>
      <c r="M1464">
        <f t="shared" si="182"/>
        <v>20.2299999984</v>
      </c>
    </row>
    <row r="1465" spans="1:13" x14ac:dyDescent="0.25">
      <c r="A1465" s="9">
        <f>Speed!A1465</f>
        <v>45701.297083333331</v>
      </c>
      <c r="B1465" s="9">
        <f t="shared" si="177"/>
        <v>45701.297083333331</v>
      </c>
      <c r="C1465" s="2">
        <f>Speed!B1465</f>
        <v>5.6027777780000001</v>
      </c>
      <c r="D1465" s="9">
        <f>Odometer!A1465</f>
        <v>0</v>
      </c>
      <c r="E1465" s="9">
        <f t="shared" si="178"/>
        <v>0</v>
      </c>
      <c r="F1465" s="2">
        <f>Odometer!B1465</f>
        <v>0</v>
      </c>
      <c r="G1465" s="2">
        <f t="shared" si="179"/>
        <v>0</v>
      </c>
      <c r="H1465" s="2">
        <f>SUM($G$2:G1465)</f>
        <v>11920</v>
      </c>
      <c r="I1465" s="10">
        <f t="shared" si="180"/>
        <v>45701.297083333331</v>
      </c>
      <c r="J1465" s="10">
        <f t="shared" si="181"/>
        <v>45701.297083333331</v>
      </c>
      <c r="K1465" s="3">
        <f t="shared" si="183"/>
        <v>11584</v>
      </c>
      <c r="L1465">
        <f t="shared" si="176"/>
        <v>5.6027777780000001</v>
      </c>
      <c r="M1465">
        <f t="shared" si="182"/>
        <v>20.170000000800002</v>
      </c>
    </row>
    <row r="1466" spans="1:13" x14ac:dyDescent="0.25">
      <c r="A1466" s="9">
        <f>Speed!A1466</f>
        <v>45701.297094907408</v>
      </c>
      <c r="B1466" s="9">
        <f t="shared" si="177"/>
        <v>45701.297094907408</v>
      </c>
      <c r="C1466" s="2">
        <f>Speed!B1466</f>
        <v>5.6222222220000004</v>
      </c>
      <c r="D1466" s="9">
        <f>Odometer!A1466</f>
        <v>0</v>
      </c>
      <c r="E1466" s="9">
        <f t="shared" si="178"/>
        <v>0</v>
      </c>
      <c r="F1466" s="2">
        <f>Odometer!B1466</f>
        <v>0</v>
      </c>
      <c r="G1466" s="2">
        <f t="shared" si="179"/>
        <v>0</v>
      </c>
      <c r="H1466" s="2">
        <f>SUM($G$2:G1466)</f>
        <v>11920</v>
      </c>
      <c r="I1466" s="10">
        <f t="shared" si="180"/>
        <v>45701.297094907408</v>
      </c>
      <c r="J1466" s="10">
        <f t="shared" si="181"/>
        <v>45701.297094907408</v>
      </c>
      <c r="K1466" s="3">
        <f t="shared" si="183"/>
        <v>11590</v>
      </c>
      <c r="L1466">
        <f t="shared" si="176"/>
        <v>5.6222222220000004</v>
      </c>
      <c r="M1466">
        <f t="shared" si="182"/>
        <v>20.239999999200002</v>
      </c>
    </row>
    <row r="1467" spans="1:13" x14ac:dyDescent="0.25">
      <c r="A1467" s="9">
        <f>Speed!A1467</f>
        <v>45701.297106481485</v>
      </c>
      <c r="B1467" s="9">
        <f t="shared" si="177"/>
        <v>45701.297106481477</v>
      </c>
      <c r="C1467" s="2">
        <f>Speed!B1467</f>
        <v>5.6472222219999999</v>
      </c>
      <c r="D1467" s="9">
        <f>Odometer!A1467</f>
        <v>0</v>
      </c>
      <c r="E1467" s="9">
        <f t="shared" si="178"/>
        <v>0</v>
      </c>
      <c r="F1467" s="2">
        <f>Odometer!B1467</f>
        <v>0</v>
      </c>
      <c r="G1467" s="2">
        <f t="shared" si="179"/>
        <v>0</v>
      </c>
      <c r="H1467" s="2">
        <f>SUM($G$2:G1467)</f>
        <v>11920</v>
      </c>
      <c r="I1467" s="10">
        <f t="shared" si="180"/>
        <v>45701.297106481485</v>
      </c>
      <c r="J1467" s="10">
        <f t="shared" si="181"/>
        <v>45701.297106481477</v>
      </c>
      <c r="K1467" s="3">
        <f t="shared" si="183"/>
        <v>11595</v>
      </c>
      <c r="L1467">
        <f t="shared" si="176"/>
        <v>5.6472222219999999</v>
      </c>
      <c r="M1467">
        <f t="shared" si="182"/>
        <v>20.329999999200002</v>
      </c>
    </row>
    <row r="1468" spans="1:13" x14ac:dyDescent="0.25">
      <c r="A1468" s="9">
        <f>Speed!A1468</f>
        <v>45701.297118055554</v>
      </c>
      <c r="B1468" s="9">
        <f t="shared" si="177"/>
        <v>45701.297118055554</v>
      </c>
      <c r="C1468" s="2">
        <f>Speed!B1468</f>
        <v>5.7222222220000001</v>
      </c>
      <c r="D1468" s="9">
        <f>Odometer!A1468</f>
        <v>0</v>
      </c>
      <c r="E1468" s="9">
        <f t="shared" si="178"/>
        <v>0</v>
      </c>
      <c r="F1468" s="2">
        <f>Odometer!B1468</f>
        <v>0</v>
      </c>
      <c r="G1468" s="2">
        <f t="shared" si="179"/>
        <v>0</v>
      </c>
      <c r="H1468" s="2">
        <f>SUM($G$2:G1468)</f>
        <v>11920</v>
      </c>
      <c r="I1468" s="10">
        <f t="shared" si="180"/>
        <v>45701.297118055554</v>
      </c>
      <c r="J1468" s="10">
        <f t="shared" si="181"/>
        <v>45701.297118055554</v>
      </c>
      <c r="K1468" s="3">
        <f t="shared" si="183"/>
        <v>11601</v>
      </c>
      <c r="L1468">
        <f t="shared" si="176"/>
        <v>5.7222222220000001</v>
      </c>
      <c r="M1468">
        <f t="shared" si="182"/>
        <v>20.599999999200001</v>
      </c>
    </row>
    <row r="1469" spans="1:13" x14ac:dyDescent="0.25">
      <c r="A1469" s="9">
        <f>Speed!A1469</f>
        <v>45701.297118055554</v>
      </c>
      <c r="B1469" s="9">
        <f t="shared" si="177"/>
        <v>45701.297118055554</v>
      </c>
      <c r="C1469" s="2">
        <f>Speed!B1469</f>
        <v>5.75</v>
      </c>
      <c r="D1469" s="9">
        <f>Odometer!A1469</f>
        <v>0</v>
      </c>
      <c r="E1469" s="9">
        <f t="shared" si="178"/>
        <v>0</v>
      </c>
      <c r="F1469" s="2">
        <f>Odometer!B1469</f>
        <v>0</v>
      </c>
      <c r="G1469" s="2">
        <f t="shared" si="179"/>
        <v>0</v>
      </c>
      <c r="H1469" s="2">
        <f>SUM($G$2:G1469)</f>
        <v>11920</v>
      </c>
      <c r="I1469" s="10">
        <f t="shared" si="180"/>
        <v>45701.297118055554</v>
      </c>
      <c r="J1469" s="10">
        <f t="shared" si="181"/>
        <v>45701.297118055554</v>
      </c>
      <c r="K1469" s="3">
        <f t="shared" si="183"/>
        <v>11601</v>
      </c>
      <c r="L1469">
        <f t="shared" si="176"/>
        <v>5.7222222220000001</v>
      </c>
      <c r="M1469">
        <f t="shared" si="182"/>
        <v>20.599999999200001</v>
      </c>
    </row>
    <row r="1470" spans="1:13" x14ac:dyDescent="0.25">
      <c r="A1470" s="9">
        <f>Speed!A1470</f>
        <v>45701.297129629631</v>
      </c>
      <c r="B1470" s="9">
        <f t="shared" si="177"/>
        <v>45701.297129629631</v>
      </c>
      <c r="C1470" s="2">
        <f>Speed!B1470</f>
        <v>5.7527777779999996</v>
      </c>
      <c r="D1470" s="9">
        <f>Odometer!A1470</f>
        <v>0</v>
      </c>
      <c r="E1470" s="9">
        <f t="shared" si="178"/>
        <v>0</v>
      </c>
      <c r="F1470" s="2">
        <f>Odometer!B1470</f>
        <v>0</v>
      </c>
      <c r="G1470" s="2">
        <f t="shared" si="179"/>
        <v>0</v>
      </c>
      <c r="H1470" s="2">
        <f>SUM($G$2:G1470)</f>
        <v>11920</v>
      </c>
      <c r="I1470" s="10">
        <f t="shared" si="180"/>
        <v>45701.297129629631</v>
      </c>
      <c r="J1470" s="10">
        <f t="shared" si="181"/>
        <v>45701.297129629631</v>
      </c>
      <c r="K1470" s="3" t="e">
        <f t="shared" si="183"/>
        <v>#N/A</v>
      </c>
      <c r="L1470">
        <f t="shared" si="176"/>
        <v>5.7527777779999996</v>
      </c>
      <c r="M1470">
        <f t="shared" si="182"/>
        <v>20.710000000799997</v>
      </c>
    </row>
    <row r="1471" spans="1:13" x14ac:dyDescent="0.25">
      <c r="A1471" s="9">
        <f>Speed!A1471</f>
        <v>45701.2971412037</v>
      </c>
      <c r="B1471" s="9">
        <f t="shared" si="177"/>
        <v>45701.2971412037</v>
      </c>
      <c r="C1471" s="2">
        <f>Speed!B1471</f>
        <v>5.7722222219999999</v>
      </c>
      <c r="D1471" s="9">
        <f>Odometer!A1471</f>
        <v>0</v>
      </c>
      <c r="E1471" s="9">
        <f t="shared" si="178"/>
        <v>0</v>
      </c>
      <c r="F1471" s="2">
        <f>Odometer!B1471</f>
        <v>0</v>
      </c>
      <c r="G1471" s="2">
        <f t="shared" si="179"/>
        <v>0</v>
      </c>
      <c r="H1471" s="2">
        <f>SUM($G$2:G1471)</f>
        <v>11920</v>
      </c>
      <c r="I1471" s="10">
        <f t="shared" si="180"/>
        <v>45701.2971412037</v>
      </c>
      <c r="J1471" s="10">
        <f t="shared" si="181"/>
        <v>45701.2971412037</v>
      </c>
      <c r="K1471" s="3">
        <f t="shared" si="183"/>
        <v>11613</v>
      </c>
      <c r="L1471">
        <f t="shared" si="176"/>
        <v>5.7722222219999999</v>
      </c>
      <c r="M1471">
        <f t="shared" si="182"/>
        <v>20.779999999200001</v>
      </c>
    </row>
    <row r="1472" spans="1:13" x14ac:dyDescent="0.25">
      <c r="A1472" s="9">
        <f>Speed!A1472</f>
        <v>45701.2971412037</v>
      </c>
      <c r="B1472" s="9">
        <f t="shared" si="177"/>
        <v>45701.2971412037</v>
      </c>
      <c r="C1472" s="2">
        <f>Speed!B1472</f>
        <v>5.7833333329999999</v>
      </c>
      <c r="D1472" s="9">
        <f>Odometer!A1472</f>
        <v>0</v>
      </c>
      <c r="E1472" s="9">
        <f t="shared" si="178"/>
        <v>0</v>
      </c>
      <c r="F1472" s="2">
        <f>Odometer!B1472</f>
        <v>0</v>
      </c>
      <c r="G1472" s="2">
        <f t="shared" si="179"/>
        <v>0</v>
      </c>
      <c r="H1472" s="2">
        <f>SUM($G$2:G1472)</f>
        <v>11920</v>
      </c>
      <c r="I1472" s="10">
        <f t="shared" si="180"/>
        <v>45701.2971412037</v>
      </c>
      <c r="J1472" s="10">
        <f t="shared" si="181"/>
        <v>45701.2971412037</v>
      </c>
      <c r="K1472" s="3">
        <f t="shared" si="183"/>
        <v>11613</v>
      </c>
      <c r="L1472">
        <f t="shared" si="176"/>
        <v>5.7722222219999999</v>
      </c>
      <c r="M1472">
        <f t="shared" si="182"/>
        <v>20.779999999200001</v>
      </c>
    </row>
    <row r="1473" spans="1:13" x14ac:dyDescent="0.25">
      <c r="A1473" s="9">
        <f>Speed!A1473</f>
        <v>45701.297152777777</v>
      </c>
      <c r="B1473" s="9">
        <f t="shared" si="177"/>
        <v>45701.297152777777</v>
      </c>
      <c r="C1473" s="2">
        <f>Speed!B1473</f>
        <v>5.7805555560000004</v>
      </c>
      <c r="D1473" s="9">
        <f>Odometer!A1473</f>
        <v>0</v>
      </c>
      <c r="E1473" s="9">
        <f t="shared" si="178"/>
        <v>0</v>
      </c>
      <c r="F1473" s="2">
        <f>Odometer!B1473</f>
        <v>0</v>
      </c>
      <c r="G1473" s="2">
        <f t="shared" si="179"/>
        <v>0</v>
      </c>
      <c r="H1473" s="2">
        <f>SUM($G$2:G1473)</f>
        <v>11920</v>
      </c>
      <c r="I1473" s="10">
        <f t="shared" si="180"/>
        <v>45701.297152777777</v>
      </c>
      <c r="J1473" s="10">
        <f t="shared" si="181"/>
        <v>45701.297152777777</v>
      </c>
      <c r="K1473" s="3">
        <f t="shared" si="183"/>
        <v>11618</v>
      </c>
      <c r="L1473">
        <f t="shared" si="176"/>
        <v>5.7805555560000004</v>
      </c>
      <c r="M1473">
        <f t="shared" si="182"/>
        <v>20.810000001600002</v>
      </c>
    </row>
    <row r="1474" spans="1:13" x14ac:dyDescent="0.25">
      <c r="A1474" s="9">
        <f>Speed!A1474</f>
        <v>45701.297164351854</v>
      </c>
      <c r="B1474" s="9">
        <f t="shared" si="177"/>
        <v>45701.297164351847</v>
      </c>
      <c r="C1474" s="2">
        <f>Speed!B1474</f>
        <v>5.755555556</v>
      </c>
      <c r="D1474" s="9">
        <f>Odometer!A1474</f>
        <v>0</v>
      </c>
      <c r="E1474" s="9">
        <f t="shared" si="178"/>
        <v>0</v>
      </c>
      <c r="F1474" s="2">
        <f>Odometer!B1474</f>
        <v>0</v>
      </c>
      <c r="G1474" s="2">
        <f t="shared" si="179"/>
        <v>0</v>
      </c>
      <c r="H1474" s="2">
        <f>SUM($G$2:G1474)</f>
        <v>11920</v>
      </c>
      <c r="I1474" s="10">
        <f t="shared" si="180"/>
        <v>45701.297164351854</v>
      </c>
      <c r="J1474" s="10">
        <f t="shared" si="181"/>
        <v>45701.297164351847</v>
      </c>
      <c r="K1474" s="3">
        <f t="shared" si="183"/>
        <v>11624</v>
      </c>
      <c r="L1474">
        <f t="shared" ref="L1474:L1537" si="184">INDEX($C$2:$C$2000, MATCH(I1474,$A$2:$A$2000,0))</f>
        <v>5.755555556</v>
      </c>
      <c r="M1474">
        <f t="shared" si="182"/>
        <v>20.720000001599999</v>
      </c>
    </row>
    <row r="1475" spans="1:13" x14ac:dyDescent="0.25">
      <c r="A1475" s="9">
        <f>Speed!A1475</f>
        <v>45701.297175925924</v>
      </c>
      <c r="B1475" s="9">
        <f t="shared" ref="B1475:B1538" si="185">MROUND(A1475,"00:00:01")</f>
        <v>45701.297175925924</v>
      </c>
      <c r="C1475" s="2">
        <f>Speed!B1475</f>
        <v>5.7249999999999996</v>
      </c>
      <c r="D1475" s="9">
        <f>Odometer!A1475</f>
        <v>0</v>
      </c>
      <c r="E1475" s="9">
        <f t="shared" ref="E1475:E1500" si="186">MROUND(D1475,"00:00:01")</f>
        <v>0</v>
      </c>
      <c r="F1475" s="2">
        <f>Odometer!B1475</f>
        <v>0</v>
      </c>
      <c r="G1475" s="2">
        <f t="shared" ref="G1475:G1538" si="187">IF(F1476-F1475&lt;0,0,F1476-F1475)</f>
        <v>0</v>
      </c>
      <c r="H1475" s="2">
        <f>SUM($G$2:G1475)</f>
        <v>11920</v>
      </c>
      <c r="I1475" s="10">
        <f t="shared" ref="I1475:I1500" si="188">A1475</f>
        <v>45701.297175925924</v>
      </c>
      <c r="J1475" s="10">
        <f t="shared" ref="J1475:J1538" si="189">MROUND(I1475,"0:00:01")</f>
        <v>45701.297175925924</v>
      </c>
      <c r="K1475" s="3">
        <f t="shared" si="183"/>
        <v>11630</v>
      </c>
      <c r="L1475">
        <f t="shared" si="184"/>
        <v>5.7249999999999996</v>
      </c>
      <c r="M1475">
        <f t="shared" ref="M1475:M1500" si="190">L1475*3.6</f>
        <v>20.61</v>
      </c>
    </row>
    <row r="1476" spans="1:13" x14ac:dyDescent="0.25">
      <c r="A1476" s="9">
        <f>Speed!A1476</f>
        <v>45701.2971875</v>
      </c>
      <c r="B1476" s="9">
        <f t="shared" si="185"/>
        <v>45701.2971875</v>
      </c>
      <c r="C1476" s="2">
        <f>Speed!B1476</f>
        <v>5.6805555559999998</v>
      </c>
      <c r="D1476" s="9">
        <f>Odometer!A1476</f>
        <v>0</v>
      </c>
      <c r="E1476" s="9">
        <f t="shared" si="186"/>
        <v>0</v>
      </c>
      <c r="F1476" s="2">
        <f>Odometer!B1476</f>
        <v>0</v>
      </c>
      <c r="G1476" s="2">
        <f t="shared" si="187"/>
        <v>0</v>
      </c>
      <c r="H1476" s="2">
        <f>SUM($G$2:G1476)</f>
        <v>11920</v>
      </c>
      <c r="I1476" s="10">
        <f t="shared" si="188"/>
        <v>45701.2971875</v>
      </c>
      <c r="J1476" s="10">
        <f t="shared" si="189"/>
        <v>45701.2971875</v>
      </c>
      <c r="K1476" s="3">
        <f t="shared" ref="K1476:K1539" si="191">IFERROR(INDEX($H$2:$H$2000,MATCH(J1476,$E$2:$E$2000,0)),NA())</f>
        <v>11636</v>
      </c>
      <c r="L1476">
        <f t="shared" si="184"/>
        <v>5.6805555559999998</v>
      </c>
      <c r="M1476">
        <f t="shared" si="190"/>
        <v>20.450000001599999</v>
      </c>
    </row>
    <row r="1477" spans="1:13" x14ac:dyDescent="0.25">
      <c r="A1477" s="9">
        <f>Speed!A1477</f>
        <v>45701.297199074077</v>
      </c>
      <c r="B1477" s="9">
        <f t="shared" si="185"/>
        <v>45701.29719907407</v>
      </c>
      <c r="C1477" s="2">
        <f>Speed!B1477</f>
        <v>5.5972222220000001</v>
      </c>
      <c r="D1477" s="9">
        <f>Odometer!A1477</f>
        <v>0</v>
      </c>
      <c r="E1477" s="9">
        <f t="shared" si="186"/>
        <v>0</v>
      </c>
      <c r="F1477" s="2">
        <f>Odometer!B1477</f>
        <v>0</v>
      </c>
      <c r="G1477" s="2">
        <f t="shared" si="187"/>
        <v>0</v>
      </c>
      <c r="H1477" s="2">
        <f>SUM($G$2:G1477)</f>
        <v>11920</v>
      </c>
      <c r="I1477" s="10">
        <f t="shared" si="188"/>
        <v>45701.297199074077</v>
      </c>
      <c r="J1477" s="10">
        <f t="shared" si="189"/>
        <v>45701.29719907407</v>
      </c>
      <c r="K1477" s="3">
        <f t="shared" si="191"/>
        <v>11641</v>
      </c>
      <c r="L1477">
        <f t="shared" si="184"/>
        <v>5.5972222220000001</v>
      </c>
      <c r="M1477">
        <f t="shared" si="190"/>
        <v>20.149999999200002</v>
      </c>
    </row>
    <row r="1478" spans="1:13" x14ac:dyDescent="0.25">
      <c r="A1478" s="9">
        <f>Speed!A1478</f>
        <v>45701.297210648147</v>
      </c>
      <c r="B1478" s="9">
        <f t="shared" si="185"/>
        <v>45701.297210648147</v>
      </c>
      <c r="C1478" s="2">
        <f>Speed!B1478</f>
        <v>5.5250000000000004</v>
      </c>
      <c r="D1478" s="9">
        <f>Odometer!A1478</f>
        <v>0</v>
      </c>
      <c r="E1478" s="9">
        <f t="shared" si="186"/>
        <v>0</v>
      </c>
      <c r="F1478" s="2">
        <f>Odometer!B1478</f>
        <v>0</v>
      </c>
      <c r="G1478" s="2">
        <f t="shared" si="187"/>
        <v>0</v>
      </c>
      <c r="H1478" s="2">
        <f>SUM($G$2:G1478)</f>
        <v>11920</v>
      </c>
      <c r="I1478" s="10">
        <f t="shared" si="188"/>
        <v>45701.297210648147</v>
      </c>
      <c r="J1478" s="10">
        <f t="shared" si="189"/>
        <v>45701.297210648147</v>
      </c>
      <c r="K1478" s="3">
        <f t="shared" si="191"/>
        <v>11646</v>
      </c>
      <c r="L1478">
        <f t="shared" si="184"/>
        <v>5.5250000000000004</v>
      </c>
      <c r="M1478">
        <f t="shared" si="190"/>
        <v>19.89</v>
      </c>
    </row>
    <row r="1479" spans="1:13" x14ac:dyDescent="0.25">
      <c r="A1479" s="9">
        <f>Speed!A1479</f>
        <v>45701.297222222223</v>
      </c>
      <c r="B1479" s="9">
        <f t="shared" si="185"/>
        <v>45701.297222222223</v>
      </c>
      <c r="C1479" s="2">
        <f>Speed!B1479</f>
        <v>5.4472222219999997</v>
      </c>
      <c r="D1479" s="9">
        <f>Odometer!A1479</f>
        <v>0</v>
      </c>
      <c r="E1479" s="9">
        <f t="shared" si="186"/>
        <v>0</v>
      </c>
      <c r="F1479" s="2">
        <f>Odometer!B1479</f>
        <v>0</v>
      </c>
      <c r="G1479" s="2">
        <f t="shared" si="187"/>
        <v>0</v>
      </c>
      <c r="H1479" s="2">
        <f>SUM($G$2:G1479)</f>
        <v>11920</v>
      </c>
      <c r="I1479" s="10">
        <f t="shared" si="188"/>
        <v>45701.297222222223</v>
      </c>
      <c r="J1479" s="10">
        <f t="shared" si="189"/>
        <v>45701.297222222223</v>
      </c>
      <c r="K1479" s="3">
        <f t="shared" si="191"/>
        <v>11652</v>
      </c>
      <c r="L1479">
        <f t="shared" si="184"/>
        <v>5.4472222219999997</v>
      </c>
      <c r="M1479">
        <f t="shared" si="190"/>
        <v>19.609999999199999</v>
      </c>
    </row>
    <row r="1480" spans="1:13" x14ac:dyDescent="0.25">
      <c r="A1480" s="9">
        <f>Speed!A1480</f>
        <v>45701.297233796293</v>
      </c>
      <c r="B1480" s="9">
        <f t="shared" si="185"/>
        <v>45701.297233796293</v>
      </c>
      <c r="C1480" s="2">
        <f>Speed!B1480</f>
        <v>5.3527777780000001</v>
      </c>
      <c r="D1480" s="9">
        <f>Odometer!A1480</f>
        <v>0</v>
      </c>
      <c r="E1480" s="9">
        <f t="shared" si="186"/>
        <v>0</v>
      </c>
      <c r="F1480" s="2">
        <f>Odometer!B1480</f>
        <v>0</v>
      </c>
      <c r="G1480" s="2">
        <f t="shared" si="187"/>
        <v>0</v>
      </c>
      <c r="H1480" s="2">
        <f>SUM($G$2:G1480)</f>
        <v>11920</v>
      </c>
      <c r="I1480" s="10">
        <f t="shared" si="188"/>
        <v>45701.297233796293</v>
      </c>
      <c r="J1480" s="10">
        <f t="shared" si="189"/>
        <v>45701.297233796293</v>
      </c>
      <c r="K1480" s="3">
        <f t="shared" si="191"/>
        <v>11657</v>
      </c>
      <c r="L1480">
        <f t="shared" si="184"/>
        <v>5.3527777780000001</v>
      </c>
      <c r="M1480">
        <f t="shared" si="190"/>
        <v>19.2700000008</v>
      </c>
    </row>
    <row r="1481" spans="1:13" x14ac:dyDescent="0.25">
      <c r="A1481" s="9">
        <f>Speed!A1481</f>
        <v>45701.297233796293</v>
      </c>
      <c r="B1481" s="9">
        <f t="shared" si="185"/>
        <v>45701.297233796293</v>
      </c>
      <c r="C1481" s="2">
        <f>Speed!B1481</f>
        <v>5.244444444</v>
      </c>
      <c r="D1481" s="9">
        <f>Odometer!A1481</f>
        <v>0</v>
      </c>
      <c r="E1481" s="9">
        <f t="shared" si="186"/>
        <v>0</v>
      </c>
      <c r="F1481" s="2">
        <f>Odometer!B1481</f>
        <v>0</v>
      </c>
      <c r="G1481" s="2">
        <f t="shared" si="187"/>
        <v>0</v>
      </c>
      <c r="H1481" s="2">
        <f>SUM($G$2:G1481)</f>
        <v>11920</v>
      </c>
      <c r="I1481" s="10">
        <f t="shared" si="188"/>
        <v>45701.297233796293</v>
      </c>
      <c r="J1481" s="10">
        <f t="shared" si="189"/>
        <v>45701.297233796293</v>
      </c>
      <c r="K1481" s="3">
        <f t="shared" si="191"/>
        <v>11657</v>
      </c>
      <c r="L1481">
        <f t="shared" si="184"/>
        <v>5.3527777780000001</v>
      </c>
      <c r="M1481">
        <f t="shared" si="190"/>
        <v>19.2700000008</v>
      </c>
    </row>
    <row r="1482" spans="1:13" x14ac:dyDescent="0.25">
      <c r="A1482" s="9">
        <f>Speed!A1482</f>
        <v>45701.29724537037</v>
      </c>
      <c r="B1482" s="9">
        <f t="shared" si="185"/>
        <v>45701.29724537037</v>
      </c>
      <c r="C1482" s="2">
        <f>Speed!B1482</f>
        <v>5.233333333</v>
      </c>
      <c r="D1482" s="9">
        <f>Odometer!A1482</f>
        <v>0</v>
      </c>
      <c r="E1482" s="9">
        <f t="shared" si="186"/>
        <v>0</v>
      </c>
      <c r="F1482" s="2">
        <f>Odometer!B1482</f>
        <v>0</v>
      </c>
      <c r="G1482" s="2">
        <f t="shared" si="187"/>
        <v>0</v>
      </c>
      <c r="H1482" s="2">
        <f>SUM($G$2:G1482)</f>
        <v>11920</v>
      </c>
      <c r="I1482" s="10">
        <f t="shared" si="188"/>
        <v>45701.29724537037</v>
      </c>
      <c r="J1482" s="10">
        <f t="shared" si="189"/>
        <v>45701.29724537037</v>
      </c>
      <c r="K1482" s="3" t="e">
        <f t="shared" si="191"/>
        <v>#N/A</v>
      </c>
      <c r="L1482">
        <f t="shared" si="184"/>
        <v>5.233333333</v>
      </c>
      <c r="M1482">
        <f t="shared" si="190"/>
        <v>18.8399999988</v>
      </c>
    </row>
    <row r="1483" spans="1:13" x14ac:dyDescent="0.25">
      <c r="A1483" s="9">
        <f>Speed!A1483</f>
        <v>45701.297256944446</v>
      </c>
      <c r="B1483" s="9">
        <f t="shared" si="185"/>
        <v>45701.297256944439</v>
      </c>
      <c r="C1483" s="2">
        <f>Speed!B1483</f>
        <v>5.1638888889999999</v>
      </c>
      <c r="D1483" s="9">
        <f>Odometer!A1483</f>
        <v>0</v>
      </c>
      <c r="E1483" s="9">
        <f t="shared" si="186"/>
        <v>0</v>
      </c>
      <c r="F1483" s="2">
        <f>Odometer!B1483</f>
        <v>0</v>
      </c>
      <c r="G1483" s="2">
        <f t="shared" si="187"/>
        <v>0</v>
      </c>
      <c r="H1483" s="2">
        <f>SUM($G$2:G1483)</f>
        <v>11920</v>
      </c>
      <c r="I1483" s="10">
        <f t="shared" si="188"/>
        <v>45701.297256944446</v>
      </c>
      <c r="J1483" s="10">
        <f t="shared" si="189"/>
        <v>45701.297256944439</v>
      </c>
      <c r="K1483" s="3">
        <f t="shared" si="191"/>
        <v>11667</v>
      </c>
      <c r="L1483">
        <f t="shared" si="184"/>
        <v>5.1638888889999999</v>
      </c>
      <c r="M1483">
        <f t="shared" si="190"/>
        <v>18.5900000004</v>
      </c>
    </row>
    <row r="1484" spans="1:13" x14ac:dyDescent="0.25">
      <c r="A1484" s="9">
        <f>Speed!A1484</f>
        <v>45701.297268518516</v>
      </c>
      <c r="B1484" s="9">
        <f t="shared" si="185"/>
        <v>45701.297268518516</v>
      </c>
      <c r="C1484" s="2">
        <f>Speed!B1484</f>
        <v>5.1388888890000004</v>
      </c>
      <c r="D1484" s="9">
        <f>Odometer!A1484</f>
        <v>0</v>
      </c>
      <c r="E1484" s="9">
        <f t="shared" si="186"/>
        <v>0</v>
      </c>
      <c r="F1484" s="2">
        <f>Odometer!B1484</f>
        <v>0</v>
      </c>
      <c r="G1484" s="2">
        <f t="shared" si="187"/>
        <v>0</v>
      </c>
      <c r="H1484" s="2">
        <f>SUM($G$2:G1484)</f>
        <v>11920</v>
      </c>
      <c r="I1484" s="10">
        <f t="shared" si="188"/>
        <v>45701.297268518516</v>
      </c>
      <c r="J1484" s="10">
        <f t="shared" si="189"/>
        <v>45701.297268518516</v>
      </c>
      <c r="K1484" s="3">
        <f t="shared" si="191"/>
        <v>11672</v>
      </c>
      <c r="L1484">
        <f t="shared" si="184"/>
        <v>5.1388888890000004</v>
      </c>
      <c r="M1484">
        <f t="shared" si="190"/>
        <v>18.500000000400004</v>
      </c>
    </row>
    <row r="1485" spans="1:13" x14ac:dyDescent="0.25">
      <c r="A1485" s="9">
        <f>Speed!A1485</f>
        <v>45701.297280092593</v>
      </c>
      <c r="B1485" s="9">
        <f t="shared" si="185"/>
        <v>45701.297280092593</v>
      </c>
      <c r="C1485" s="2">
        <f>Speed!B1485</f>
        <v>5.1583333329999999</v>
      </c>
      <c r="D1485" s="9">
        <f>Odometer!A1485</f>
        <v>0</v>
      </c>
      <c r="E1485" s="9">
        <f t="shared" si="186"/>
        <v>0</v>
      </c>
      <c r="F1485" s="2">
        <f>Odometer!B1485</f>
        <v>0</v>
      </c>
      <c r="G1485" s="2">
        <f t="shared" si="187"/>
        <v>0</v>
      </c>
      <c r="H1485" s="2">
        <f>SUM($G$2:G1485)</f>
        <v>11920</v>
      </c>
      <c r="I1485" s="10">
        <f t="shared" si="188"/>
        <v>45701.297280092593</v>
      </c>
      <c r="J1485" s="10">
        <f t="shared" si="189"/>
        <v>45701.297280092593</v>
      </c>
      <c r="K1485" s="3">
        <f t="shared" si="191"/>
        <v>11678</v>
      </c>
      <c r="L1485">
        <f t="shared" si="184"/>
        <v>5.1583333329999999</v>
      </c>
      <c r="M1485">
        <f t="shared" si="190"/>
        <v>18.5699999988</v>
      </c>
    </row>
    <row r="1486" spans="1:13" x14ac:dyDescent="0.25">
      <c r="A1486" s="9">
        <f>Speed!A1486</f>
        <v>45701.297291666669</v>
      </c>
      <c r="B1486" s="9">
        <f t="shared" si="185"/>
        <v>45701.297291666662</v>
      </c>
      <c r="C1486" s="2">
        <f>Speed!B1486</f>
        <v>5.141666667</v>
      </c>
      <c r="D1486" s="9">
        <f>Odometer!A1486</f>
        <v>0</v>
      </c>
      <c r="E1486" s="9">
        <f t="shared" si="186"/>
        <v>0</v>
      </c>
      <c r="F1486" s="2">
        <f>Odometer!B1486</f>
        <v>0</v>
      </c>
      <c r="G1486" s="2">
        <f t="shared" si="187"/>
        <v>0</v>
      </c>
      <c r="H1486" s="2">
        <f>SUM($G$2:G1486)</f>
        <v>11920</v>
      </c>
      <c r="I1486" s="10">
        <f t="shared" si="188"/>
        <v>45701.297291666669</v>
      </c>
      <c r="J1486" s="10">
        <f t="shared" si="189"/>
        <v>45701.297291666662</v>
      </c>
      <c r="K1486" s="3">
        <f t="shared" si="191"/>
        <v>11682</v>
      </c>
      <c r="L1486">
        <f t="shared" si="184"/>
        <v>5.141666667</v>
      </c>
      <c r="M1486">
        <f t="shared" si="190"/>
        <v>18.510000001200002</v>
      </c>
    </row>
    <row r="1487" spans="1:13" x14ac:dyDescent="0.25">
      <c r="A1487" s="9">
        <f>Speed!A1487</f>
        <v>45701.297303240739</v>
      </c>
      <c r="B1487" s="9">
        <f t="shared" si="185"/>
        <v>45701.297303240739</v>
      </c>
      <c r="C1487" s="2">
        <f>Speed!B1487</f>
        <v>5.0833333329999997</v>
      </c>
      <c r="D1487" s="9">
        <f>Odometer!A1487</f>
        <v>0</v>
      </c>
      <c r="E1487" s="9">
        <f t="shared" si="186"/>
        <v>0</v>
      </c>
      <c r="F1487" s="2">
        <f>Odometer!B1487</f>
        <v>0</v>
      </c>
      <c r="G1487" s="2">
        <f t="shared" si="187"/>
        <v>0</v>
      </c>
      <c r="H1487" s="2">
        <f>SUM($G$2:G1487)</f>
        <v>11920</v>
      </c>
      <c r="I1487" s="10">
        <f t="shared" si="188"/>
        <v>45701.297303240739</v>
      </c>
      <c r="J1487" s="10">
        <f t="shared" si="189"/>
        <v>45701.297303240739</v>
      </c>
      <c r="K1487" s="3">
        <f t="shared" si="191"/>
        <v>11688</v>
      </c>
      <c r="L1487">
        <f t="shared" si="184"/>
        <v>5.0833333329999997</v>
      </c>
      <c r="M1487">
        <f t="shared" si="190"/>
        <v>18.299999998800001</v>
      </c>
    </row>
    <row r="1488" spans="1:13" x14ac:dyDescent="0.25">
      <c r="A1488" s="9">
        <f>Speed!A1488</f>
        <v>45701.297314814816</v>
      </c>
      <c r="B1488" s="9">
        <f t="shared" si="185"/>
        <v>45701.297314814816</v>
      </c>
      <c r="C1488" s="2">
        <f>Speed!B1488</f>
        <v>5.016666667</v>
      </c>
      <c r="D1488" s="9">
        <f>Odometer!A1488</f>
        <v>0</v>
      </c>
      <c r="E1488" s="9">
        <f t="shared" si="186"/>
        <v>0</v>
      </c>
      <c r="F1488" s="2">
        <f>Odometer!B1488</f>
        <v>0</v>
      </c>
      <c r="G1488" s="2">
        <f t="shared" si="187"/>
        <v>0</v>
      </c>
      <c r="H1488" s="2">
        <f>SUM($G$2:G1488)</f>
        <v>11920</v>
      </c>
      <c r="I1488" s="10">
        <f t="shared" si="188"/>
        <v>45701.297314814816</v>
      </c>
      <c r="J1488" s="10">
        <f t="shared" si="189"/>
        <v>45701.297314814816</v>
      </c>
      <c r="K1488" s="3">
        <f t="shared" si="191"/>
        <v>11693</v>
      </c>
      <c r="L1488">
        <f t="shared" si="184"/>
        <v>5.016666667</v>
      </c>
      <c r="M1488">
        <f t="shared" si="190"/>
        <v>18.060000001199999</v>
      </c>
    </row>
    <row r="1489" spans="1:13" x14ac:dyDescent="0.25">
      <c r="A1489" s="9">
        <f>Speed!A1489</f>
        <v>45701.297314814816</v>
      </c>
      <c r="B1489" s="9">
        <f t="shared" si="185"/>
        <v>45701.297314814816</v>
      </c>
      <c r="C1489" s="2">
        <f>Speed!B1489</f>
        <v>5.0083333330000004</v>
      </c>
      <c r="D1489" s="9">
        <f>Odometer!A1489</f>
        <v>0</v>
      </c>
      <c r="E1489" s="9">
        <f t="shared" si="186"/>
        <v>0</v>
      </c>
      <c r="F1489" s="2">
        <f>Odometer!B1489</f>
        <v>0</v>
      </c>
      <c r="G1489" s="2">
        <f t="shared" si="187"/>
        <v>0</v>
      </c>
      <c r="H1489" s="2">
        <f>SUM($G$2:G1489)</f>
        <v>11920</v>
      </c>
      <c r="I1489" s="10">
        <f t="shared" si="188"/>
        <v>45701.297314814816</v>
      </c>
      <c r="J1489" s="10">
        <f t="shared" si="189"/>
        <v>45701.297314814816</v>
      </c>
      <c r="K1489" s="3">
        <f t="shared" si="191"/>
        <v>11693</v>
      </c>
      <c r="L1489">
        <f t="shared" si="184"/>
        <v>5.016666667</v>
      </c>
      <c r="M1489">
        <f t="shared" si="190"/>
        <v>18.060000001199999</v>
      </c>
    </row>
    <row r="1490" spans="1:13" x14ac:dyDescent="0.25">
      <c r="A1490" s="9">
        <f>Speed!A1490</f>
        <v>45701.297326388885</v>
      </c>
      <c r="B1490" s="9">
        <f t="shared" si="185"/>
        <v>45701.297326388885</v>
      </c>
      <c r="C1490" s="2">
        <f>Speed!B1490</f>
        <v>4.9611111110000001</v>
      </c>
      <c r="D1490" s="9">
        <f>Odometer!A1490</f>
        <v>0</v>
      </c>
      <c r="E1490" s="9">
        <f t="shared" si="186"/>
        <v>0</v>
      </c>
      <c r="F1490" s="2">
        <f>Odometer!B1490</f>
        <v>0</v>
      </c>
      <c r="G1490" s="2">
        <f t="shared" si="187"/>
        <v>0</v>
      </c>
      <c r="H1490" s="2">
        <f>SUM($G$2:G1490)</f>
        <v>11920</v>
      </c>
      <c r="I1490" s="10">
        <f t="shared" si="188"/>
        <v>45701.297326388885</v>
      </c>
      <c r="J1490" s="10">
        <f t="shared" si="189"/>
        <v>45701.297326388885</v>
      </c>
      <c r="K1490" s="3">
        <f t="shared" si="191"/>
        <v>11698</v>
      </c>
      <c r="L1490">
        <f t="shared" si="184"/>
        <v>4.9611111110000001</v>
      </c>
      <c r="M1490">
        <f t="shared" si="190"/>
        <v>17.859999999599999</v>
      </c>
    </row>
    <row r="1491" spans="1:13" x14ac:dyDescent="0.25">
      <c r="A1491" s="9">
        <f>Speed!A1491</f>
        <v>45701.297337962962</v>
      </c>
      <c r="B1491" s="9">
        <f t="shared" si="185"/>
        <v>45701.297337962962</v>
      </c>
      <c r="C1491" s="2">
        <f>Speed!B1491</f>
        <v>4.8944444440000003</v>
      </c>
      <c r="D1491" s="9">
        <f>Odometer!A1491</f>
        <v>0</v>
      </c>
      <c r="E1491" s="9">
        <f t="shared" si="186"/>
        <v>0</v>
      </c>
      <c r="F1491" s="2">
        <f>Odometer!B1491</f>
        <v>0</v>
      </c>
      <c r="G1491" s="2">
        <f t="shared" si="187"/>
        <v>0</v>
      </c>
      <c r="H1491" s="2">
        <f>SUM($G$2:G1491)</f>
        <v>11920</v>
      </c>
      <c r="I1491" s="10">
        <f t="shared" si="188"/>
        <v>45701.297337962962</v>
      </c>
      <c r="J1491" s="10">
        <f t="shared" si="189"/>
        <v>45701.297337962962</v>
      </c>
      <c r="K1491" s="3">
        <f t="shared" si="191"/>
        <v>11703</v>
      </c>
      <c r="L1491">
        <f t="shared" si="184"/>
        <v>4.8944444440000003</v>
      </c>
      <c r="M1491">
        <f t="shared" si="190"/>
        <v>17.619999998400001</v>
      </c>
    </row>
    <row r="1492" spans="1:13" x14ac:dyDescent="0.25">
      <c r="A1492" s="9">
        <f>Speed!A1492</f>
        <v>45701.297349537039</v>
      </c>
      <c r="B1492" s="9">
        <f t="shared" si="185"/>
        <v>45701.297349537032</v>
      </c>
      <c r="C1492" s="2">
        <f>Speed!B1492</f>
        <v>4.6666666670000003</v>
      </c>
      <c r="D1492" s="9">
        <f>Odometer!A1492</f>
        <v>0</v>
      </c>
      <c r="E1492" s="9">
        <f t="shared" si="186"/>
        <v>0</v>
      </c>
      <c r="F1492" s="2">
        <f>Odometer!B1492</f>
        <v>0</v>
      </c>
      <c r="G1492" s="2">
        <f t="shared" si="187"/>
        <v>0</v>
      </c>
      <c r="H1492" s="2">
        <f>SUM($G$2:G1492)</f>
        <v>11920</v>
      </c>
      <c r="I1492" s="10">
        <f t="shared" si="188"/>
        <v>45701.297349537039</v>
      </c>
      <c r="J1492" s="10">
        <f t="shared" si="189"/>
        <v>45701.297349537032</v>
      </c>
      <c r="K1492" s="3">
        <f t="shared" si="191"/>
        <v>11705</v>
      </c>
      <c r="L1492">
        <f t="shared" si="184"/>
        <v>4.6666666670000003</v>
      </c>
      <c r="M1492">
        <f t="shared" si="190"/>
        <v>16.800000001200001</v>
      </c>
    </row>
    <row r="1493" spans="1:13" x14ac:dyDescent="0.25">
      <c r="A1493" s="9">
        <f>Speed!A1493</f>
        <v>45701.297349537039</v>
      </c>
      <c r="B1493" s="9">
        <f t="shared" si="185"/>
        <v>45701.297349537032</v>
      </c>
      <c r="C1493" s="2">
        <f>Speed!B1493</f>
        <v>4.4055555560000004</v>
      </c>
      <c r="D1493" s="9">
        <f>Odometer!A1493</f>
        <v>0</v>
      </c>
      <c r="E1493" s="9">
        <f t="shared" si="186"/>
        <v>0</v>
      </c>
      <c r="F1493" s="2">
        <f>Odometer!B1493</f>
        <v>0</v>
      </c>
      <c r="G1493" s="2">
        <f t="shared" si="187"/>
        <v>0</v>
      </c>
      <c r="H1493" s="2">
        <f>SUM($G$2:G1493)</f>
        <v>11920</v>
      </c>
      <c r="I1493" s="10">
        <f t="shared" si="188"/>
        <v>45701.297349537039</v>
      </c>
      <c r="J1493" s="10">
        <f t="shared" si="189"/>
        <v>45701.297349537032</v>
      </c>
      <c r="K1493" s="3">
        <f t="shared" si="191"/>
        <v>11705</v>
      </c>
      <c r="L1493">
        <f t="shared" si="184"/>
        <v>4.6666666670000003</v>
      </c>
      <c r="M1493">
        <f t="shared" si="190"/>
        <v>16.800000001200001</v>
      </c>
    </row>
    <row r="1494" spans="1:13" x14ac:dyDescent="0.25">
      <c r="A1494" s="9">
        <f>Speed!A1494</f>
        <v>45701.297361111108</v>
      </c>
      <c r="B1494" s="9">
        <f t="shared" si="185"/>
        <v>45701.297361111108</v>
      </c>
      <c r="C1494" s="2">
        <f>Speed!B1494</f>
        <v>4.3527777780000001</v>
      </c>
      <c r="D1494" s="9">
        <f>Odometer!A1494</f>
        <v>0</v>
      </c>
      <c r="E1494" s="9">
        <f t="shared" si="186"/>
        <v>0</v>
      </c>
      <c r="F1494" s="2">
        <f>Odometer!B1494</f>
        <v>0</v>
      </c>
      <c r="G1494" s="2">
        <f t="shared" si="187"/>
        <v>0</v>
      </c>
      <c r="H1494" s="2">
        <f>SUM($G$2:G1494)</f>
        <v>11920</v>
      </c>
      <c r="I1494" s="10">
        <f t="shared" si="188"/>
        <v>45701.297361111108</v>
      </c>
      <c r="J1494" s="10">
        <f t="shared" si="189"/>
        <v>45701.297361111108</v>
      </c>
      <c r="K1494" s="3">
        <f t="shared" si="191"/>
        <v>11708</v>
      </c>
      <c r="L1494">
        <f t="shared" si="184"/>
        <v>4.3527777780000001</v>
      </c>
      <c r="M1494">
        <f t="shared" si="190"/>
        <v>15.6700000008</v>
      </c>
    </row>
    <row r="1495" spans="1:13" x14ac:dyDescent="0.25">
      <c r="A1495" s="9">
        <f>Speed!A1495</f>
        <v>45701.297361111108</v>
      </c>
      <c r="B1495" s="9">
        <f t="shared" si="185"/>
        <v>45701.297361111108</v>
      </c>
      <c r="C1495" s="2">
        <f>Speed!B1495</f>
        <v>4.363888889</v>
      </c>
      <c r="D1495" s="9">
        <f>Odometer!A1495</f>
        <v>0</v>
      </c>
      <c r="E1495" s="9">
        <f t="shared" si="186"/>
        <v>0</v>
      </c>
      <c r="F1495" s="2">
        <f>Odometer!B1495</f>
        <v>0</v>
      </c>
      <c r="G1495" s="2">
        <f t="shared" si="187"/>
        <v>0</v>
      </c>
      <c r="H1495" s="2">
        <f>SUM($G$2:G1495)</f>
        <v>11920</v>
      </c>
      <c r="I1495" s="10">
        <f t="shared" si="188"/>
        <v>45701.297361111108</v>
      </c>
      <c r="J1495" s="10">
        <f t="shared" si="189"/>
        <v>45701.297361111108</v>
      </c>
      <c r="K1495" s="3">
        <f t="shared" si="191"/>
        <v>11708</v>
      </c>
      <c r="L1495">
        <f t="shared" si="184"/>
        <v>4.3527777780000001</v>
      </c>
      <c r="M1495">
        <f t="shared" si="190"/>
        <v>15.6700000008</v>
      </c>
    </row>
    <row r="1496" spans="1:13" x14ac:dyDescent="0.25">
      <c r="A1496" s="9">
        <f>Speed!A1496</f>
        <v>45701.297372685185</v>
      </c>
      <c r="B1496" s="9">
        <f t="shared" si="185"/>
        <v>45701.297372685185</v>
      </c>
      <c r="C1496" s="2">
        <f>Speed!B1496</f>
        <v>4.5416666670000003</v>
      </c>
      <c r="D1496" s="9">
        <f>Odometer!A1496</f>
        <v>0</v>
      </c>
      <c r="E1496" s="9">
        <f t="shared" si="186"/>
        <v>0</v>
      </c>
      <c r="F1496" s="2">
        <f>Odometer!B1496</f>
        <v>0</v>
      </c>
      <c r="G1496" s="2">
        <f t="shared" si="187"/>
        <v>0</v>
      </c>
      <c r="H1496" s="2">
        <f>SUM($G$2:G1496)</f>
        <v>11920</v>
      </c>
      <c r="I1496" s="10">
        <f t="shared" si="188"/>
        <v>45701.297372685185</v>
      </c>
      <c r="J1496" s="10">
        <f t="shared" si="189"/>
        <v>45701.297372685185</v>
      </c>
      <c r="K1496" s="3">
        <f t="shared" si="191"/>
        <v>11716</v>
      </c>
      <c r="L1496">
        <f t="shared" si="184"/>
        <v>4.5416666670000003</v>
      </c>
      <c r="M1496">
        <f t="shared" si="190"/>
        <v>16.350000001200002</v>
      </c>
    </row>
    <row r="1497" spans="1:13" x14ac:dyDescent="0.25">
      <c r="A1497" s="9">
        <f>Speed!A1497</f>
        <v>45701.297384259262</v>
      </c>
      <c r="B1497" s="9">
        <f t="shared" si="185"/>
        <v>45701.297384259255</v>
      </c>
      <c r="C1497" s="2">
        <f>Speed!B1497</f>
        <v>4.7194444439999996</v>
      </c>
      <c r="D1497" s="9">
        <f>Odometer!A1497</f>
        <v>0</v>
      </c>
      <c r="E1497" s="9">
        <f t="shared" si="186"/>
        <v>0</v>
      </c>
      <c r="F1497" s="2">
        <f>Odometer!B1497</f>
        <v>0</v>
      </c>
      <c r="G1497" s="2">
        <f t="shared" si="187"/>
        <v>0</v>
      </c>
      <c r="H1497" s="2">
        <f>SUM($G$2:G1497)</f>
        <v>11920</v>
      </c>
      <c r="I1497" s="10">
        <f t="shared" si="188"/>
        <v>45701.297384259262</v>
      </c>
      <c r="J1497" s="10">
        <f t="shared" si="189"/>
        <v>45701.297384259255</v>
      </c>
      <c r="K1497" s="3">
        <f t="shared" si="191"/>
        <v>11720</v>
      </c>
      <c r="L1497">
        <f t="shared" si="184"/>
        <v>4.7194444439999996</v>
      </c>
      <c r="M1497">
        <f t="shared" si="190"/>
        <v>16.989999998399998</v>
      </c>
    </row>
    <row r="1498" spans="1:13" x14ac:dyDescent="0.25">
      <c r="A1498" s="9">
        <f>Speed!A1498</f>
        <v>45701.297384259262</v>
      </c>
      <c r="B1498" s="9">
        <f t="shared" si="185"/>
        <v>45701.297384259255</v>
      </c>
      <c r="C1498" s="2">
        <f>Speed!B1498</f>
        <v>4.9138888889999999</v>
      </c>
      <c r="D1498" s="9">
        <f>Odometer!A1498</f>
        <v>0</v>
      </c>
      <c r="E1498" s="9">
        <f t="shared" si="186"/>
        <v>0</v>
      </c>
      <c r="F1498" s="2">
        <f>Odometer!B1498</f>
        <v>0</v>
      </c>
      <c r="G1498" s="2">
        <f t="shared" si="187"/>
        <v>0</v>
      </c>
      <c r="H1498" s="2">
        <f>SUM($G$2:G1498)</f>
        <v>11920</v>
      </c>
      <c r="I1498" s="10">
        <f t="shared" si="188"/>
        <v>45701.297384259262</v>
      </c>
      <c r="J1498" s="10">
        <f t="shared" si="189"/>
        <v>45701.297384259255</v>
      </c>
      <c r="K1498" s="3">
        <f t="shared" si="191"/>
        <v>11720</v>
      </c>
      <c r="L1498">
        <f t="shared" si="184"/>
        <v>4.7194444439999996</v>
      </c>
      <c r="M1498">
        <f t="shared" si="190"/>
        <v>16.989999998399998</v>
      </c>
    </row>
    <row r="1499" spans="1:13" x14ac:dyDescent="0.25">
      <c r="A1499" s="9">
        <f>Speed!A1499</f>
        <v>45701.297395833331</v>
      </c>
      <c r="B1499" s="9">
        <f t="shared" si="185"/>
        <v>45701.297395833331</v>
      </c>
      <c r="C1499" s="2">
        <f>Speed!B1499</f>
        <v>4.9249999999999998</v>
      </c>
      <c r="D1499" s="9">
        <f>Odometer!A1499</f>
        <v>0</v>
      </c>
      <c r="E1499" s="9">
        <f t="shared" si="186"/>
        <v>0</v>
      </c>
      <c r="F1499" s="2">
        <f>Odometer!B1499</f>
        <v>0</v>
      </c>
      <c r="G1499" s="2">
        <f t="shared" si="187"/>
        <v>0</v>
      </c>
      <c r="H1499" s="2">
        <f>SUM($G$2:G1499)</f>
        <v>11920</v>
      </c>
      <c r="I1499" s="10">
        <f t="shared" si="188"/>
        <v>45701.297395833331</v>
      </c>
      <c r="J1499" s="10">
        <f t="shared" si="189"/>
        <v>45701.297395833331</v>
      </c>
      <c r="K1499" s="3">
        <f t="shared" si="191"/>
        <v>11726</v>
      </c>
      <c r="L1499">
        <f t="shared" si="184"/>
        <v>4.9249999999999998</v>
      </c>
      <c r="M1499">
        <f t="shared" si="190"/>
        <v>17.73</v>
      </c>
    </row>
    <row r="1500" spans="1:13" x14ac:dyDescent="0.25">
      <c r="A1500" s="9">
        <f>Speed!A1500</f>
        <v>45701.297407407408</v>
      </c>
      <c r="B1500" s="9">
        <f t="shared" si="185"/>
        <v>45701.297407407408</v>
      </c>
      <c r="C1500" s="2">
        <f>Speed!B1500</f>
        <v>5.0694444440000002</v>
      </c>
      <c r="D1500" s="9">
        <f>Odometer!A1500</f>
        <v>0</v>
      </c>
      <c r="E1500" s="9">
        <f t="shared" si="186"/>
        <v>0</v>
      </c>
      <c r="F1500" s="2">
        <f>Odometer!B1500</f>
        <v>0</v>
      </c>
      <c r="G1500" s="2">
        <f t="shared" si="187"/>
        <v>0</v>
      </c>
      <c r="H1500" s="2">
        <f>SUM($G$2:G1500)</f>
        <v>11920</v>
      </c>
      <c r="I1500" s="10">
        <f t="shared" si="188"/>
        <v>45701.297407407408</v>
      </c>
      <c r="J1500" s="10">
        <f t="shared" si="189"/>
        <v>45701.297407407408</v>
      </c>
      <c r="K1500" s="3">
        <f t="shared" si="191"/>
        <v>11731</v>
      </c>
      <c r="L1500">
        <f t="shared" si="184"/>
        <v>5.0694444440000002</v>
      </c>
      <c r="M1500">
        <f t="shared" si="190"/>
        <v>18.2499999984</v>
      </c>
    </row>
    <row r="1501" spans="1:13" x14ac:dyDescent="0.25">
      <c r="A1501" s="9">
        <f>Speed!A1501</f>
        <v>45701.297407407408</v>
      </c>
      <c r="B1501" s="9">
        <f t="shared" si="185"/>
        <v>45701.297407407408</v>
      </c>
      <c r="C1501" s="2">
        <f>Speed!B1501</f>
        <v>5.238888889</v>
      </c>
      <c r="D1501" s="9">
        <f>Odometer!A1501</f>
        <v>0</v>
      </c>
      <c r="E1501" s="9">
        <f t="shared" ref="E1501:E1564" si="192">MROUND(D1501,"00:00:01")</f>
        <v>0</v>
      </c>
      <c r="F1501" s="2">
        <f>Odometer!B1501</f>
        <v>0</v>
      </c>
      <c r="G1501" s="2">
        <f t="shared" si="187"/>
        <v>0</v>
      </c>
      <c r="H1501" s="2">
        <f>SUM($G$2:G1501)</f>
        <v>11920</v>
      </c>
      <c r="I1501" s="10">
        <f t="shared" ref="I1501:I1564" si="193">A1501</f>
        <v>45701.297407407408</v>
      </c>
      <c r="J1501" s="10">
        <f t="shared" si="189"/>
        <v>45701.297407407408</v>
      </c>
      <c r="K1501" s="3">
        <f t="shared" si="191"/>
        <v>11731</v>
      </c>
      <c r="L1501">
        <f t="shared" si="184"/>
        <v>5.0694444440000002</v>
      </c>
      <c r="M1501">
        <f t="shared" ref="M1501:M1564" si="194">L1501*3.6</f>
        <v>18.2499999984</v>
      </c>
    </row>
    <row r="1502" spans="1:13" x14ac:dyDescent="0.25">
      <c r="A1502" s="9">
        <f>Speed!A1502</f>
        <v>45701.297430555554</v>
      </c>
      <c r="B1502" s="9">
        <f t="shared" si="185"/>
        <v>45701.297430555554</v>
      </c>
      <c r="C1502" s="2">
        <f>Speed!B1502</f>
        <v>5.3666666669999996</v>
      </c>
      <c r="D1502" s="9">
        <f>Odometer!A1502</f>
        <v>0</v>
      </c>
      <c r="E1502" s="9">
        <f t="shared" si="192"/>
        <v>0</v>
      </c>
      <c r="F1502" s="2">
        <f>Odometer!B1502</f>
        <v>0</v>
      </c>
      <c r="G1502" s="2">
        <f t="shared" si="187"/>
        <v>0</v>
      </c>
      <c r="H1502" s="2">
        <f>SUM($G$2:G1502)</f>
        <v>11920</v>
      </c>
      <c r="I1502" s="10">
        <f t="shared" si="193"/>
        <v>45701.297430555554</v>
      </c>
      <c r="J1502" s="10">
        <f t="shared" si="189"/>
        <v>45701.297430555554</v>
      </c>
      <c r="K1502" s="3">
        <f t="shared" si="191"/>
        <v>11742</v>
      </c>
      <c r="L1502">
        <f t="shared" si="184"/>
        <v>5.3666666669999996</v>
      </c>
      <c r="M1502">
        <f t="shared" si="194"/>
        <v>19.3200000012</v>
      </c>
    </row>
    <row r="1503" spans="1:13" x14ac:dyDescent="0.25">
      <c r="A1503" s="9">
        <f>Speed!A1503</f>
        <v>45701.297442129631</v>
      </c>
      <c r="B1503" s="9">
        <f t="shared" si="185"/>
        <v>45701.297442129624</v>
      </c>
      <c r="C1503" s="2">
        <f>Speed!B1503</f>
        <v>5.5083333330000004</v>
      </c>
      <c r="D1503" s="9">
        <f>Odometer!A1503</f>
        <v>0</v>
      </c>
      <c r="E1503" s="9">
        <f t="shared" si="192"/>
        <v>0</v>
      </c>
      <c r="F1503" s="2">
        <f>Odometer!B1503</f>
        <v>0</v>
      </c>
      <c r="G1503" s="2">
        <f t="shared" si="187"/>
        <v>0</v>
      </c>
      <c r="H1503" s="2">
        <f>SUM($G$2:G1503)</f>
        <v>11920</v>
      </c>
      <c r="I1503" s="10">
        <f t="shared" si="193"/>
        <v>45701.297442129631</v>
      </c>
      <c r="J1503" s="10">
        <f t="shared" si="189"/>
        <v>45701.297442129624</v>
      </c>
      <c r="K1503" s="3">
        <f t="shared" si="191"/>
        <v>11747</v>
      </c>
      <c r="L1503">
        <f t="shared" si="184"/>
        <v>5.5083333330000004</v>
      </c>
      <c r="M1503">
        <f t="shared" si="194"/>
        <v>19.829999998800002</v>
      </c>
    </row>
    <row r="1504" spans="1:13" x14ac:dyDescent="0.25">
      <c r="A1504" s="9">
        <f>Speed!A1504</f>
        <v>45701.297442129631</v>
      </c>
      <c r="B1504" s="9">
        <f t="shared" si="185"/>
        <v>45701.297442129624</v>
      </c>
      <c r="C1504" s="2">
        <f>Speed!B1504</f>
        <v>5.5250000000000004</v>
      </c>
      <c r="D1504" s="9">
        <f>Odometer!A1504</f>
        <v>0</v>
      </c>
      <c r="E1504" s="9">
        <f t="shared" si="192"/>
        <v>0</v>
      </c>
      <c r="F1504" s="2">
        <f>Odometer!B1504</f>
        <v>0</v>
      </c>
      <c r="G1504" s="2">
        <f t="shared" si="187"/>
        <v>0</v>
      </c>
      <c r="H1504" s="2">
        <f>SUM($G$2:G1504)</f>
        <v>11920</v>
      </c>
      <c r="I1504" s="10">
        <f t="shared" si="193"/>
        <v>45701.297442129631</v>
      </c>
      <c r="J1504" s="10">
        <f t="shared" si="189"/>
        <v>45701.297442129624</v>
      </c>
      <c r="K1504" s="3">
        <f t="shared" si="191"/>
        <v>11747</v>
      </c>
      <c r="L1504">
        <f t="shared" si="184"/>
        <v>5.5083333330000004</v>
      </c>
      <c r="M1504">
        <f t="shared" si="194"/>
        <v>19.829999998800002</v>
      </c>
    </row>
    <row r="1505" spans="1:13" x14ac:dyDescent="0.25">
      <c r="A1505" s="9">
        <f>Speed!A1505</f>
        <v>45701.297453703701</v>
      </c>
      <c r="B1505" s="9">
        <f t="shared" si="185"/>
        <v>45701.297453703701</v>
      </c>
      <c r="C1505" s="2">
        <f>Speed!B1505</f>
        <v>5.625</v>
      </c>
      <c r="D1505" s="9">
        <f>Odometer!A1505</f>
        <v>0</v>
      </c>
      <c r="E1505" s="9">
        <f t="shared" si="192"/>
        <v>0</v>
      </c>
      <c r="F1505" s="2">
        <f>Odometer!B1505</f>
        <v>0</v>
      </c>
      <c r="G1505" s="2">
        <f t="shared" si="187"/>
        <v>0</v>
      </c>
      <c r="H1505" s="2">
        <f>SUM($G$2:G1505)</f>
        <v>11920</v>
      </c>
      <c r="I1505" s="10">
        <f t="shared" si="193"/>
        <v>45701.297453703701</v>
      </c>
      <c r="J1505" s="10">
        <f t="shared" si="189"/>
        <v>45701.297453703701</v>
      </c>
      <c r="K1505" s="3">
        <f t="shared" si="191"/>
        <v>11750</v>
      </c>
      <c r="L1505">
        <f t="shared" si="184"/>
        <v>5.625</v>
      </c>
      <c r="M1505">
        <f t="shared" si="194"/>
        <v>20.25</v>
      </c>
    </row>
    <row r="1506" spans="1:13" x14ac:dyDescent="0.25">
      <c r="A1506" s="9">
        <f>Speed!A1506</f>
        <v>45701.297453703701</v>
      </c>
      <c r="B1506" s="9">
        <f t="shared" si="185"/>
        <v>45701.297453703701</v>
      </c>
      <c r="C1506" s="2">
        <f>Speed!B1506</f>
        <v>5.6694444439999998</v>
      </c>
      <c r="D1506" s="9">
        <f>Odometer!A1506</f>
        <v>0</v>
      </c>
      <c r="E1506" s="9">
        <f t="shared" si="192"/>
        <v>0</v>
      </c>
      <c r="F1506" s="2">
        <f>Odometer!B1506</f>
        <v>0</v>
      </c>
      <c r="G1506" s="2">
        <f t="shared" si="187"/>
        <v>0</v>
      </c>
      <c r="H1506" s="2">
        <f>SUM($G$2:G1506)</f>
        <v>11920</v>
      </c>
      <c r="I1506" s="10">
        <f t="shared" si="193"/>
        <v>45701.297453703701</v>
      </c>
      <c r="J1506" s="10">
        <f t="shared" si="189"/>
        <v>45701.297453703701</v>
      </c>
      <c r="K1506" s="3">
        <f t="shared" si="191"/>
        <v>11750</v>
      </c>
      <c r="L1506">
        <f t="shared" si="184"/>
        <v>5.625</v>
      </c>
      <c r="M1506">
        <f t="shared" si="194"/>
        <v>20.25</v>
      </c>
    </row>
    <row r="1507" spans="1:13" x14ac:dyDescent="0.25">
      <c r="A1507" s="9">
        <f>Speed!A1507</f>
        <v>45701.297465277778</v>
      </c>
      <c r="B1507" s="9">
        <f t="shared" si="185"/>
        <v>45701.297465277778</v>
      </c>
      <c r="C1507" s="2">
        <f>Speed!B1507</f>
        <v>5.733333333</v>
      </c>
      <c r="D1507" s="9">
        <f>Odometer!A1507</f>
        <v>0</v>
      </c>
      <c r="E1507" s="9">
        <f t="shared" si="192"/>
        <v>0</v>
      </c>
      <c r="F1507" s="2">
        <f>Odometer!B1507</f>
        <v>0</v>
      </c>
      <c r="G1507" s="2">
        <f t="shared" si="187"/>
        <v>0</v>
      </c>
      <c r="H1507" s="2">
        <f>SUM($G$2:G1507)</f>
        <v>11920</v>
      </c>
      <c r="I1507" s="10">
        <f t="shared" si="193"/>
        <v>45701.297465277778</v>
      </c>
      <c r="J1507" s="10">
        <f t="shared" si="189"/>
        <v>45701.297465277778</v>
      </c>
      <c r="K1507" s="3">
        <f t="shared" si="191"/>
        <v>11758</v>
      </c>
      <c r="L1507">
        <f t="shared" si="184"/>
        <v>5.733333333</v>
      </c>
      <c r="M1507">
        <f t="shared" si="194"/>
        <v>20.6399999988</v>
      </c>
    </row>
    <row r="1508" spans="1:13" x14ac:dyDescent="0.25">
      <c r="A1508" s="9">
        <f>Speed!A1508</f>
        <v>45701.297465277778</v>
      </c>
      <c r="B1508" s="9">
        <f t="shared" si="185"/>
        <v>45701.297465277778</v>
      </c>
      <c r="C1508" s="2">
        <f>Speed!B1508</f>
        <v>5.8027777780000003</v>
      </c>
      <c r="D1508" s="9">
        <f>Odometer!A1508</f>
        <v>0</v>
      </c>
      <c r="E1508" s="9">
        <f t="shared" si="192"/>
        <v>0</v>
      </c>
      <c r="F1508" s="2">
        <f>Odometer!B1508</f>
        <v>0</v>
      </c>
      <c r="G1508" s="2">
        <f t="shared" si="187"/>
        <v>0</v>
      </c>
      <c r="H1508" s="2">
        <f>SUM($G$2:G1508)</f>
        <v>11920</v>
      </c>
      <c r="I1508" s="10">
        <f t="shared" si="193"/>
        <v>45701.297465277778</v>
      </c>
      <c r="J1508" s="10">
        <f t="shared" si="189"/>
        <v>45701.297465277778</v>
      </c>
      <c r="K1508" s="3">
        <f t="shared" si="191"/>
        <v>11758</v>
      </c>
      <c r="L1508">
        <f t="shared" si="184"/>
        <v>5.733333333</v>
      </c>
      <c r="M1508">
        <f t="shared" si="194"/>
        <v>20.6399999988</v>
      </c>
    </row>
    <row r="1509" spans="1:13" x14ac:dyDescent="0.25">
      <c r="A1509" s="9">
        <f>Speed!A1509</f>
        <v>45701.297476851854</v>
      </c>
      <c r="B1509" s="9">
        <f t="shared" si="185"/>
        <v>45701.297476851847</v>
      </c>
      <c r="C1509" s="2">
        <f>Speed!B1509</f>
        <v>5.8138888890000002</v>
      </c>
      <c r="D1509" s="9">
        <f>Odometer!A1509</f>
        <v>0</v>
      </c>
      <c r="E1509" s="9">
        <f t="shared" si="192"/>
        <v>0</v>
      </c>
      <c r="F1509" s="2">
        <f>Odometer!B1509</f>
        <v>0</v>
      </c>
      <c r="G1509" s="2">
        <f t="shared" si="187"/>
        <v>0</v>
      </c>
      <c r="H1509" s="2">
        <f>SUM($G$2:G1509)</f>
        <v>11920</v>
      </c>
      <c r="I1509" s="10">
        <f t="shared" si="193"/>
        <v>45701.297476851854</v>
      </c>
      <c r="J1509" s="10">
        <f t="shared" si="189"/>
        <v>45701.297476851847</v>
      </c>
      <c r="K1509" s="3">
        <f t="shared" si="191"/>
        <v>11764</v>
      </c>
      <c r="L1509">
        <f t="shared" si="184"/>
        <v>5.8138888890000002</v>
      </c>
      <c r="M1509">
        <f t="shared" si="194"/>
        <v>20.9300000004</v>
      </c>
    </row>
    <row r="1510" spans="1:13" x14ac:dyDescent="0.25">
      <c r="A1510" s="9">
        <f>Speed!A1510</f>
        <v>45701.297476851854</v>
      </c>
      <c r="B1510" s="9">
        <f t="shared" si="185"/>
        <v>45701.297476851847</v>
      </c>
      <c r="C1510" s="2">
        <f>Speed!B1510</f>
        <v>5.875</v>
      </c>
      <c r="D1510" s="9">
        <f>Odometer!A1510</f>
        <v>0</v>
      </c>
      <c r="E1510" s="9">
        <f t="shared" si="192"/>
        <v>0</v>
      </c>
      <c r="F1510" s="2">
        <f>Odometer!B1510</f>
        <v>0</v>
      </c>
      <c r="G1510" s="2">
        <f t="shared" si="187"/>
        <v>0</v>
      </c>
      <c r="H1510" s="2">
        <f>SUM($G$2:G1510)</f>
        <v>11920</v>
      </c>
      <c r="I1510" s="10">
        <f t="shared" si="193"/>
        <v>45701.297476851854</v>
      </c>
      <c r="J1510" s="10">
        <f t="shared" si="189"/>
        <v>45701.297476851847</v>
      </c>
      <c r="K1510" s="3">
        <f t="shared" si="191"/>
        <v>11764</v>
      </c>
      <c r="L1510">
        <f t="shared" si="184"/>
        <v>5.8138888890000002</v>
      </c>
      <c r="M1510">
        <f t="shared" si="194"/>
        <v>20.9300000004</v>
      </c>
    </row>
    <row r="1511" spans="1:13" x14ac:dyDescent="0.25">
      <c r="A1511" s="9">
        <f>Speed!A1511</f>
        <v>45701.297488425924</v>
      </c>
      <c r="B1511" s="9">
        <f t="shared" si="185"/>
        <v>45701.297488425924</v>
      </c>
      <c r="C1511" s="2">
        <f>Speed!B1511</f>
        <v>5.863888889</v>
      </c>
      <c r="D1511" s="9">
        <f>Odometer!A1511</f>
        <v>0</v>
      </c>
      <c r="E1511" s="9">
        <f t="shared" si="192"/>
        <v>0</v>
      </c>
      <c r="F1511" s="2">
        <f>Odometer!B1511</f>
        <v>0</v>
      </c>
      <c r="G1511" s="2">
        <f t="shared" si="187"/>
        <v>0</v>
      </c>
      <c r="H1511" s="2">
        <f>SUM($G$2:G1511)</f>
        <v>11920</v>
      </c>
      <c r="I1511" s="10">
        <f t="shared" si="193"/>
        <v>45701.297488425924</v>
      </c>
      <c r="J1511" s="10">
        <f t="shared" si="189"/>
        <v>45701.297488425924</v>
      </c>
      <c r="K1511" s="3">
        <f t="shared" si="191"/>
        <v>11766</v>
      </c>
      <c r="L1511">
        <f t="shared" si="184"/>
        <v>5.863888889</v>
      </c>
      <c r="M1511">
        <f t="shared" si="194"/>
        <v>21.110000000399999</v>
      </c>
    </row>
    <row r="1512" spans="1:13" x14ac:dyDescent="0.25">
      <c r="A1512" s="9">
        <f>Speed!A1512</f>
        <v>45701.297488425924</v>
      </c>
      <c r="B1512" s="9">
        <f t="shared" si="185"/>
        <v>45701.297488425924</v>
      </c>
      <c r="C1512" s="2">
        <f>Speed!B1512</f>
        <v>5.8888888890000004</v>
      </c>
      <c r="D1512" s="9">
        <f>Odometer!A1512</f>
        <v>0</v>
      </c>
      <c r="E1512" s="9">
        <f t="shared" si="192"/>
        <v>0</v>
      </c>
      <c r="F1512" s="2">
        <f>Odometer!B1512</f>
        <v>0</v>
      </c>
      <c r="G1512" s="2">
        <f t="shared" si="187"/>
        <v>0</v>
      </c>
      <c r="H1512" s="2">
        <f>SUM($G$2:G1512)</f>
        <v>11920</v>
      </c>
      <c r="I1512" s="10">
        <f t="shared" si="193"/>
        <v>45701.297488425924</v>
      </c>
      <c r="J1512" s="10">
        <f t="shared" si="189"/>
        <v>45701.297488425924</v>
      </c>
      <c r="K1512" s="3">
        <f t="shared" si="191"/>
        <v>11766</v>
      </c>
      <c r="L1512">
        <f t="shared" si="184"/>
        <v>5.863888889</v>
      </c>
      <c r="M1512">
        <f t="shared" si="194"/>
        <v>21.110000000399999</v>
      </c>
    </row>
    <row r="1513" spans="1:13" x14ac:dyDescent="0.25">
      <c r="A1513" s="9">
        <f>Speed!A1513</f>
        <v>45701.297500000001</v>
      </c>
      <c r="B1513" s="9">
        <f t="shared" si="185"/>
        <v>45701.297500000001</v>
      </c>
      <c r="C1513" s="2">
        <f>Speed!B1513</f>
        <v>5.8722222220000004</v>
      </c>
      <c r="D1513" s="9">
        <f>Odometer!A1513</f>
        <v>0</v>
      </c>
      <c r="E1513" s="9">
        <f t="shared" si="192"/>
        <v>0</v>
      </c>
      <c r="F1513" s="2">
        <f>Odometer!B1513</f>
        <v>0</v>
      </c>
      <c r="G1513" s="2">
        <f t="shared" si="187"/>
        <v>0</v>
      </c>
      <c r="H1513" s="2">
        <f>SUM($G$2:G1513)</f>
        <v>11920</v>
      </c>
      <c r="I1513" s="10">
        <f t="shared" si="193"/>
        <v>45701.297500000001</v>
      </c>
      <c r="J1513" s="10">
        <f t="shared" si="189"/>
        <v>45701.297500000001</v>
      </c>
      <c r="K1513" s="3">
        <f t="shared" si="191"/>
        <v>11776</v>
      </c>
      <c r="L1513">
        <f t="shared" si="184"/>
        <v>5.8722222220000004</v>
      </c>
      <c r="M1513">
        <f t="shared" si="194"/>
        <v>21.139999999200001</v>
      </c>
    </row>
    <row r="1514" spans="1:13" x14ac:dyDescent="0.25">
      <c r="A1514" s="9">
        <f>Speed!A1514</f>
        <v>45701.297511574077</v>
      </c>
      <c r="B1514" s="9">
        <f t="shared" si="185"/>
        <v>45701.29751157407</v>
      </c>
      <c r="C1514" s="2">
        <f>Speed!B1514</f>
        <v>5.75</v>
      </c>
      <c r="D1514" s="9">
        <f>Odometer!A1514</f>
        <v>0</v>
      </c>
      <c r="E1514" s="9">
        <f t="shared" si="192"/>
        <v>0</v>
      </c>
      <c r="F1514" s="2">
        <f>Odometer!B1514</f>
        <v>0</v>
      </c>
      <c r="G1514" s="2">
        <f t="shared" si="187"/>
        <v>0</v>
      </c>
      <c r="H1514" s="2">
        <f>SUM($G$2:G1514)</f>
        <v>11920</v>
      </c>
      <c r="I1514" s="10">
        <f t="shared" si="193"/>
        <v>45701.297511574077</v>
      </c>
      <c r="J1514" s="10">
        <f t="shared" si="189"/>
        <v>45701.29751157407</v>
      </c>
      <c r="K1514" s="3">
        <f t="shared" si="191"/>
        <v>11782</v>
      </c>
      <c r="L1514">
        <f t="shared" si="184"/>
        <v>5.75</v>
      </c>
      <c r="M1514">
        <f t="shared" si="194"/>
        <v>20.7</v>
      </c>
    </row>
    <row r="1515" spans="1:13" x14ac:dyDescent="0.25">
      <c r="A1515" s="9">
        <f>Speed!A1515</f>
        <v>45701.297523148147</v>
      </c>
      <c r="B1515" s="9">
        <f t="shared" si="185"/>
        <v>45701.297523148147</v>
      </c>
      <c r="C1515" s="2">
        <f>Speed!B1515</f>
        <v>5.5361111110000003</v>
      </c>
      <c r="D1515" s="9">
        <f>Odometer!A1515</f>
        <v>0</v>
      </c>
      <c r="E1515" s="9">
        <f t="shared" si="192"/>
        <v>0</v>
      </c>
      <c r="F1515" s="2">
        <f>Odometer!B1515</f>
        <v>0</v>
      </c>
      <c r="G1515" s="2">
        <f t="shared" si="187"/>
        <v>0</v>
      </c>
      <c r="H1515" s="2">
        <f>SUM($G$2:G1515)</f>
        <v>11920</v>
      </c>
      <c r="I1515" s="10">
        <f t="shared" si="193"/>
        <v>45701.297523148147</v>
      </c>
      <c r="J1515" s="10">
        <f t="shared" si="189"/>
        <v>45701.297523148147</v>
      </c>
      <c r="K1515" s="3">
        <f t="shared" si="191"/>
        <v>11788</v>
      </c>
      <c r="L1515">
        <f t="shared" si="184"/>
        <v>5.5361111110000003</v>
      </c>
      <c r="M1515">
        <f t="shared" si="194"/>
        <v>19.929999999600003</v>
      </c>
    </row>
    <row r="1516" spans="1:13" x14ac:dyDescent="0.25">
      <c r="A1516" s="9">
        <f>Speed!A1516</f>
        <v>45701.297534722224</v>
      </c>
      <c r="B1516" s="9">
        <f t="shared" si="185"/>
        <v>45701.297534722216</v>
      </c>
      <c r="C1516" s="2">
        <f>Speed!B1516</f>
        <v>5.233333333</v>
      </c>
      <c r="D1516" s="9">
        <f>Odometer!A1516</f>
        <v>0</v>
      </c>
      <c r="E1516" s="9">
        <f t="shared" si="192"/>
        <v>0</v>
      </c>
      <c r="F1516" s="2">
        <f>Odometer!B1516</f>
        <v>0</v>
      </c>
      <c r="G1516" s="2">
        <f t="shared" si="187"/>
        <v>0</v>
      </c>
      <c r="H1516" s="2">
        <f>SUM($G$2:G1516)</f>
        <v>11920</v>
      </c>
      <c r="I1516" s="10">
        <f t="shared" si="193"/>
        <v>45701.297534722224</v>
      </c>
      <c r="J1516" s="10">
        <f t="shared" si="189"/>
        <v>45701.297534722216</v>
      </c>
      <c r="K1516" s="3">
        <f t="shared" si="191"/>
        <v>11793</v>
      </c>
      <c r="L1516">
        <f t="shared" si="184"/>
        <v>5.233333333</v>
      </c>
      <c r="M1516">
        <f t="shared" si="194"/>
        <v>18.8399999988</v>
      </c>
    </row>
    <row r="1517" spans="1:13" x14ac:dyDescent="0.25">
      <c r="A1517" s="9">
        <f>Speed!A1517</f>
        <v>45701.297546296293</v>
      </c>
      <c r="B1517" s="9">
        <f t="shared" si="185"/>
        <v>45701.297546296293</v>
      </c>
      <c r="C1517" s="2">
        <f>Speed!B1517</f>
        <v>5.005555556</v>
      </c>
      <c r="D1517" s="9">
        <f>Odometer!A1517</f>
        <v>0</v>
      </c>
      <c r="E1517" s="9">
        <f t="shared" si="192"/>
        <v>0</v>
      </c>
      <c r="F1517" s="2">
        <f>Odometer!B1517</f>
        <v>0</v>
      </c>
      <c r="G1517" s="2">
        <f t="shared" si="187"/>
        <v>0</v>
      </c>
      <c r="H1517" s="2">
        <f>SUM($G$2:G1517)</f>
        <v>11920</v>
      </c>
      <c r="I1517" s="10">
        <f t="shared" si="193"/>
        <v>45701.297546296293</v>
      </c>
      <c r="J1517" s="10">
        <f t="shared" si="189"/>
        <v>45701.297546296293</v>
      </c>
      <c r="K1517" s="3">
        <f t="shared" si="191"/>
        <v>11797</v>
      </c>
      <c r="L1517">
        <f t="shared" si="184"/>
        <v>5.005555556</v>
      </c>
      <c r="M1517">
        <f t="shared" si="194"/>
        <v>18.0200000016</v>
      </c>
    </row>
    <row r="1518" spans="1:13" x14ac:dyDescent="0.25">
      <c r="A1518" s="9">
        <f>Speed!A1518</f>
        <v>45701.29755787037</v>
      </c>
      <c r="B1518" s="9">
        <f t="shared" si="185"/>
        <v>45701.29755787037</v>
      </c>
      <c r="C1518" s="2">
        <f>Speed!B1518</f>
        <v>4.880555556</v>
      </c>
      <c r="D1518" s="9">
        <f>Odometer!A1518</f>
        <v>0</v>
      </c>
      <c r="E1518" s="9">
        <f t="shared" si="192"/>
        <v>0</v>
      </c>
      <c r="F1518" s="2">
        <f>Odometer!B1518</f>
        <v>0</v>
      </c>
      <c r="G1518" s="2">
        <f t="shared" si="187"/>
        <v>0</v>
      </c>
      <c r="H1518" s="2">
        <f>SUM($G$2:G1518)</f>
        <v>11920</v>
      </c>
      <c r="I1518" s="10">
        <f t="shared" si="193"/>
        <v>45701.29755787037</v>
      </c>
      <c r="J1518" s="10">
        <f t="shared" si="189"/>
        <v>45701.29755787037</v>
      </c>
      <c r="K1518" s="3">
        <f t="shared" si="191"/>
        <v>11798</v>
      </c>
      <c r="L1518">
        <f t="shared" si="184"/>
        <v>4.880555556</v>
      </c>
      <c r="M1518">
        <f t="shared" si="194"/>
        <v>17.5700000016</v>
      </c>
    </row>
    <row r="1519" spans="1:13" x14ac:dyDescent="0.25">
      <c r="A1519" s="9">
        <f>Speed!A1519</f>
        <v>45701.29755787037</v>
      </c>
      <c r="B1519" s="9">
        <f t="shared" si="185"/>
        <v>45701.29755787037</v>
      </c>
      <c r="C1519" s="2">
        <f>Speed!B1519</f>
        <v>4.858333333</v>
      </c>
      <c r="D1519" s="9">
        <f>Odometer!A1519</f>
        <v>0</v>
      </c>
      <c r="E1519" s="9">
        <f t="shared" si="192"/>
        <v>0</v>
      </c>
      <c r="F1519" s="2">
        <f>Odometer!B1519</f>
        <v>0</v>
      </c>
      <c r="G1519" s="2">
        <f t="shared" si="187"/>
        <v>0</v>
      </c>
      <c r="H1519" s="2">
        <f>SUM($G$2:G1519)</f>
        <v>11920</v>
      </c>
      <c r="I1519" s="10">
        <f t="shared" si="193"/>
        <v>45701.29755787037</v>
      </c>
      <c r="J1519" s="10">
        <f t="shared" si="189"/>
        <v>45701.29755787037</v>
      </c>
      <c r="K1519" s="3">
        <f t="shared" si="191"/>
        <v>11798</v>
      </c>
      <c r="L1519">
        <f t="shared" si="184"/>
        <v>4.880555556</v>
      </c>
      <c r="M1519">
        <f t="shared" si="194"/>
        <v>17.5700000016</v>
      </c>
    </row>
    <row r="1520" spans="1:13" x14ac:dyDescent="0.25">
      <c r="A1520" s="9">
        <f>Speed!A1520</f>
        <v>45701.29755787037</v>
      </c>
      <c r="B1520" s="9">
        <f t="shared" si="185"/>
        <v>45701.29755787037</v>
      </c>
      <c r="C1520" s="2">
        <f>Speed!B1520</f>
        <v>4.7277777780000001</v>
      </c>
      <c r="D1520" s="9">
        <f>Odometer!A1520</f>
        <v>0</v>
      </c>
      <c r="E1520" s="9">
        <f t="shared" si="192"/>
        <v>0</v>
      </c>
      <c r="F1520" s="2">
        <f>Odometer!B1520</f>
        <v>0</v>
      </c>
      <c r="G1520" s="2">
        <f t="shared" si="187"/>
        <v>0</v>
      </c>
      <c r="H1520" s="2">
        <f>SUM($G$2:G1520)</f>
        <v>11920</v>
      </c>
      <c r="I1520" s="10">
        <f t="shared" si="193"/>
        <v>45701.29755787037</v>
      </c>
      <c r="J1520" s="10">
        <f t="shared" si="189"/>
        <v>45701.29755787037</v>
      </c>
      <c r="K1520" s="3">
        <f t="shared" si="191"/>
        <v>11798</v>
      </c>
      <c r="L1520">
        <f t="shared" si="184"/>
        <v>4.880555556</v>
      </c>
      <c r="M1520">
        <f t="shared" si="194"/>
        <v>17.5700000016</v>
      </c>
    </row>
    <row r="1521" spans="1:13" x14ac:dyDescent="0.25">
      <c r="A1521" s="9">
        <f>Speed!A1521</f>
        <v>45701.297569444447</v>
      </c>
      <c r="B1521" s="9">
        <f t="shared" si="185"/>
        <v>45701.297569444439</v>
      </c>
      <c r="C1521" s="2">
        <f>Speed!B1521</f>
        <v>4.7166666670000001</v>
      </c>
      <c r="D1521" s="9">
        <f>Odometer!A1521</f>
        <v>0</v>
      </c>
      <c r="E1521" s="9">
        <f t="shared" si="192"/>
        <v>0</v>
      </c>
      <c r="F1521" s="2">
        <f>Odometer!B1521</f>
        <v>0</v>
      </c>
      <c r="G1521" s="2">
        <f t="shared" si="187"/>
        <v>0</v>
      </c>
      <c r="H1521" s="2">
        <f>SUM($G$2:G1521)</f>
        <v>11920</v>
      </c>
      <c r="I1521" s="10">
        <f t="shared" si="193"/>
        <v>45701.297569444447</v>
      </c>
      <c r="J1521" s="10">
        <f t="shared" si="189"/>
        <v>45701.297569444439</v>
      </c>
      <c r="K1521" s="3">
        <f t="shared" si="191"/>
        <v>11807</v>
      </c>
      <c r="L1521">
        <f t="shared" si="184"/>
        <v>4.7166666670000001</v>
      </c>
      <c r="M1521">
        <f t="shared" si="194"/>
        <v>16.980000001200001</v>
      </c>
    </row>
    <row r="1522" spans="1:13" x14ac:dyDescent="0.25">
      <c r="A1522" s="9">
        <f>Speed!A1522</f>
        <v>45701.297581018516</v>
      </c>
      <c r="B1522" s="9">
        <f t="shared" si="185"/>
        <v>45701.297581018516</v>
      </c>
      <c r="C1522" s="2">
        <f>Speed!B1522</f>
        <v>4.511111111</v>
      </c>
      <c r="D1522" s="9">
        <f>Odometer!A1522</f>
        <v>0</v>
      </c>
      <c r="E1522" s="9">
        <f t="shared" si="192"/>
        <v>0</v>
      </c>
      <c r="F1522" s="2">
        <f>Odometer!B1522</f>
        <v>0</v>
      </c>
      <c r="G1522" s="2">
        <f t="shared" si="187"/>
        <v>0</v>
      </c>
      <c r="H1522" s="2">
        <f>SUM($G$2:G1522)</f>
        <v>11920</v>
      </c>
      <c r="I1522" s="10">
        <f t="shared" si="193"/>
        <v>45701.297581018516</v>
      </c>
      <c r="J1522" s="10">
        <f t="shared" si="189"/>
        <v>45701.297581018516</v>
      </c>
      <c r="K1522" s="3">
        <f t="shared" si="191"/>
        <v>11811</v>
      </c>
      <c r="L1522">
        <f t="shared" si="184"/>
        <v>4.511111111</v>
      </c>
      <c r="M1522">
        <f t="shared" si="194"/>
        <v>16.239999999600002</v>
      </c>
    </row>
    <row r="1523" spans="1:13" x14ac:dyDescent="0.25">
      <c r="A1523" s="9">
        <f>Speed!A1523</f>
        <v>45701.297592592593</v>
      </c>
      <c r="B1523" s="9">
        <f t="shared" si="185"/>
        <v>45701.297592592593</v>
      </c>
      <c r="C1523" s="2">
        <f>Speed!B1523</f>
        <v>4.1527777779999999</v>
      </c>
      <c r="D1523" s="9">
        <f>Odometer!A1523</f>
        <v>0</v>
      </c>
      <c r="E1523" s="9">
        <f t="shared" si="192"/>
        <v>0</v>
      </c>
      <c r="F1523" s="2">
        <f>Odometer!B1523</f>
        <v>0</v>
      </c>
      <c r="G1523" s="2">
        <f t="shared" si="187"/>
        <v>0</v>
      </c>
      <c r="H1523" s="2">
        <f>SUM($G$2:G1523)</f>
        <v>11920</v>
      </c>
      <c r="I1523" s="10">
        <f t="shared" si="193"/>
        <v>45701.297592592593</v>
      </c>
      <c r="J1523" s="10">
        <f t="shared" si="189"/>
        <v>45701.297592592593</v>
      </c>
      <c r="K1523" s="3">
        <f t="shared" si="191"/>
        <v>11814</v>
      </c>
      <c r="L1523">
        <f t="shared" si="184"/>
        <v>4.1527777779999999</v>
      </c>
      <c r="M1523">
        <f t="shared" si="194"/>
        <v>14.950000000799999</v>
      </c>
    </row>
    <row r="1524" spans="1:13" x14ac:dyDescent="0.25">
      <c r="A1524" s="9">
        <f>Speed!A1524</f>
        <v>45701.297592592593</v>
      </c>
      <c r="B1524" s="9">
        <f t="shared" si="185"/>
        <v>45701.297592592593</v>
      </c>
      <c r="C1524" s="2">
        <f>Speed!B1524</f>
        <v>4.0666666669999998</v>
      </c>
      <c r="D1524" s="9">
        <f>Odometer!A1524</f>
        <v>0</v>
      </c>
      <c r="E1524" s="9">
        <f t="shared" si="192"/>
        <v>0</v>
      </c>
      <c r="F1524" s="2">
        <f>Odometer!B1524</f>
        <v>0</v>
      </c>
      <c r="G1524" s="2">
        <f t="shared" si="187"/>
        <v>0</v>
      </c>
      <c r="H1524" s="2">
        <f>SUM($G$2:G1524)</f>
        <v>11920</v>
      </c>
      <c r="I1524" s="10">
        <f t="shared" si="193"/>
        <v>45701.297592592593</v>
      </c>
      <c r="J1524" s="10">
        <f t="shared" si="189"/>
        <v>45701.297592592593</v>
      </c>
      <c r="K1524" s="3">
        <f t="shared" si="191"/>
        <v>11814</v>
      </c>
      <c r="L1524">
        <f t="shared" si="184"/>
        <v>4.1527777779999999</v>
      </c>
      <c r="M1524">
        <f t="shared" si="194"/>
        <v>14.950000000799999</v>
      </c>
    </row>
    <row r="1525" spans="1:13" x14ac:dyDescent="0.25">
      <c r="A1525" s="9">
        <f>Speed!A1525</f>
        <v>45701.29760416667</v>
      </c>
      <c r="B1525" s="9">
        <f t="shared" si="185"/>
        <v>45701.297604166662</v>
      </c>
      <c r="C1525" s="2">
        <f>Speed!B1525</f>
        <v>4.0583333330000002</v>
      </c>
      <c r="D1525" s="9">
        <f>Odometer!A1525</f>
        <v>0</v>
      </c>
      <c r="E1525" s="9">
        <f t="shared" si="192"/>
        <v>0</v>
      </c>
      <c r="F1525" s="2">
        <f>Odometer!B1525</f>
        <v>0</v>
      </c>
      <c r="G1525" s="2">
        <f t="shared" si="187"/>
        <v>0</v>
      </c>
      <c r="H1525" s="2">
        <f>SUM($G$2:G1525)</f>
        <v>11920</v>
      </c>
      <c r="I1525" s="10">
        <f t="shared" si="193"/>
        <v>45701.29760416667</v>
      </c>
      <c r="J1525" s="10">
        <f t="shared" si="189"/>
        <v>45701.297604166662</v>
      </c>
      <c r="K1525" s="3">
        <f t="shared" si="191"/>
        <v>11819</v>
      </c>
      <c r="L1525">
        <f t="shared" si="184"/>
        <v>4.0583333330000002</v>
      </c>
      <c r="M1525">
        <f t="shared" si="194"/>
        <v>14.609999998800001</v>
      </c>
    </row>
    <row r="1526" spans="1:13" x14ac:dyDescent="0.25">
      <c r="A1526" s="9">
        <f>Speed!A1526</f>
        <v>45701.297615740739</v>
      </c>
      <c r="B1526" s="9">
        <f t="shared" si="185"/>
        <v>45701.297615740739</v>
      </c>
      <c r="C1526" s="2">
        <f>Speed!B1526</f>
        <v>4.0250000000000004</v>
      </c>
      <c r="D1526" s="9">
        <f>Odometer!A1526</f>
        <v>0</v>
      </c>
      <c r="E1526" s="9">
        <f t="shared" si="192"/>
        <v>0</v>
      </c>
      <c r="F1526" s="2">
        <f>Odometer!B1526</f>
        <v>0</v>
      </c>
      <c r="G1526" s="2">
        <f t="shared" si="187"/>
        <v>0</v>
      </c>
      <c r="H1526" s="2">
        <f>SUM($G$2:G1526)</f>
        <v>11920</v>
      </c>
      <c r="I1526" s="10">
        <f t="shared" si="193"/>
        <v>45701.297615740739</v>
      </c>
      <c r="J1526" s="10">
        <f t="shared" si="189"/>
        <v>45701.297615740739</v>
      </c>
      <c r="K1526" s="3">
        <f t="shared" si="191"/>
        <v>11824</v>
      </c>
      <c r="L1526">
        <f t="shared" si="184"/>
        <v>4.0250000000000004</v>
      </c>
      <c r="M1526">
        <f t="shared" si="194"/>
        <v>14.490000000000002</v>
      </c>
    </row>
    <row r="1527" spans="1:13" x14ac:dyDescent="0.25">
      <c r="A1527" s="9">
        <f>Speed!A1527</f>
        <v>45701.297627314816</v>
      </c>
      <c r="B1527" s="9">
        <f t="shared" si="185"/>
        <v>45701.297627314816</v>
      </c>
      <c r="C1527" s="2">
        <f>Speed!B1527</f>
        <v>3.9916666670000001</v>
      </c>
      <c r="D1527" s="9">
        <f>Odometer!A1527</f>
        <v>0</v>
      </c>
      <c r="E1527" s="9">
        <f t="shared" si="192"/>
        <v>0</v>
      </c>
      <c r="F1527" s="2">
        <f>Odometer!B1527</f>
        <v>0</v>
      </c>
      <c r="G1527" s="2">
        <f t="shared" si="187"/>
        <v>0</v>
      </c>
      <c r="H1527" s="2">
        <f>SUM($G$2:G1527)</f>
        <v>11920</v>
      </c>
      <c r="I1527" s="10">
        <f t="shared" si="193"/>
        <v>45701.297627314816</v>
      </c>
      <c r="J1527" s="10">
        <f t="shared" si="189"/>
        <v>45701.297627314816</v>
      </c>
      <c r="K1527" s="3">
        <f t="shared" si="191"/>
        <v>11825</v>
      </c>
      <c r="L1527">
        <f t="shared" si="184"/>
        <v>3.9916666670000001</v>
      </c>
      <c r="M1527">
        <f t="shared" si="194"/>
        <v>14.370000001200001</v>
      </c>
    </row>
    <row r="1528" spans="1:13" x14ac:dyDescent="0.25">
      <c r="A1528" s="9">
        <f>Speed!A1528</f>
        <v>45701.297638888886</v>
      </c>
      <c r="B1528" s="9">
        <f t="shared" si="185"/>
        <v>45701.297638888886</v>
      </c>
      <c r="C1528" s="2">
        <f>Speed!B1528</f>
        <v>4.0361111110000003</v>
      </c>
      <c r="D1528" s="9">
        <f>Odometer!A1528</f>
        <v>0</v>
      </c>
      <c r="E1528" s="9">
        <f t="shared" si="192"/>
        <v>0</v>
      </c>
      <c r="F1528" s="2">
        <f>Odometer!B1528</f>
        <v>0</v>
      </c>
      <c r="G1528" s="2">
        <f t="shared" si="187"/>
        <v>0</v>
      </c>
      <c r="H1528" s="2">
        <f>SUM($G$2:G1528)</f>
        <v>11920</v>
      </c>
      <c r="I1528" s="10">
        <f t="shared" si="193"/>
        <v>45701.297638888886</v>
      </c>
      <c r="J1528" s="10">
        <f t="shared" si="189"/>
        <v>45701.297638888886</v>
      </c>
      <c r="K1528" s="3">
        <f t="shared" si="191"/>
        <v>11832</v>
      </c>
      <c r="L1528">
        <f t="shared" si="184"/>
        <v>4.0361111110000003</v>
      </c>
      <c r="M1528">
        <f t="shared" si="194"/>
        <v>14.529999999600001</v>
      </c>
    </row>
    <row r="1529" spans="1:13" x14ac:dyDescent="0.25">
      <c r="A1529" s="9">
        <f>Speed!A1529</f>
        <v>45701.297650462962</v>
      </c>
      <c r="B1529" s="9">
        <f t="shared" si="185"/>
        <v>45701.297650462962</v>
      </c>
      <c r="C1529" s="2">
        <f>Speed!B1529</f>
        <v>4.1555555560000004</v>
      </c>
      <c r="D1529" s="9">
        <f>Odometer!A1529</f>
        <v>0</v>
      </c>
      <c r="E1529" s="9">
        <f t="shared" si="192"/>
        <v>0</v>
      </c>
      <c r="F1529" s="2">
        <f>Odometer!B1529</f>
        <v>0</v>
      </c>
      <c r="G1529" s="2">
        <f t="shared" si="187"/>
        <v>0</v>
      </c>
      <c r="H1529" s="2">
        <f>SUM($G$2:G1529)</f>
        <v>11920</v>
      </c>
      <c r="I1529" s="10">
        <f t="shared" si="193"/>
        <v>45701.297650462962</v>
      </c>
      <c r="J1529" s="10">
        <f t="shared" si="189"/>
        <v>45701.297650462962</v>
      </c>
      <c r="K1529" s="3">
        <f t="shared" si="191"/>
        <v>11836</v>
      </c>
      <c r="L1529">
        <f t="shared" si="184"/>
        <v>4.1555555560000004</v>
      </c>
      <c r="M1529">
        <f t="shared" si="194"/>
        <v>14.960000001600001</v>
      </c>
    </row>
    <row r="1530" spans="1:13" x14ac:dyDescent="0.25">
      <c r="A1530" s="9">
        <f>Speed!A1530</f>
        <v>45701.297662037039</v>
      </c>
      <c r="B1530" s="9">
        <f t="shared" si="185"/>
        <v>45701.297662037032</v>
      </c>
      <c r="C1530" s="2">
        <f>Speed!B1530</f>
        <v>4.2416666669999996</v>
      </c>
      <c r="D1530" s="9">
        <f>Odometer!A1530</f>
        <v>0</v>
      </c>
      <c r="E1530" s="9">
        <f t="shared" si="192"/>
        <v>0</v>
      </c>
      <c r="F1530" s="2">
        <f>Odometer!B1530</f>
        <v>0</v>
      </c>
      <c r="G1530" s="2">
        <f t="shared" si="187"/>
        <v>0</v>
      </c>
      <c r="H1530" s="2">
        <f>SUM($G$2:G1530)</f>
        <v>11920</v>
      </c>
      <c r="I1530" s="10">
        <f t="shared" si="193"/>
        <v>45701.297662037039</v>
      </c>
      <c r="J1530" s="10">
        <f t="shared" si="189"/>
        <v>45701.297662037032</v>
      </c>
      <c r="K1530" s="3">
        <f t="shared" si="191"/>
        <v>11840</v>
      </c>
      <c r="L1530">
        <f t="shared" si="184"/>
        <v>4.2416666669999996</v>
      </c>
      <c r="M1530">
        <f t="shared" si="194"/>
        <v>15.2700000012</v>
      </c>
    </row>
    <row r="1531" spans="1:13" x14ac:dyDescent="0.25">
      <c r="A1531" s="9">
        <f>Speed!A1531</f>
        <v>45701.297673611109</v>
      </c>
      <c r="B1531" s="9">
        <f t="shared" si="185"/>
        <v>45701.297673611109</v>
      </c>
      <c r="C1531" s="2">
        <f>Speed!B1531</f>
        <v>4.358333333</v>
      </c>
      <c r="D1531" s="9">
        <f>Odometer!A1531</f>
        <v>0</v>
      </c>
      <c r="E1531" s="9">
        <f t="shared" si="192"/>
        <v>0</v>
      </c>
      <c r="F1531" s="2">
        <f>Odometer!B1531</f>
        <v>0</v>
      </c>
      <c r="G1531" s="2">
        <f t="shared" si="187"/>
        <v>0</v>
      </c>
      <c r="H1531" s="2">
        <f>SUM($G$2:G1531)</f>
        <v>11920</v>
      </c>
      <c r="I1531" s="10">
        <f t="shared" si="193"/>
        <v>45701.297673611109</v>
      </c>
      <c r="J1531" s="10">
        <f t="shared" si="189"/>
        <v>45701.297673611109</v>
      </c>
      <c r="K1531" s="3">
        <f t="shared" si="191"/>
        <v>11844</v>
      </c>
      <c r="L1531">
        <f t="shared" si="184"/>
        <v>4.358333333</v>
      </c>
      <c r="M1531">
        <f t="shared" si="194"/>
        <v>15.689999998800001</v>
      </c>
    </row>
    <row r="1532" spans="1:13" x14ac:dyDescent="0.25">
      <c r="A1532" s="9">
        <f>Speed!A1532</f>
        <v>45701.297685185185</v>
      </c>
      <c r="B1532" s="9">
        <f t="shared" si="185"/>
        <v>45701.297685185185</v>
      </c>
      <c r="C1532" s="2">
        <f>Speed!B1532</f>
        <v>4.3472222220000001</v>
      </c>
      <c r="D1532" s="9">
        <f>Odometer!A1532</f>
        <v>0</v>
      </c>
      <c r="E1532" s="9">
        <f t="shared" si="192"/>
        <v>0</v>
      </c>
      <c r="F1532" s="2">
        <f>Odometer!B1532</f>
        <v>0</v>
      </c>
      <c r="G1532" s="2">
        <f t="shared" si="187"/>
        <v>0</v>
      </c>
      <c r="H1532" s="2">
        <f>SUM($G$2:G1532)</f>
        <v>11920</v>
      </c>
      <c r="I1532" s="10">
        <f t="shared" si="193"/>
        <v>45701.297685185185</v>
      </c>
      <c r="J1532" s="10">
        <f t="shared" si="189"/>
        <v>45701.297685185185</v>
      </c>
      <c r="K1532" s="3">
        <f t="shared" si="191"/>
        <v>11849</v>
      </c>
      <c r="L1532">
        <f t="shared" si="184"/>
        <v>4.3472222220000001</v>
      </c>
      <c r="M1532">
        <f t="shared" si="194"/>
        <v>15.6499999992</v>
      </c>
    </row>
    <row r="1533" spans="1:13" x14ac:dyDescent="0.25">
      <c r="A1533" s="9">
        <f>Speed!A1533</f>
        <v>0</v>
      </c>
      <c r="B1533" s="9">
        <f t="shared" si="185"/>
        <v>0</v>
      </c>
      <c r="C1533" s="2">
        <f>Speed!B1533</f>
        <v>0</v>
      </c>
      <c r="D1533" s="9">
        <f>Odometer!A1533</f>
        <v>0</v>
      </c>
      <c r="E1533" s="9">
        <f t="shared" si="192"/>
        <v>0</v>
      </c>
      <c r="F1533" s="2">
        <f>Odometer!B1533</f>
        <v>0</v>
      </c>
      <c r="G1533" s="2">
        <f t="shared" si="187"/>
        <v>0</v>
      </c>
      <c r="H1533" s="2">
        <f>SUM($G$2:G1533)</f>
        <v>11920</v>
      </c>
      <c r="I1533" s="10">
        <f t="shared" si="193"/>
        <v>0</v>
      </c>
      <c r="J1533" s="10">
        <f t="shared" si="189"/>
        <v>0</v>
      </c>
      <c r="K1533" s="3">
        <f t="shared" si="191"/>
        <v>11920</v>
      </c>
      <c r="L1533">
        <f t="shared" si="184"/>
        <v>0</v>
      </c>
      <c r="M1533">
        <f t="shared" si="194"/>
        <v>0</v>
      </c>
    </row>
    <row r="1534" spans="1:13" x14ac:dyDescent="0.25">
      <c r="A1534" s="9">
        <f>Speed!A1534</f>
        <v>0</v>
      </c>
      <c r="B1534" s="9">
        <f t="shared" si="185"/>
        <v>0</v>
      </c>
      <c r="C1534" s="2">
        <f>Speed!B1534</f>
        <v>0</v>
      </c>
      <c r="D1534" s="9">
        <f>Odometer!A1534</f>
        <v>0</v>
      </c>
      <c r="E1534" s="9">
        <f t="shared" si="192"/>
        <v>0</v>
      </c>
      <c r="F1534" s="2">
        <f>Odometer!B1534</f>
        <v>0</v>
      </c>
      <c r="G1534" s="2">
        <f t="shared" si="187"/>
        <v>0</v>
      </c>
      <c r="H1534" s="2">
        <f>SUM($G$2:G1534)</f>
        <v>11920</v>
      </c>
      <c r="I1534" s="10">
        <f t="shared" si="193"/>
        <v>0</v>
      </c>
      <c r="J1534" s="10">
        <f t="shared" si="189"/>
        <v>0</v>
      </c>
      <c r="K1534" s="3">
        <f t="shared" si="191"/>
        <v>11920</v>
      </c>
      <c r="L1534">
        <f t="shared" si="184"/>
        <v>0</v>
      </c>
      <c r="M1534">
        <f t="shared" si="194"/>
        <v>0</v>
      </c>
    </row>
    <row r="1535" spans="1:13" x14ac:dyDescent="0.25">
      <c r="A1535" s="9">
        <f>Speed!A1535</f>
        <v>0</v>
      </c>
      <c r="B1535" s="9">
        <f t="shared" si="185"/>
        <v>0</v>
      </c>
      <c r="C1535" s="2">
        <f>Speed!B1535</f>
        <v>0</v>
      </c>
      <c r="D1535" s="9">
        <f>Odometer!A1535</f>
        <v>0</v>
      </c>
      <c r="E1535" s="9">
        <f t="shared" si="192"/>
        <v>0</v>
      </c>
      <c r="F1535" s="2">
        <f>Odometer!B1535</f>
        <v>0</v>
      </c>
      <c r="G1535" s="2">
        <f t="shared" si="187"/>
        <v>0</v>
      </c>
      <c r="H1535" s="2">
        <f>SUM($G$2:G1535)</f>
        <v>11920</v>
      </c>
      <c r="I1535" s="10">
        <f t="shared" si="193"/>
        <v>0</v>
      </c>
      <c r="J1535" s="10">
        <f t="shared" si="189"/>
        <v>0</v>
      </c>
      <c r="K1535" s="3">
        <f t="shared" si="191"/>
        <v>11920</v>
      </c>
      <c r="L1535">
        <f t="shared" si="184"/>
        <v>0</v>
      </c>
      <c r="M1535">
        <f t="shared" si="194"/>
        <v>0</v>
      </c>
    </row>
    <row r="1536" spans="1:13" x14ac:dyDescent="0.25">
      <c r="A1536" s="9">
        <f>Speed!A1536</f>
        <v>0</v>
      </c>
      <c r="B1536" s="9">
        <f t="shared" si="185"/>
        <v>0</v>
      </c>
      <c r="C1536" s="2">
        <f>Speed!B1536</f>
        <v>0</v>
      </c>
      <c r="D1536" s="9">
        <f>Odometer!A1536</f>
        <v>0</v>
      </c>
      <c r="E1536" s="9">
        <f t="shared" si="192"/>
        <v>0</v>
      </c>
      <c r="F1536" s="2">
        <f>Odometer!B1536</f>
        <v>0</v>
      </c>
      <c r="G1536" s="2">
        <f t="shared" si="187"/>
        <v>0</v>
      </c>
      <c r="H1536" s="2">
        <f>SUM($G$2:G1536)</f>
        <v>11920</v>
      </c>
      <c r="I1536" s="10">
        <f t="shared" si="193"/>
        <v>0</v>
      </c>
      <c r="J1536" s="10">
        <f t="shared" si="189"/>
        <v>0</v>
      </c>
      <c r="K1536" s="3">
        <f t="shared" si="191"/>
        <v>11920</v>
      </c>
      <c r="L1536">
        <f t="shared" si="184"/>
        <v>0</v>
      </c>
      <c r="M1536">
        <f t="shared" si="194"/>
        <v>0</v>
      </c>
    </row>
    <row r="1537" spans="1:13" x14ac:dyDescent="0.25">
      <c r="A1537" s="9">
        <f>Speed!A1537</f>
        <v>0</v>
      </c>
      <c r="B1537" s="9">
        <f t="shared" si="185"/>
        <v>0</v>
      </c>
      <c r="C1537" s="2">
        <f>Speed!B1537</f>
        <v>0</v>
      </c>
      <c r="D1537" s="9">
        <f>Odometer!A1537</f>
        <v>0</v>
      </c>
      <c r="E1537" s="9">
        <f t="shared" si="192"/>
        <v>0</v>
      </c>
      <c r="F1537" s="2">
        <f>Odometer!B1537</f>
        <v>0</v>
      </c>
      <c r="G1537" s="2">
        <f t="shared" si="187"/>
        <v>0</v>
      </c>
      <c r="H1537" s="2">
        <f>SUM($G$2:G1537)</f>
        <v>11920</v>
      </c>
      <c r="I1537" s="10">
        <f t="shared" si="193"/>
        <v>0</v>
      </c>
      <c r="J1537" s="10">
        <f t="shared" si="189"/>
        <v>0</v>
      </c>
      <c r="K1537" s="3">
        <f t="shared" si="191"/>
        <v>11920</v>
      </c>
      <c r="L1537">
        <f t="shared" si="184"/>
        <v>0</v>
      </c>
      <c r="M1537">
        <f t="shared" si="194"/>
        <v>0</v>
      </c>
    </row>
    <row r="1538" spans="1:13" x14ac:dyDescent="0.25">
      <c r="A1538" s="9">
        <f>Speed!A1538</f>
        <v>0</v>
      </c>
      <c r="B1538" s="9">
        <f t="shared" si="185"/>
        <v>0</v>
      </c>
      <c r="C1538" s="2">
        <f>Speed!B1538</f>
        <v>0</v>
      </c>
      <c r="D1538" s="9">
        <f>Odometer!A1538</f>
        <v>0</v>
      </c>
      <c r="E1538" s="9">
        <f t="shared" si="192"/>
        <v>0</v>
      </c>
      <c r="F1538" s="2">
        <f>Odometer!B1538</f>
        <v>0</v>
      </c>
      <c r="G1538" s="2">
        <f t="shared" si="187"/>
        <v>0</v>
      </c>
      <c r="H1538" s="2">
        <f>SUM($G$2:G1538)</f>
        <v>11920</v>
      </c>
      <c r="I1538" s="10">
        <f t="shared" si="193"/>
        <v>0</v>
      </c>
      <c r="J1538" s="10">
        <f t="shared" si="189"/>
        <v>0</v>
      </c>
      <c r="K1538" s="3">
        <f t="shared" si="191"/>
        <v>11920</v>
      </c>
      <c r="L1538">
        <f t="shared" ref="L1538:L1601" si="195">INDEX($C$2:$C$2000, MATCH(I1538,$A$2:$A$2000,0))</f>
        <v>0</v>
      </c>
      <c r="M1538">
        <f t="shared" si="194"/>
        <v>0</v>
      </c>
    </row>
    <row r="1539" spans="1:13" x14ac:dyDescent="0.25">
      <c r="A1539" s="9">
        <f>Speed!A1539</f>
        <v>0</v>
      </c>
      <c r="B1539" s="9">
        <f t="shared" ref="B1539:B1602" si="196">MROUND(A1539,"00:00:01")</f>
        <v>0</v>
      </c>
      <c r="C1539" s="2">
        <f>Speed!B1539</f>
        <v>0</v>
      </c>
      <c r="D1539" s="9">
        <f>Odometer!A1539</f>
        <v>0</v>
      </c>
      <c r="E1539" s="9">
        <f t="shared" si="192"/>
        <v>0</v>
      </c>
      <c r="F1539" s="2">
        <f>Odometer!B1539</f>
        <v>0</v>
      </c>
      <c r="G1539" s="2">
        <f t="shared" ref="G1539:G1602" si="197">IF(F1540-F1539&lt;0,0,F1540-F1539)</f>
        <v>0</v>
      </c>
      <c r="H1539" s="2">
        <f>SUM($G$2:G1539)</f>
        <v>11920</v>
      </c>
      <c r="I1539" s="10">
        <f t="shared" si="193"/>
        <v>0</v>
      </c>
      <c r="J1539" s="10">
        <f t="shared" ref="J1539:J1602" si="198">MROUND(I1539,"0:00:01")</f>
        <v>0</v>
      </c>
      <c r="K1539" s="3">
        <f t="shared" si="191"/>
        <v>11920</v>
      </c>
      <c r="L1539">
        <f t="shared" si="195"/>
        <v>0</v>
      </c>
      <c r="M1539">
        <f t="shared" si="194"/>
        <v>0</v>
      </c>
    </row>
    <row r="1540" spans="1:13" x14ac:dyDescent="0.25">
      <c r="A1540" s="9">
        <f>Speed!A1540</f>
        <v>0</v>
      </c>
      <c r="B1540" s="9">
        <f t="shared" si="196"/>
        <v>0</v>
      </c>
      <c r="C1540" s="2">
        <f>Speed!B1540</f>
        <v>0</v>
      </c>
      <c r="D1540" s="9">
        <f>Odometer!A1540</f>
        <v>0</v>
      </c>
      <c r="E1540" s="9">
        <f t="shared" si="192"/>
        <v>0</v>
      </c>
      <c r="F1540" s="2">
        <f>Odometer!B1540</f>
        <v>0</v>
      </c>
      <c r="G1540" s="2">
        <f t="shared" si="197"/>
        <v>0</v>
      </c>
      <c r="H1540" s="2">
        <f>SUM($G$2:G1540)</f>
        <v>11920</v>
      </c>
      <c r="I1540" s="10">
        <f t="shared" si="193"/>
        <v>0</v>
      </c>
      <c r="J1540" s="10">
        <f t="shared" si="198"/>
        <v>0</v>
      </c>
      <c r="K1540" s="3">
        <f t="shared" ref="K1540:K1603" si="199">IFERROR(INDEX($H$2:$H$2000,MATCH(J1540,$E$2:$E$2000,0)),NA())</f>
        <v>11920</v>
      </c>
      <c r="L1540">
        <f t="shared" si="195"/>
        <v>0</v>
      </c>
      <c r="M1540">
        <f t="shared" si="194"/>
        <v>0</v>
      </c>
    </row>
    <row r="1541" spans="1:13" x14ac:dyDescent="0.25">
      <c r="A1541" s="9">
        <f>Speed!A1541</f>
        <v>0</v>
      </c>
      <c r="B1541" s="9">
        <f t="shared" si="196"/>
        <v>0</v>
      </c>
      <c r="C1541" s="2">
        <f>Speed!B1541</f>
        <v>0</v>
      </c>
      <c r="D1541" s="9">
        <f>Odometer!A1541</f>
        <v>0</v>
      </c>
      <c r="E1541" s="9">
        <f t="shared" si="192"/>
        <v>0</v>
      </c>
      <c r="F1541" s="2">
        <f>Odometer!B1541</f>
        <v>0</v>
      </c>
      <c r="G1541" s="2">
        <f t="shared" si="197"/>
        <v>0</v>
      </c>
      <c r="H1541" s="2">
        <f>SUM($G$2:G1541)</f>
        <v>11920</v>
      </c>
      <c r="I1541" s="10">
        <f t="shared" si="193"/>
        <v>0</v>
      </c>
      <c r="J1541" s="10">
        <f t="shared" si="198"/>
        <v>0</v>
      </c>
      <c r="K1541" s="3">
        <f t="shared" si="199"/>
        <v>11920</v>
      </c>
      <c r="L1541">
        <f t="shared" si="195"/>
        <v>0</v>
      </c>
      <c r="M1541">
        <f t="shared" si="194"/>
        <v>0</v>
      </c>
    </row>
    <row r="1542" spans="1:13" x14ac:dyDescent="0.25">
      <c r="A1542" s="9">
        <f>Speed!A1542</f>
        <v>0</v>
      </c>
      <c r="B1542" s="9">
        <f t="shared" si="196"/>
        <v>0</v>
      </c>
      <c r="C1542" s="2">
        <f>Speed!B1542</f>
        <v>0</v>
      </c>
      <c r="D1542" s="9">
        <f>Odometer!A1542</f>
        <v>0</v>
      </c>
      <c r="E1542" s="9">
        <f t="shared" si="192"/>
        <v>0</v>
      </c>
      <c r="F1542" s="2">
        <f>Odometer!B1542</f>
        <v>0</v>
      </c>
      <c r="G1542" s="2">
        <f t="shared" si="197"/>
        <v>0</v>
      </c>
      <c r="H1542" s="2">
        <f>SUM($G$2:G1542)</f>
        <v>11920</v>
      </c>
      <c r="I1542" s="10">
        <f t="shared" si="193"/>
        <v>0</v>
      </c>
      <c r="J1542" s="10">
        <f t="shared" si="198"/>
        <v>0</v>
      </c>
      <c r="K1542" s="3">
        <f t="shared" si="199"/>
        <v>11920</v>
      </c>
      <c r="L1542">
        <f t="shared" si="195"/>
        <v>0</v>
      </c>
      <c r="M1542">
        <f t="shared" si="194"/>
        <v>0</v>
      </c>
    </row>
    <row r="1543" spans="1:13" x14ac:dyDescent="0.25">
      <c r="A1543" s="9">
        <f>Speed!A1543</f>
        <v>0</v>
      </c>
      <c r="B1543" s="9">
        <f t="shared" si="196"/>
        <v>0</v>
      </c>
      <c r="C1543" s="2">
        <f>Speed!B1543</f>
        <v>0</v>
      </c>
      <c r="D1543" s="9">
        <f>Odometer!A1543</f>
        <v>0</v>
      </c>
      <c r="E1543" s="9">
        <f t="shared" si="192"/>
        <v>0</v>
      </c>
      <c r="F1543" s="2">
        <f>Odometer!B1543</f>
        <v>0</v>
      </c>
      <c r="G1543" s="2">
        <f t="shared" si="197"/>
        <v>0</v>
      </c>
      <c r="H1543" s="2">
        <f>SUM($G$2:G1543)</f>
        <v>11920</v>
      </c>
      <c r="I1543" s="10">
        <f t="shared" si="193"/>
        <v>0</v>
      </c>
      <c r="J1543" s="10">
        <f t="shared" si="198"/>
        <v>0</v>
      </c>
      <c r="K1543" s="3">
        <f t="shared" si="199"/>
        <v>11920</v>
      </c>
      <c r="L1543">
        <f t="shared" si="195"/>
        <v>0</v>
      </c>
      <c r="M1543">
        <f t="shared" si="194"/>
        <v>0</v>
      </c>
    </row>
    <row r="1544" spans="1:13" x14ac:dyDescent="0.25">
      <c r="A1544" s="9">
        <f>Speed!A1544</f>
        <v>0</v>
      </c>
      <c r="B1544" s="9">
        <f t="shared" si="196"/>
        <v>0</v>
      </c>
      <c r="C1544" s="2">
        <f>Speed!B1544</f>
        <v>0</v>
      </c>
      <c r="D1544" s="9">
        <f>Odometer!A1544</f>
        <v>0</v>
      </c>
      <c r="E1544" s="9">
        <f t="shared" si="192"/>
        <v>0</v>
      </c>
      <c r="F1544" s="2">
        <f>Odometer!B1544</f>
        <v>0</v>
      </c>
      <c r="G1544" s="2">
        <f t="shared" si="197"/>
        <v>0</v>
      </c>
      <c r="H1544" s="2">
        <f>SUM($G$2:G1544)</f>
        <v>11920</v>
      </c>
      <c r="I1544" s="10">
        <f t="shared" si="193"/>
        <v>0</v>
      </c>
      <c r="J1544" s="10">
        <f t="shared" si="198"/>
        <v>0</v>
      </c>
      <c r="K1544" s="3">
        <f t="shared" si="199"/>
        <v>11920</v>
      </c>
      <c r="L1544">
        <f t="shared" si="195"/>
        <v>0</v>
      </c>
      <c r="M1544">
        <f t="shared" si="194"/>
        <v>0</v>
      </c>
    </row>
    <row r="1545" spans="1:13" x14ac:dyDescent="0.25">
      <c r="A1545" s="9">
        <f>Speed!A1545</f>
        <v>0</v>
      </c>
      <c r="B1545" s="9">
        <f t="shared" si="196"/>
        <v>0</v>
      </c>
      <c r="C1545" s="2">
        <f>Speed!B1545</f>
        <v>0</v>
      </c>
      <c r="D1545" s="9">
        <f>Odometer!A1545</f>
        <v>0</v>
      </c>
      <c r="E1545" s="9">
        <f t="shared" si="192"/>
        <v>0</v>
      </c>
      <c r="F1545" s="2">
        <f>Odometer!B1545</f>
        <v>0</v>
      </c>
      <c r="G1545" s="2">
        <f t="shared" si="197"/>
        <v>0</v>
      </c>
      <c r="H1545" s="2">
        <f>SUM($G$2:G1545)</f>
        <v>11920</v>
      </c>
      <c r="I1545" s="10">
        <f t="shared" si="193"/>
        <v>0</v>
      </c>
      <c r="J1545" s="10">
        <f t="shared" si="198"/>
        <v>0</v>
      </c>
      <c r="K1545" s="3">
        <f t="shared" si="199"/>
        <v>11920</v>
      </c>
      <c r="L1545">
        <f t="shared" si="195"/>
        <v>0</v>
      </c>
      <c r="M1545">
        <f t="shared" si="194"/>
        <v>0</v>
      </c>
    </row>
    <row r="1546" spans="1:13" x14ac:dyDescent="0.25">
      <c r="A1546" s="9">
        <f>Speed!A1546</f>
        <v>0</v>
      </c>
      <c r="B1546" s="9">
        <f t="shared" si="196"/>
        <v>0</v>
      </c>
      <c r="C1546" s="2">
        <f>Speed!B1546</f>
        <v>0</v>
      </c>
      <c r="D1546" s="9">
        <f>Odometer!A1546</f>
        <v>0</v>
      </c>
      <c r="E1546" s="9">
        <f t="shared" si="192"/>
        <v>0</v>
      </c>
      <c r="F1546" s="2">
        <f>Odometer!B1546</f>
        <v>0</v>
      </c>
      <c r="G1546" s="2">
        <f t="shared" si="197"/>
        <v>0</v>
      </c>
      <c r="H1546" s="2">
        <f>SUM($G$2:G1546)</f>
        <v>11920</v>
      </c>
      <c r="I1546" s="10">
        <f t="shared" si="193"/>
        <v>0</v>
      </c>
      <c r="J1546" s="10">
        <f t="shared" si="198"/>
        <v>0</v>
      </c>
      <c r="K1546" s="3">
        <f t="shared" si="199"/>
        <v>11920</v>
      </c>
      <c r="L1546">
        <f t="shared" si="195"/>
        <v>0</v>
      </c>
      <c r="M1546">
        <f t="shared" si="194"/>
        <v>0</v>
      </c>
    </row>
    <row r="1547" spans="1:13" x14ac:dyDescent="0.25">
      <c r="A1547" s="9">
        <f>Speed!A1547</f>
        <v>0</v>
      </c>
      <c r="B1547" s="9">
        <f t="shared" si="196"/>
        <v>0</v>
      </c>
      <c r="C1547" s="2">
        <f>Speed!B1547</f>
        <v>0</v>
      </c>
      <c r="D1547" s="9">
        <f>Odometer!A1547</f>
        <v>0</v>
      </c>
      <c r="E1547" s="9">
        <f t="shared" si="192"/>
        <v>0</v>
      </c>
      <c r="F1547" s="2">
        <f>Odometer!B1547</f>
        <v>0</v>
      </c>
      <c r="G1547" s="2">
        <f t="shared" si="197"/>
        <v>0</v>
      </c>
      <c r="H1547" s="2">
        <f>SUM($G$2:G1547)</f>
        <v>11920</v>
      </c>
      <c r="I1547" s="10">
        <f t="shared" si="193"/>
        <v>0</v>
      </c>
      <c r="J1547" s="10">
        <f t="shared" si="198"/>
        <v>0</v>
      </c>
      <c r="K1547" s="3">
        <f t="shared" si="199"/>
        <v>11920</v>
      </c>
      <c r="L1547">
        <f t="shared" si="195"/>
        <v>0</v>
      </c>
      <c r="M1547">
        <f t="shared" si="194"/>
        <v>0</v>
      </c>
    </row>
    <row r="1548" spans="1:13" x14ac:dyDescent="0.25">
      <c r="A1548" s="9">
        <f>Speed!A1548</f>
        <v>0</v>
      </c>
      <c r="B1548" s="9">
        <f t="shared" si="196"/>
        <v>0</v>
      </c>
      <c r="C1548" s="2">
        <f>Speed!B1548</f>
        <v>0</v>
      </c>
      <c r="D1548" s="9">
        <f>Odometer!A1548</f>
        <v>0</v>
      </c>
      <c r="E1548" s="9">
        <f t="shared" si="192"/>
        <v>0</v>
      </c>
      <c r="F1548" s="2">
        <f>Odometer!B1548</f>
        <v>0</v>
      </c>
      <c r="G1548" s="2">
        <f t="shared" si="197"/>
        <v>0</v>
      </c>
      <c r="H1548" s="2">
        <f>SUM($G$2:G1548)</f>
        <v>11920</v>
      </c>
      <c r="I1548" s="10">
        <f t="shared" si="193"/>
        <v>0</v>
      </c>
      <c r="J1548" s="10">
        <f t="shared" si="198"/>
        <v>0</v>
      </c>
      <c r="K1548" s="3">
        <f t="shared" si="199"/>
        <v>11920</v>
      </c>
      <c r="L1548">
        <f t="shared" si="195"/>
        <v>0</v>
      </c>
      <c r="M1548">
        <f t="shared" si="194"/>
        <v>0</v>
      </c>
    </row>
    <row r="1549" spans="1:13" x14ac:dyDescent="0.25">
      <c r="A1549" s="9">
        <f>Speed!A1549</f>
        <v>0</v>
      </c>
      <c r="B1549" s="9">
        <f t="shared" si="196"/>
        <v>0</v>
      </c>
      <c r="C1549" s="2">
        <f>Speed!B1549</f>
        <v>0</v>
      </c>
      <c r="D1549" s="9">
        <f>Odometer!A1549</f>
        <v>0</v>
      </c>
      <c r="E1549" s="9">
        <f t="shared" si="192"/>
        <v>0</v>
      </c>
      <c r="F1549" s="2">
        <f>Odometer!B1549</f>
        <v>0</v>
      </c>
      <c r="G1549" s="2">
        <f t="shared" si="197"/>
        <v>0</v>
      </c>
      <c r="H1549" s="2">
        <f>SUM($G$2:G1549)</f>
        <v>11920</v>
      </c>
      <c r="I1549" s="10">
        <f t="shared" si="193"/>
        <v>0</v>
      </c>
      <c r="J1549" s="10">
        <f t="shared" si="198"/>
        <v>0</v>
      </c>
      <c r="K1549" s="3">
        <f t="shared" si="199"/>
        <v>11920</v>
      </c>
      <c r="L1549">
        <f t="shared" si="195"/>
        <v>0</v>
      </c>
      <c r="M1549">
        <f t="shared" si="194"/>
        <v>0</v>
      </c>
    </row>
    <row r="1550" spans="1:13" x14ac:dyDescent="0.25">
      <c r="A1550" s="9">
        <f>Speed!A1550</f>
        <v>0</v>
      </c>
      <c r="B1550" s="9">
        <f t="shared" si="196"/>
        <v>0</v>
      </c>
      <c r="C1550" s="2">
        <f>Speed!B1550</f>
        <v>0</v>
      </c>
      <c r="D1550" s="9">
        <f>Odometer!A1550</f>
        <v>0</v>
      </c>
      <c r="E1550" s="9">
        <f t="shared" si="192"/>
        <v>0</v>
      </c>
      <c r="F1550" s="2">
        <f>Odometer!B1550</f>
        <v>0</v>
      </c>
      <c r="G1550" s="2">
        <f t="shared" si="197"/>
        <v>0</v>
      </c>
      <c r="H1550" s="2">
        <f>SUM($G$2:G1550)</f>
        <v>11920</v>
      </c>
      <c r="I1550" s="10">
        <f t="shared" si="193"/>
        <v>0</v>
      </c>
      <c r="J1550" s="10">
        <f t="shared" si="198"/>
        <v>0</v>
      </c>
      <c r="K1550" s="3">
        <f t="shared" si="199"/>
        <v>11920</v>
      </c>
      <c r="L1550">
        <f t="shared" si="195"/>
        <v>0</v>
      </c>
      <c r="M1550">
        <f t="shared" si="194"/>
        <v>0</v>
      </c>
    </row>
    <row r="1551" spans="1:13" x14ac:dyDescent="0.25">
      <c r="A1551" s="9">
        <f>Speed!A1551</f>
        <v>0</v>
      </c>
      <c r="B1551" s="9">
        <f t="shared" si="196"/>
        <v>0</v>
      </c>
      <c r="C1551" s="2">
        <f>Speed!B1551</f>
        <v>0</v>
      </c>
      <c r="D1551" s="9">
        <f>Odometer!A1551</f>
        <v>0</v>
      </c>
      <c r="E1551" s="9">
        <f t="shared" si="192"/>
        <v>0</v>
      </c>
      <c r="F1551" s="2">
        <f>Odometer!B1551</f>
        <v>0</v>
      </c>
      <c r="G1551" s="2">
        <f t="shared" si="197"/>
        <v>0</v>
      </c>
      <c r="H1551" s="2">
        <f>SUM($G$2:G1551)</f>
        <v>11920</v>
      </c>
      <c r="I1551" s="10">
        <f t="shared" si="193"/>
        <v>0</v>
      </c>
      <c r="J1551" s="10">
        <f t="shared" si="198"/>
        <v>0</v>
      </c>
      <c r="K1551" s="3">
        <f t="shared" si="199"/>
        <v>11920</v>
      </c>
      <c r="L1551">
        <f t="shared" si="195"/>
        <v>0</v>
      </c>
      <c r="M1551">
        <f t="shared" si="194"/>
        <v>0</v>
      </c>
    </row>
    <row r="1552" spans="1:13" x14ac:dyDescent="0.25">
      <c r="A1552" s="9">
        <f>Speed!A1552</f>
        <v>0</v>
      </c>
      <c r="B1552" s="9">
        <f t="shared" si="196"/>
        <v>0</v>
      </c>
      <c r="C1552" s="2">
        <f>Speed!B1552</f>
        <v>0</v>
      </c>
      <c r="D1552" s="9">
        <f>Odometer!A1552</f>
        <v>0</v>
      </c>
      <c r="E1552" s="9">
        <f t="shared" si="192"/>
        <v>0</v>
      </c>
      <c r="F1552" s="2">
        <f>Odometer!B1552</f>
        <v>0</v>
      </c>
      <c r="G1552" s="2">
        <f t="shared" si="197"/>
        <v>0</v>
      </c>
      <c r="H1552" s="2">
        <f>SUM($G$2:G1552)</f>
        <v>11920</v>
      </c>
      <c r="I1552" s="10">
        <f t="shared" si="193"/>
        <v>0</v>
      </c>
      <c r="J1552" s="10">
        <f t="shared" si="198"/>
        <v>0</v>
      </c>
      <c r="K1552" s="3">
        <f t="shared" si="199"/>
        <v>11920</v>
      </c>
      <c r="L1552">
        <f t="shared" si="195"/>
        <v>0</v>
      </c>
      <c r="M1552">
        <f t="shared" si="194"/>
        <v>0</v>
      </c>
    </row>
    <row r="1553" spans="1:13" x14ac:dyDescent="0.25">
      <c r="A1553" s="9">
        <f>Speed!A1553</f>
        <v>0</v>
      </c>
      <c r="B1553" s="9">
        <f t="shared" si="196"/>
        <v>0</v>
      </c>
      <c r="C1553" s="2">
        <f>Speed!B1553</f>
        <v>0</v>
      </c>
      <c r="D1553" s="9">
        <f>Odometer!A1553</f>
        <v>0</v>
      </c>
      <c r="E1553" s="9">
        <f t="shared" si="192"/>
        <v>0</v>
      </c>
      <c r="F1553" s="2">
        <f>Odometer!B1553</f>
        <v>0</v>
      </c>
      <c r="G1553" s="2">
        <f t="shared" si="197"/>
        <v>0</v>
      </c>
      <c r="H1553" s="2">
        <f>SUM($G$2:G1553)</f>
        <v>11920</v>
      </c>
      <c r="I1553" s="10">
        <f t="shared" si="193"/>
        <v>0</v>
      </c>
      <c r="J1553" s="10">
        <f t="shared" si="198"/>
        <v>0</v>
      </c>
      <c r="K1553" s="3">
        <f t="shared" si="199"/>
        <v>11920</v>
      </c>
      <c r="L1553">
        <f t="shared" si="195"/>
        <v>0</v>
      </c>
      <c r="M1553">
        <f t="shared" si="194"/>
        <v>0</v>
      </c>
    </row>
    <row r="1554" spans="1:13" x14ac:dyDescent="0.25">
      <c r="A1554" s="9">
        <f>Speed!A1554</f>
        <v>0</v>
      </c>
      <c r="B1554" s="9">
        <f t="shared" si="196"/>
        <v>0</v>
      </c>
      <c r="C1554" s="2">
        <f>Speed!B1554</f>
        <v>0</v>
      </c>
      <c r="D1554" s="9">
        <f>Odometer!A1554</f>
        <v>0</v>
      </c>
      <c r="E1554" s="9">
        <f t="shared" si="192"/>
        <v>0</v>
      </c>
      <c r="F1554" s="2">
        <f>Odometer!B1554</f>
        <v>0</v>
      </c>
      <c r="G1554" s="2">
        <f t="shared" si="197"/>
        <v>0</v>
      </c>
      <c r="H1554" s="2">
        <f>SUM($G$2:G1554)</f>
        <v>11920</v>
      </c>
      <c r="I1554" s="10">
        <f t="shared" si="193"/>
        <v>0</v>
      </c>
      <c r="J1554" s="10">
        <f t="shared" si="198"/>
        <v>0</v>
      </c>
      <c r="K1554" s="3">
        <f t="shared" si="199"/>
        <v>11920</v>
      </c>
      <c r="L1554">
        <f t="shared" si="195"/>
        <v>0</v>
      </c>
      <c r="M1554">
        <f t="shared" si="194"/>
        <v>0</v>
      </c>
    </row>
    <row r="1555" spans="1:13" x14ac:dyDescent="0.25">
      <c r="A1555" s="9">
        <f>Speed!A1555</f>
        <v>0</v>
      </c>
      <c r="B1555" s="9">
        <f t="shared" si="196"/>
        <v>0</v>
      </c>
      <c r="C1555" s="2">
        <f>Speed!B1555</f>
        <v>0</v>
      </c>
      <c r="D1555" s="9">
        <f>Odometer!A1555</f>
        <v>0</v>
      </c>
      <c r="E1555" s="9">
        <f t="shared" si="192"/>
        <v>0</v>
      </c>
      <c r="F1555" s="2">
        <f>Odometer!B1555</f>
        <v>0</v>
      </c>
      <c r="G1555" s="2">
        <f t="shared" si="197"/>
        <v>0</v>
      </c>
      <c r="H1555" s="2">
        <f>SUM($G$2:G1555)</f>
        <v>11920</v>
      </c>
      <c r="I1555" s="10">
        <f t="shared" si="193"/>
        <v>0</v>
      </c>
      <c r="J1555" s="10">
        <f t="shared" si="198"/>
        <v>0</v>
      </c>
      <c r="K1555" s="3">
        <f t="shared" si="199"/>
        <v>11920</v>
      </c>
      <c r="L1555">
        <f t="shared" si="195"/>
        <v>0</v>
      </c>
      <c r="M1555">
        <f t="shared" si="194"/>
        <v>0</v>
      </c>
    </row>
    <row r="1556" spans="1:13" x14ac:dyDescent="0.25">
      <c r="A1556" s="9">
        <f>Speed!A1556</f>
        <v>0</v>
      </c>
      <c r="B1556" s="9">
        <f t="shared" si="196"/>
        <v>0</v>
      </c>
      <c r="C1556" s="2">
        <f>Speed!B1556</f>
        <v>0</v>
      </c>
      <c r="D1556" s="9">
        <f>Odometer!A1556</f>
        <v>0</v>
      </c>
      <c r="E1556" s="9">
        <f t="shared" si="192"/>
        <v>0</v>
      </c>
      <c r="F1556" s="2">
        <f>Odometer!B1556</f>
        <v>0</v>
      </c>
      <c r="G1556" s="2">
        <f t="shared" si="197"/>
        <v>0</v>
      </c>
      <c r="H1556" s="2">
        <f>SUM($G$2:G1556)</f>
        <v>11920</v>
      </c>
      <c r="I1556" s="10">
        <f t="shared" si="193"/>
        <v>0</v>
      </c>
      <c r="J1556" s="10">
        <f t="shared" si="198"/>
        <v>0</v>
      </c>
      <c r="K1556" s="3">
        <f t="shared" si="199"/>
        <v>11920</v>
      </c>
      <c r="L1556">
        <f t="shared" si="195"/>
        <v>0</v>
      </c>
      <c r="M1556">
        <f t="shared" si="194"/>
        <v>0</v>
      </c>
    </row>
    <row r="1557" spans="1:13" x14ac:dyDescent="0.25">
      <c r="A1557" s="9">
        <f>Speed!A1557</f>
        <v>0</v>
      </c>
      <c r="B1557" s="9">
        <f t="shared" si="196"/>
        <v>0</v>
      </c>
      <c r="C1557" s="2">
        <f>Speed!B1557</f>
        <v>0</v>
      </c>
      <c r="D1557" s="9">
        <f>Odometer!A1557</f>
        <v>0</v>
      </c>
      <c r="E1557" s="9">
        <f t="shared" si="192"/>
        <v>0</v>
      </c>
      <c r="F1557" s="2">
        <f>Odometer!B1557</f>
        <v>0</v>
      </c>
      <c r="G1557" s="2">
        <f t="shared" si="197"/>
        <v>0</v>
      </c>
      <c r="H1557" s="2">
        <f>SUM($G$2:G1557)</f>
        <v>11920</v>
      </c>
      <c r="I1557" s="10">
        <f t="shared" si="193"/>
        <v>0</v>
      </c>
      <c r="J1557" s="10">
        <f t="shared" si="198"/>
        <v>0</v>
      </c>
      <c r="K1557" s="3">
        <f t="shared" si="199"/>
        <v>11920</v>
      </c>
      <c r="L1557">
        <f t="shared" si="195"/>
        <v>0</v>
      </c>
      <c r="M1557">
        <f t="shared" si="194"/>
        <v>0</v>
      </c>
    </row>
    <row r="1558" spans="1:13" x14ac:dyDescent="0.25">
      <c r="A1558" s="9">
        <f>Speed!A1558</f>
        <v>0</v>
      </c>
      <c r="B1558" s="9">
        <f t="shared" si="196"/>
        <v>0</v>
      </c>
      <c r="C1558" s="2">
        <f>Speed!B1558</f>
        <v>0</v>
      </c>
      <c r="D1558" s="9">
        <f>Odometer!A1558</f>
        <v>0</v>
      </c>
      <c r="E1558" s="9">
        <f t="shared" si="192"/>
        <v>0</v>
      </c>
      <c r="F1558" s="2">
        <f>Odometer!B1558</f>
        <v>0</v>
      </c>
      <c r="G1558" s="2">
        <f t="shared" si="197"/>
        <v>0</v>
      </c>
      <c r="H1558" s="2">
        <f>SUM($G$2:G1558)</f>
        <v>11920</v>
      </c>
      <c r="I1558" s="10">
        <f t="shared" si="193"/>
        <v>0</v>
      </c>
      <c r="J1558" s="10">
        <f t="shared" si="198"/>
        <v>0</v>
      </c>
      <c r="K1558" s="3">
        <f t="shared" si="199"/>
        <v>11920</v>
      </c>
      <c r="L1558">
        <f t="shared" si="195"/>
        <v>0</v>
      </c>
      <c r="M1558">
        <f t="shared" si="194"/>
        <v>0</v>
      </c>
    </row>
    <row r="1559" spans="1:13" x14ac:dyDescent="0.25">
      <c r="A1559" s="9">
        <f>Speed!A1559</f>
        <v>0</v>
      </c>
      <c r="B1559" s="9">
        <f t="shared" si="196"/>
        <v>0</v>
      </c>
      <c r="C1559" s="2">
        <f>Speed!B1559</f>
        <v>0</v>
      </c>
      <c r="D1559" s="9">
        <f>Odometer!A1559</f>
        <v>0</v>
      </c>
      <c r="E1559" s="9">
        <f t="shared" si="192"/>
        <v>0</v>
      </c>
      <c r="F1559" s="2">
        <f>Odometer!B1559</f>
        <v>0</v>
      </c>
      <c r="G1559" s="2">
        <f t="shared" si="197"/>
        <v>0</v>
      </c>
      <c r="H1559" s="2">
        <f>SUM($G$2:G1559)</f>
        <v>11920</v>
      </c>
      <c r="I1559" s="10">
        <f t="shared" si="193"/>
        <v>0</v>
      </c>
      <c r="J1559" s="10">
        <f t="shared" si="198"/>
        <v>0</v>
      </c>
      <c r="K1559" s="3">
        <f t="shared" si="199"/>
        <v>11920</v>
      </c>
      <c r="L1559">
        <f t="shared" si="195"/>
        <v>0</v>
      </c>
      <c r="M1559">
        <f t="shared" si="194"/>
        <v>0</v>
      </c>
    </row>
    <row r="1560" spans="1:13" x14ac:dyDescent="0.25">
      <c r="A1560" s="9">
        <f>Speed!A1560</f>
        <v>0</v>
      </c>
      <c r="B1560" s="9">
        <f t="shared" si="196"/>
        <v>0</v>
      </c>
      <c r="C1560" s="2">
        <f>Speed!B1560</f>
        <v>0</v>
      </c>
      <c r="D1560" s="9">
        <f>Odometer!A1560</f>
        <v>0</v>
      </c>
      <c r="E1560" s="9">
        <f t="shared" si="192"/>
        <v>0</v>
      </c>
      <c r="F1560" s="2">
        <f>Odometer!B1560</f>
        <v>0</v>
      </c>
      <c r="G1560" s="2">
        <f t="shared" si="197"/>
        <v>0</v>
      </c>
      <c r="H1560" s="2">
        <f>SUM($G$2:G1560)</f>
        <v>11920</v>
      </c>
      <c r="I1560" s="10">
        <f t="shared" si="193"/>
        <v>0</v>
      </c>
      <c r="J1560" s="10">
        <f t="shared" si="198"/>
        <v>0</v>
      </c>
      <c r="K1560" s="3">
        <f t="shared" si="199"/>
        <v>11920</v>
      </c>
      <c r="L1560">
        <f t="shared" si="195"/>
        <v>0</v>
      </c>
      <c r="M1560">
        <f t="shared" si="194"/>
        <v>0</v>
      </c>
    </row>
    <row r="1561" spans="1:13" x14ac:dyDescent="0.25">
      <c r="A1561" s="9">
        <f>Speed!A1561</f>
        <v>0</v>
      </c>
      <c r="B1561" s="9">
        <f t="shared" si="196"/>
        <v>0</v>
      </c>
      <c r="C1561" s="2">
        <f>Speed!B1561</f>
        <v>0</v>
      </c>
      <c r="D1561" s="9">
        <f>Odometer!A1561</f>
        <v>0</v>
      </c>
      <c r="E1561" s="9">
        <f t="shared" si="192"/>
        <v>0</v>
      </c>
      <c r="F1561" s="2">
        <f>Odometer!B1561</f>
        <v>0</v>
      </c>
      <c r="G1561" s="2">
        <f t="shared" si="197"/>
        <v>0</v>
      </c>
      <c r="H1561" s="2">
        <f>SUM($G$2:G1561)</f>
        <v>11920</v>
      </c>
      <c r="I1561" s="10">
        <f t="shared" si="193"/>
        <v>0</v>
      </c>
      <c r="J1561" s="10">
        <f t="shared" si="198"/>
        <v>0</v>
      </c>
      <c r="K1561" s="3">
        <f t="shared" si="199"/>
        <v>11920</v>
      </c>
      <c r="L1561">
        <f t="shared" si="195"/>
        <v>0</v>
      </c>
      <c r="M1561">
        <f t="shared" si="194"/>
        <v>0</v>
      </c>
    </row>
    <row r="1562" spans="1:13" x14ac:dyDescent="0.25">
      <c r="A1562" s="9">
        <f>Speed!A1562</f>
        <v>0</v>
      </c>
      <c r="B1562" s="9">
        <f t="shared" si="196"/>
        <v>0</v>
      </c>
      <c r="C1562" s="2">
        <f>Speed!B1562</f>
        <v>0</v>
      </c>
      <c r="D1562" s="9">
        <f>Odometer!A1562</f>
        <v>0</v>
      </c>
      <c r="E1562" s="9">
        <f t="shared" si="192"/>
        <v>0</v>
      </c>
      <c r="F1562" s="2">
        <f>Odometer!B1562</f>
        <v>0</v>
      </c>
      <c r="G1562" s="2">
        <f t="shared" si="197"/>
        <v>0</v>
      </c>
      <c r="H1562" s="2">
        <f>SUM($G$2:G1562)</f>
        <v>11920</v>
      </c>
      <c r="I1562" s="10">
        <f t="shared" si="193"/>
        <v>0</v>
      </c>
      <c r="J1562" s="10">
        <f t="shared" si="198"/>
        <v>0</v>
      </c>
      <c r="K1562" s="3">
        <f t="shared" si="199"/>
        <v>11920</v>
      </c>
      <c r="L1562">
        <f t="shared" si="195"/>
        <v>0</v>
      </c>
      <c r="M1562">
        <f t="shared" si="194"/>
        <v>0</v>
      </c>
    </row>
    <row r="1563" spans="1:13" x14ac:dyDescent="0.25">
      <c r="A1563" s="9">
        <f>Speed!A1563</f>
        <v>0</v>
      </c>
      <c r="B1563" s="9">
        <f t="shared" si="196"/>
        <v>0</v>
      </c>
      <c r="C1563" s="2">
        <f>Speed!B1563</f>
        <v>0</v>
      </c>
      <c r="D1563" s="9">
        <f>Odometer!A1563</f>
        <v>0</v>
      </c>
      <c r="E1563" s="9">
        <f t="shared" si="192"/>
        <v>0</v>
      </c>
      <c r="F1563" s="2">
        <f>Odometer!B1563</f>
        <v>0</v>
      </c>
      <c r="G1563" s="2">
        <f t="shared" si="197"/>
        <v>0</v>
      </c>
      <c r="H1563" s="2">
        <f>SUM($G$2:G1563)</f>
        <v>11920</v>
      </c>
      <c r="I1563" s="10">
        <f t="shared" si="193"/>
        <v>0</v>
      </c>
      <c r="J1563" s="10">
        <f t="shared" si="198"/>
        <v>0</v>
      </c>
      <c r="K1563" s="3">
        <f t="shared" si="199"/>
        <v>11920</v>
      </c>
      <c r="L1563">
        <f t="shared" si="195"/>
        <v>0</v>
      </c>
      <c r="M1563">
        <f t="shared" si="194"/>
        <v>0</v>
      </c>
    </row>
    <row r="1564" spans="1:13" x14ac:dyDescent="0.25">
      <c r="A1564" s="9">
        <f>Speed!A1564</f>
        <v>0</v>
      </c>
      <c r="B1564" s="9">
        <f t="shared" si="196"/>
        <v>0</v>
      </c>
      <c r="C1564" s="2">
        <f>Speed!B1564</f>
        <v>0</v>
      </c>
      <c r="D1564" s="9">
        <f>Odometer!A1564</f>
        <v>0</v>
      </c>
      <c r="E1564" s="9">
        <f t="shared" si="192"/>
        <v>0</v>
      </c>
      <c r="F1564" s="2">
        <f>Odometer!B1564</f>
        <v>0</v>
      </c>
      <c r="G1564" s="2">
        <f t="shared" si="197"/>
        <v>0</v>
      </c>
      <c r="H1564" s="2">
        <f>SUM($G$2:G1564)</f>
        <v>11920</v>
      </c>
      <c r="I1564" s="10">
        <f t="shared" si="193"/>
        <v>0</v>
      </c>
      <c r="J1564" s="10">
        <f t="shared" si="198"/>
        <v>0</v>
      </c>
      <c r="K1564" s="3">
        <f t="shared" si="199"/>
        <v>11920</v>
      </c>
      <c r="L1564">
        <f t="shared" si="195"/>
        <v>0</v>
      </c>
      <c r="M1564">
        <f t="shared" si="194"/>
        <v>0</v>
      </c>
    </row>
    <row r="1565" spans="1:13" x14ac:dyDescent="0.25">
      <c r="A1565" s="9">
        <f>Speed!A1565</f>
        <v>0</v>
      </c>
      <c r="B1565" s="9">
        <f t="shared" si="196"/>
        <v>0</v>
      </c>
      <c r="C1565" s="2">
        <f>Speed!B1565</f>
        <v>0</v>
      </c>
      <c r="D1565" s="9">
        <f>Odometer!A1565</f>
        <v>0</v>
      </c>
      <c r="E1565" s="9">
        <f t="shared" ref="E1565:E1628" si="200">MROUND(D1565,"00:00:01")</f>
        <v>0</v>
      </c>
      <c r="F1565" s="2">
        <f>Odometer!B1565</f>
        <v>0</v>
      </c>
      <c r="G1565" s="2">
        <f t="shared" si="197"/>
        <v>0</v>
      </c>
      <c r="H1565" s="2">
        <f>SUM($G$2:G1565)</f>
        <v>11920</v>
      </c>
      <c r="I1565" s="10">
        <f t="shared" ref="I1565:I1628" si="201">A1565</f>
        <v>0</v>
      </c>
      <c r="J1565" s="10">
        <f t="shared" si="198"/>
        <v>0</v>
      </c>
      <c r="K1565" s="3">
        <f t="shared" si="199"/>
        <v>11920</v>
      </c>
      <c r="L1565">
        <f t="shared" si="195"/>
        <v>0</v>
      </c>
      <c r="M1565">
        <f t="shared" ref="M1565:M1628" si="202">L1565*3.6</f>
        <v>0</v>
      </c>
    </row>
    <row r="1566" spans="1:13" x14ac:dyDescent="0.25">
      <c r="A1566" s="9">
        <f>Speed!A1566</f>
        <v>0</v>
      </c>
      <c r="B1566" s="9">
        <f t="shared" si="196"/>
        <v>0</v>
      </c>
      <c r="C1566" s="2">
        <f>Speed!B1566</f>
        <v>0</v>
      </c>
      <c r="D1566" s="9">
        <f>Odometer!A1566</f>
        <v>0</v>
      </c>
      <c r="E1566" s="9">
        <f t="shared" si="200"/>
        <v>0</v>
      </c>
      <c r="F1566" s="2">
        <f>Odometer!B1566</f>
        <v>0</v>
      </c>
      <c r="G1566" s="2">
        <f t="shared" si="197"/>
        <v>0</v>
      </c>
      <c r="H1566" s="2">
        <f>SUM($G$2:G1566)</f>
        <v>11920</v>
      </c>
      <c r="I1566" s="10">
        <f t="shared" si="201"/>
        <v>0</v>
      </c>
      <c r="J1566" s="10">
        <f t="shared" si="198"/>
        <v>0</v>
      </c>
      <c r="K1566" s="3">
        <f t="shared" si="199"/>
        <v>11920</v>
      </c>
      <c r="L1566">
        <f t="shared" si="195"/>
        <v>0</v>
      </c>
      <c r="M1566">
        <f t="shared" si="202"/>
        <v>0</v>
      </c>
    </row>
    <row r="1567" spans="1:13" x14ac:dyDescent="0.25">
      <c r="A1567" s="9">
        <f>Speed!A1567</f>
        <v>0</v>
      </c>
      <c r="B1567" s="9">
        <f t="shared" si="196"/>
        <v>0</v>
      </c>
      <c r="C1567" s="2">
        <f>Speed!B1567</f>
        <v>0</v>
      </c>
      <c r="D1567" s="9">
        <f>Odometer!A1567</f>
        <v>0</v>
      </c>
      <c r="E1567" s="9">
        <f t="shared" si="200"/>
        <v>0</v>
      </c>
      <c r="F1567" s="2">
        <f>Odometer!B1567</f>
        <v>0</v>
      </c>
      <c r="G1567" s="2">
        <f t="shared" si="197"/>
        <v>0</v>
      </c>
      <c r="H1567" s="2">
        <f>SUM($G$2:G1567)</f>
        <v>11920</v>
      </c>
      <c r="I1567" s="10">
        <f t="shared" si="201"/>
        <v>0</v>
      </c>
      <c r="J1567" s="10">
        <f t="shared" si="198"/>
        <v>0</v>
      </c>
      <c r="K1567" s="3">
        <f t="shared" si="199"/>
        <v>11920</v>
      </c>
      <c r="L1567">
        <f t="shared" si="195"/>
        <v>0</v>
      </c>
      <c r="M1567">
        <f t="shared" si="202"/>
        <v>0</v>
      </c>
    </row>
    <row r="1568" spans="1:13" x14ac:dyDescent="0.25">
      <c r="A1568" s="9">
        <f>Speed!A1568</f>
        <v>0</v>
      </c>
      <c r="B1568" s="9">
        <f t="shared" si="196"/>
        <v>0</v>
      </c>
      <c r="C1568" s="2">
        <f>Speed!B1568</f>
        <v>0</v>
      </c>
      <c r="D1568" s="9">
        <f>Odometer!A1568</f>
        <v>0</v>
      </c>
      <c r="E1568" s="9">
        <f t="shared" si="200"/>
        <v>0</v>
      </c>
      <c r="F1568" s="2">
        <f>Odometer!B1568</f>
        <v>0</v>
      </c>
      <c r="G1568" s="2">
        <f t="shared" si="197"/>
        <v>0</v>
      </c>
      <c r="H1568" s="2">
        <f>SUM($G$2:G1568)</f>
        <v>11920</v>
      </c>
      <c r="I1568" s="10">
        <f t="shared" si="201"/>
        <v>0</v>
      </c>
      <c r="J1568" s="10">
        <f t="shared" si="198"/>
        <v>0</v>
      </c>
      <c r="K1568" s="3">
        <f t="shared" si="199"/>
        <v>11920</v>
      </c>
      <c r="L1568">
        <f t="shared" si="195"/>
        <v>0</v>
      </c>
      <c r="M1568">
        <f t="shared" si="202"/>
        <v>0</v>
      </c>
    </row>
    <row r="1569" spans="1:13" x14ac:dyDescent="0.25">
      <c r="A1569" s="9">
        <f>Speed!A1569</f>
        <v>0</v>
      </c>
      <c r="B1569" s="9">
        <f t="shared" si="196"/>
        <v>0</v>
      </c>
      <c r="C1569" s="2">
        <f>Speed!B1569</f>
        <v>0</v>
      </c>
      <c r="D1569" s="9">
        <f>Odometer!A1569</f>
        <v>0</v>
      </c>
      <c r="E1569" s="9">
        <f t="shared" si="200"/>
        <v>0</v>
      </c>
      <c r="F1569" s="2">
        <f>Odometer!B1569</f>
        <v>0</v>
      </c>
      <c r="G1569" s="2">
        <f t="shared" si="197"/>
        <v>0</v>
      </c>
      <c r="H1569" s="2">
        <f>SUM($G$2:G1569)</f>
        <v>11920</v>
      </c>
      <c r="I1569" s="10">
        <f t="shared" si="201"/>
        <v>0</v>
      </c>
      <c r="J1569" s="10">
        <f t="shared" si="198"/>
        <v>0</v>
      </c>
      <c r="K1569" s="3">
        <f t="shared" si="199"/>
        <v>11920</v>
      </c>
      <c r="L1569">
        <f t="shared" si="195"/>
        <v>0</v>
      </c>
      <c r="M1569">
        <f t="shared" si="202"/>
        <v>0</v>
      </c>
    </row>
    <row r="1570" spans="1:13" x14ac:dyDescent="0.25">
      <c r="A1570" s="9">
        <f>Speed!A1570</f>
        <v>0</v>
      </c>
      <c r="B1570" s="9">
        <f t="shared" si="196"/>
        <v>0</v>
      </c>
      <c r="C1570" s="2">
        <f>Speed!B1570</f>
        <v>0</v>
      </c>
      <c r="D1570" s="9">
        <f>Odometer!A1570</f>
        <v>0</v>
      </c>
      <c r="E1570" s="9">
        <f t="shared" si="200"/>
        <v>0</v>
      </c>
      <c r="F1570" s="2">
        <f>Odometer!B1570</f>
        <v>0</v>
      </c>
      <c r="G1570" s="2">
        <f t="shared" si="197"/>
        <v>0</v>
      </c>
      <c r="H1570" s="2">
        <f>SUM($G$2:G1570)</f>
        <v>11920</v>
      </c>
      <c r="I1570" s="10">
        <f t="shared" si="201"/>
        <v>0</v>
      </c>
      <c r="J1570" s="10">
        <f t="shared" si="198"/>
        <v>0</v>
      </c>
      <c r="K1570" s="3">
        <f t="shared" si="199"/>
        <v>11920</v>
      </c>
      <c r="L1570">
        <f t="shared" si="195"/>
        <v>0</v>
      </c>
      <c r="M1570">
        <f t="shared" si="202"/>
        <v>0</v>
      </c>
    </row>
    <row r="1571" spans="1:13" x14ac:dyDescent="0.25">
      <c r="A1571" s="9">
        <f>Speed!A1571</f>
        <v>0</v>
      </c>
      <c r="B1571" s="9">
        <f t="shared" si="196"/>
        <v>0</v>
      </c>
      <c r="C1571" s="2">
        <f>Speed!B1571</f>
        <v>0</v>
      </c>
      <c r="D1571" s="9">
        <f>Odometer!A1571</f>
        <v>0</v>
      </c>
      <c r="E1571" s="9">
        <f t="shared" si="200"/>
        <v>0</v>
      </c>
      <c r="F1571" s="2">
        <f>Odometer!B1571</f>
        <v>0</v>
      </c>
      <c r="G1571" s="2">
        <f t="shared" si="197"/>
        <v>0</v>
      </c>
      <c r="H1571" s="2">
        <f>SUM($G$2:G1571)</f>
        <v>11920</v>
      </c>
      <c r="I1571" s="10">
        <f t="shared" si="201"/>
        <v>0</v>
      </c>
      <c r="J1571" s="10">
        <f t="shared" si="198"/>
        <v>0</v>
      </c>
      <c r="K1571" s="3">
        <f t="shared" si="199"/>
        <v>11920</v>
      </c>
      <c r="L1571">
        <f t="shared" si="195"/>
        <v>0</v>
      </c>
      <c r="M1571">
        <f t="shared" si="202"/>
        <v>0</v>
      </c>
    </row>
    <row r="1572" spans="1:13" x14ac:dyDescent="0.25">
      <c r="A1572" s="9">
        <f>Speed!A1572</f>
        <v>0</v>
      </c>
      <c r="B1572" s="9">
        <f t="shared" si="196"/>
        <v>0</v>
      </c>
      <c r="C1572" s="2">
        <f>Speed!B1572</f>
        <v>0</v>
      </c>
      <c r="D1572" s="9">
        <f>Odometer!A1572</f>
        <v>0</v>
      </c>
      <c r="E1572" s="9">
        <f t="shared" si="200"/>
        <v>0</v>
      </c>
      <c r="F1572" s="2">
        <f>Odometer!B1572</f>
        <v>0</v>
      </c>
      <c r="G1572" s="2">
        <f t="shared" si="197"/>
        <v>0</v>
      </c>
      <c r="H1572" s="2">
        <f>SUM($G$2:G1572)</f>
        <v>11920</v>
      </c>
      <c r="I1572" s="10">
        <f t="shared" si="201"/>
        <v>0</v>
      </c>
      <c r="J1572" s="10">
        <f t="shared" si="198"/>
        <v>0</v>
      </c>
      <c r="K1572" s="3">
        <f t="shared" si="199"/>
        <v>11920</v>
      </c>
      <c r="L1572">
        <f t="shared" si="195"/>
        <v>0</v>
      </c>
      <c r="M1572">
        <f t="shared" si="202"/>
        <v>0</v>
      </c>
    </row>
    <row r="1573" spans="1:13" x14ac:dyDescent="0.25">
      <c r="A1573" s="9">
        <f>Speed!A1573</f>
        <v>0</v>
      </c>
      <c r="B1573" s="9">
        <f t="shared" si="196"/>
        <v>0</v>
      </c>
      <c r="C1573" s="2">
        <f>Speed!B1573</f>
        <v>0</v>
      </c>
      <c r="D1573" s="9">
        <f>Odometer!A1573</f>
        <v>0</v>
      </c>
      <c r="E1573" s="9">
        <f t="shared" si="200"/>
        <v>0</v>
      </c>
      <c r="F1573" s="2">
        <f>Odometer!B1573</f>
        <v>0</v>
      </c>
      <c r="G1573" s="2">
        <f t="shared" si="197"/>
        <v>0</v>
      </c>
      <c r="H1573" s="2">
        <f>SUM($G$2:G1573)</f>
        <v>11920</v>
      </c>
      <c r="I1573" s="10">
        <f t="shared" si="201"/>
        <v>0</v>
      </c>
      <c r="J1573" s="10">
        <f t="shared" si="198"/>
        <v>0</v>
      </c>
      <c r="K1573" s="3">
        <f t="shared" si="199"/>
        <v>11920</v>
      </c>
      <c r="L1573">
        <f t="shared" si="195"/>
        <v>0</v>
      </c>
      <c r="M1573">
        <f t="shared" si="202"/>
        <v>0</v>
      </c>
    </row>
    <row r="1574" spans="1:13" x14ac:dyDescent="0.25">
      <c r="A1574" s="9">
        <f>Speed!A1574</f>
        <v>0</v>
      </c>
      <c r="B1574" s="9">
        <f t="shared" si="196"/>
        <v>0</v>
      </c>
      <c r="C1574" s="2">
        <f>Speed!B1574</f>
        <v>0</v>
      </c>
      <c r="D1574" s="9">
        <f>Odometer!A1574</f>
        <v>0</v>
      </c>
      <c r="E1574" s="9">
        <f t="shared" si="200"/>
        <v>0</v>
      </c>
      <c r="F1574" s="2">
        <f>Odometer!B1574</f>
        <v>0</v>
      </c>
      <c r="G1574" s="2">
        <f t="shared" si="197"/>
        <v>0</v>
      </c>
      <c r="H1574" s="2">
        <f>SUM($G$2:G1574)</f>
        <v>11920</v>
      </c>
      <c r="I1574" s="10">
        <f t="shared" si="201"/>
        <v>0</v>
      </c>
      <c r="J1574" s="10">
        <f t="shared" si="198"/>
        <v>0</v>
      </c>
      <c r="K1574" s="3">
        <f t="shared" si="199"/>
        <v>11920</v>
      </c>
      <c r="L1574">
        <f t="shared" si="195"/>
        <v>0</v>
      </c>
      <c r="M1574">
        <f t="shared" si="202"/>
        <v>0</v>
      </c>
    </row>
    <row r="1575" spans="1:13" x14ac:dyDescent="0.25">
      <c r="A1575" s="9">
        <f>Speed!A1575</f>
        <v>0</v>
      </c>
      <c r="B1575" s="9">
        <f t="shared" si="196"/>
        <v>0</v>
      </c>
      <c r="C1575" s="2">
        <f>Speed!B1575</f>
        <v>0</v>
      </c>
      <c r="D1575" s="9">
        <f>Odometer!A1575</f>
        <v>0</v>
      </c>
      <c r="E1575" s="9">
        <f t="shared" si="200"/>
        <v>0</v>
      </c>
      <c r="F1575" s="2">
        <f>Odometer!B1575</f>
        <v>0</v>
      </c>
      <c r="G1575" s="2">
        <f t="shared" si="197"/>
        <v>0</v>
      </c>
      <c r="H1575" s="2">
        <f>SUM($G$2:G1575)</f>
        <v>11920</v>
      </c>
      <c r="I1575" s="10">
        <f t="shared" si="201"/>
        <v>0</v>
      </c>
      <c r="J1575" s="10">
        <f t="shared" si="198"/>
        <v>0</v>
      </c>
      <c r="K1575" s="3">
        <f t="shared" si="199"/>
        <v>11920</v>
      </c>
      <c r="L1575">
        <f t="shared" si="195"/>
        <v>0</v>
      </c>
      <c r="M1575">
        <f t="shared" si="202"/>
        <v>0</v>
      </c>
    </row>
    <row r="1576" spans="1:13" x14ac:dyDescent="0.25">
      <c r="A1576" s="9">
        <f>Speed!A1576</f>
        <v>0</v>
      </c>
      <c r="B1576" s="9">
        <f t="shared" si="196"/>
        <v>0</v>
      </c>
      <c r="C1576" s="2">
        <f>Speed!B1576</f>
        <v>0</v>
      </c>
      <c r="D1576" s="9">
        <f>Odometer!A1576</f>
        <v>0</v>
      </c>
      <c r="E1576" s="9">
        <f t="shared" si="200"/>
        <v>0</v>
      </c>
      <c r="F1576" s="2">
        <f>Odometer!B1576</f>
        <v>0</v>
      </c>
      <c r="G1576" s="2">
        <f t="shared" si="197"/>
        <v>0</v>
      </c>
      <c r="H1576" s="2">
        <f>SUM($G$2:G1576)</f>
        <v>11920</v>
      </c>
      <c r="I1576" s="10">
        <f t="shared" si="201"/>
        <v>0</v>
      </c>
      <c r="J1576" s="10">
        <f t="shared" si="198"/>
        <v>0</v>
      </c>
      <c r="K1576" s="3">
        <f t="shared" si="199"/>
        <v>11920</v>
      </c>
      <c r="L1576">
        <f t="shared" si="195"/>
        <v>0</v>
      </c>
      <c r="M1576">
        <f t="shared" si="202"/>
        <v>0</v>
      </c>
    </row>
    <row r="1577" spans="1:13" x14ac:dyDescent="0.25">
      <c r="A1577" s="9">
        <f>Speed!A1577</f>
        <v>0</v>
      </c>
      <c r="B1577" s="9">
        <f t="shared" si="196"/>
        <v>0</v>
      </c>
      <c r="C1577" s="2">
        <f>Speed!B1577</f>
        <v>0</v>
      </c>
      <c r="D1577" s="9">
        <f>Odometer!A1577</f>
        <v>0</v>
      </c>
      <c r="E1577" s="9">
        <f t="shared" si="200"/>
        <v>0</v>
      </c>
      <c r="F1577" s="2">
        <f>Odometer!B1577</f>
        <v>0</v>
      </c>
      <c r="G1577" s="2">
        <f t="shared" si="197"/>
        <v>0</v>
      </c>
      <c r="H1577" s="2">
        <f>SUM($G$2:G1577)</f>
        <v>11920</v>
      </c>
      <c r="I1577" s="10">
        <f t="shared" si="201"/>
        <v>0</v>
      </c>
      <c r="J1577" s="10">
        <f t="shared" si="198"/>
        <v>0</v>
      </c>
      <c r="K1577" s="3">
        <f t="shared" si="199"/>
        <v>11920</v>
      </c>
      <c r="L1577">
        <f t="shared" si="195"/>
        <v>0</v>
      </c>
      <c r="M1577">
        <f t="shared" si="202"/>
        <v>0</v>
      </c>
    </row>
    <row r="1578" spans="1:13" x14ac:dyDescent="0.25">
      <c r="A1578" s="9">
        <f>Speed!A1578</f>
        <v>0</v>
      </c>
      <c r="B1578" s="9">
        <f t="shared" si="196"/>
        <v>0</v>
      </c>
      <c r="C1578" s="2">
        <f>Speed!B1578</f>
        <v>0</v>
      </c>
      <c r="D1578" s="9">
        <f>Odometer!A1578</f>
        <v>0</v>
      </c>
      <c r="E1578" s="9">
        <f t="shared" si="200"/>
        <v>0</v>
      </c>
      <c r="F1578" s="2">
        <f>Odometer!B1578</f>
        <v>0</v>
      </c>
      <c r="G1578" s="2">
        <f t="shared" si="197"/>
        <v>0</v>
      </c>
      <c r="H1578" s="2">
        <f>SUM($G$2:G1578)</f>
        <v>11920</v>
      </c>
      <c r="I1578" s="10">
        <f t="shared" si="201"/>
        <v>0</v>
      </c>
      <c r="J1578" s="10">
        <f t="shared" si="198"/>
        <v>0</v>
      </c>
      <c r="K1578" s="3">
        <f t="shared" si="199"/>
        <v>11920</v>
      </c>
      <c r="L1578">
        <f t="shared" si="195"/>
        <v>0</v>
      </c>
      <c r="M1578">
        <f t="shared" si="202"/>
        <v>0</v>
      </c>
    </row>
    <row r="1579" spans="1:13" x14ac:dyDescent="0.25">
      <c r="A1579" s="9">
        <f>Speed!A1579</f>
        <v>0</v>
      </c>
      <c r="B1579" s="9">
        <f t="shared" si="196"/>
        <v>0</v>
      </c>
      <c r="C1579" s="2">
        <f>Speed!B1579</f>
        <v>0</v>
      </c>
      <c r="D1579" s="9">
        <f>Odometer!A1579</f>
        <v>0</v>
      </c>
      <c r="E1579" s="9">
        <f t="shared" si="200"/>
        <v>0</v>
      </c>
      <c r="F1579" s="2">
        <f>Odometer!B1579</f>
        <v>0</v>
      </c>
      <c r="G1579" s="2">
        <f t="shared" si="197"/>
        <v>0</v>
      </c>
      <c r="H1579" s="2">
        <f>SUM($G$2:G1579)</f>
        <v>11920</v>
      </c>
      <c r="I1579" s="10">
        <f t="shared" si="201"/>
        <v>0</v>
      </c>
      <c r="J1579" s="10">
        <f t="shared" si="198"/>
        <v>0</v>
      </c>
      <c r="K1579" s="3">
        <f t="shared" si="199"/>
        <v>11920</v>
      </c>
      <c r="L1579">
        <f t="shared" si="195"/>
        <v>0</v>
      </c>
      <c r="M1579">
        <f t="shared" si="202"/>
        <v>0</v>
      </c>
    </row>
    <row r="1580" spans="1:13" x14ac:dyDescent="0.25">
      <c r="A1580" s="9">
        <f>Speed!A1580</f>
        <v>0</v>
      </c>
      <c r="B1580" s="9">
        <f t="shared" si="196"/>
        <v>0</v>
      </c>
      <c r="C1580" s="2">
        <f>Speed!B1580</f>
        <v>0</v>
      </c>
      <c r="D1580" s="9">
        <f>Odometer!A1580</f>
        <v>0</v>
      </c>
      <c r="E1580" s="9">
        <f t="shared" si="200"/>
        <v>0</v>
      </c>
      <c r="F1580" s="2">
        <f>Odometer!B1580</f>
        <v>0</v>
      </c>
      <c r="G1580" s="2">
        <f t="shared" si="197"/>
        <v>0</v>
      </c>
      <c r="H1580" s="2">
        <f>SUM($G$2:G1580)</f>
        <v>11920</v>
      </c>
      <c r="I1580" s="10">
        <f t="shared" si="201"/>
        <v>0</v>
      </c>
      <c r="J1580" s="10">
        <f t="shared" si="198"/>
        <v>0</v>
      </c>
      <c r="K1580" s="3">
        <f t="shared" si="199"/>
        <v>11920</v>
      </c>
      <c r="L1580">
        <f t="shared" si="195"/>
        <v>0</v>
      </c>
      <c r="M1580">
        <f t="shared" si="202"/>
        <v>0</v>
      </c>
    </row>
    <row r="1581" spans="1:13" x14ac:dyDescent="0.25">
      <c r="A1581" s="9">
        <f>Speed!A1581</f>
        <v>0</v>
      </c>
      <c r="B1581" s="9">
        <f t="shared" si="196"/>
        <v>0</v>
      </c>
      <c r="C1581" s="2">
        <f>Speed!B1581</f>
        <v>0</v>
      </c>
      <c r="D1581" s="9">
        <f>Odometer!A1581</f>
        <v>0</v>
      </c>
      <c r="E1581" s="9">
        <f t="shared" si="200"/>
        <v>0</v>
      </c>
      <c r="F1581" s="2">
        <f>Odometer!B1581</f>
        <v>0</v>
      </c>
      <c r="G1581" s="2">
        <f t="shared" si="197"/>
        <v>0</v>
      </c>
      <c r="H1581" s="2">
        <f>SUM($G$2:G1581)</f>
        <v>11920</v>
      </c>
      <c r="I1581" s="10">
        <f t="shared" si="201"/>
        <v>0</v>
      </c>
      <c r="J1581" s="10">
        <f t="shared" si="198"/>
        <v>0</v>
      </c>
      <c r="K1581" s="3">
        <f t="shared" si="199"/>
        <v>11920</v>
      </c>
      <c r="L1581">
        <f t="shared" si="195"/>
        <v>0</v>
      </c>
      <c r="M1581">
        <f t="shared" si="202"/>
        <v>0</v>
      </c>
    </row>
    <row r="1582" spans="1:13" x14ac:dyDescent="0.25">
      <c r="A1582" s="9">
        <f>Speed!A1582</f>
        <v>0</v>
      </c>
      <c r="B1582" s="9">
        <f t="shared" si="196"/>
        <v>0</v>
      </c>
      <c r="C1582" s="2">
        <f>Speed!B1582</f>
        <v>0</v>
      </c>
      <c r="D1582" s="9">
        <f>Odometer!A1582</f>
        <v>0</v>
      </c>
      <c r="E1582" s="9">
        <f t="shared" si="200"/>
        <v>0</v>
      </c>
      <c r="F1582" s="2">
        <f>Odometer!B1582</f>
        <v>0</v>
      </c>
      <c r="G1582" s="2">
        <f t="shared" si="197"/>
        <v>0</v>
      </c>
      <c r="H1582" s="2">
        <f>SUM($G$2:G1582)</f>
        <v>11920</v>
      </c>
      <c r="I1582" s="10">
        <f t="shared" si="201"/>
        <v>0</v>
      </c>
      <c r="J1582" s="10">
        <f t="shared" si="198"/>
        <v>0</v>
      </c>
      <c r="K1582" s="3">
        <f t="shared" si="199"/>
        <v>11920</v>
      </c>
      <c r="L1582">
        <f t="shared" si="195"/>
        <v>0</v>
      </c>
      <c r="M1582">
        <f t="shared" si="202"/>
        <v>0</v>
      </c>
    </row>
    <row r="1583" spans="1:13" x14ac:dyDescent="0.25">
      <c r="A1583" s="9">
        <f>Speed!A1583</f>
        <v>0</v>
      </c>
      <c r="B1583" s="9">
        <f t="shared" si="196"/>
        <v>0</v>
      </c>
      <c r="C1583" s="2">
        <f>Speed!B1583</f>
        <v>0</v>
      </c>
      <c r="D1583" s="9">
        <f>Odometer!A1583</f>
        <v>0</v>
      </c>
      <c r="E1583" s="9">
        <f t="shared" si="200"/>
        <v>0</v>
      </c>
      <c r="F1583" s="2">
        <f>Odometer!B1583</f>
        <v>0</v>
      </c>
      <c r="G1583" s="2">
        <f t="shared" si="197"/>
        <v>0</v>
      </c>
      <c r="H1583" s="2">
        <f>SUM($G$2:G1583)</f>
        <v>11920</v>
      </c>
      <c r="I1583" s="10">
        <f t="shared" si="201"/>
        <v>0</v>
      </c>
      <c r="J1583" s="10">
        <f t="shared" si="198"/>
        <v>0</v>
      </c>
      <c r="K1583" s="3">
        <f t="shared" si="199"/>
        <v>11920</v>
      </c>
      <c r="L1583">
        <f t="shared" si="195"/>
        <v>0</v>
      </c>
      <c r="M1583">
        <f t="shared" si="202"/>
        <v>0</v>
      </c>
    </row>
    <row r="1584" spans="1:13" x14ac:dyDescent="0.25">
      <c r="A1584" s="9">
        <f>Speed!A1584</f>
        <v>0</v>
      </c>
      <c r="B1584" s="9">
        <f t="shared" si="196"/>
        <v>0</v>
      </c>
      <c r="C1584" s="2">
        <f>Speed!B1584</f>
        <v>0</v>
      </c>
      <c r="D1584" s="9">
        <f>Odometer!A1584</f>
        <v>0</v>
      </c>
      <c r="E1584" s="9">
        <f t="shared" si="200"/>
        <v>0</v>
      </c>
      <c r="F1584" s="2">
        <f>Odometer!B1584</f>
        <v>0</v>
      </c>
      <c r="G1584" s="2">
        <f t="shared" si="197"/>
        <v>0</v>
      </c>
      <c r="H1584" s="2">
        <f>SUM($G$2:G1584)</f>
        <v>11920</v>
      </c>
      <c r="I1584" s="10">
        <f t="shared" si="201"/>
        <v>0</v>
      </c>
      <c r="J1584" s="10">
        <f t="shared" si="198"/>
        <v>0</v>
      </c>
      <c r="K1584" s="3">
        <f t="shared" si="199"/>
        <v>11920</v>
      </c>
      <c r="L1584">
        <f t="shared" si="195"/>
        <v>0</v>
      </c>
      <c r="M1584">
        <f t="shared" si="202"/>
        <v>0</v>
      </c>
    </row>
    <row r="1585" spans="1:13" x14ac:dyDescent="0.25">
      <c r="A1585" s="9">
        <f>Speed!A1585</f>
        <v>0</v>
      </c>
      <c r="B1585" s="9">
        <f t="shared" si="196"/>
        <v>0</v>
      </c>
      <c r="C1585" s="2">
        <f>Speed!B1585</f>
        <v>0</v>
      </c>
      <c r="D1585" s="9">
        <f>Odometer!A1585</f>
        <v>0</v>
      </c>
      <c r="E1585" s="9">
        <f t="shared" si="200"/>
        <v>0</v>
      </c>
      <c r="F1585" s="2">
        <f>Odometer!B1585</f>
        <v>0</v>
      </c>
      <c r="G1585" s="2">
        <f t="shared" si="197"/>
        <v>0</v>
      </c>
      <c r="H1585" s="2">
        <f>SUM($G$2:G1585)</f>
        <v>11920</v>
      </c>
      <c r="I1585" s="10">
        <f t="shared" si="201"/>
        <v>0</v>
      </c>
      <c r="J1585" s="10">
        <f t="shared" si="198"/>
        <v>0</v>
      </c>
      <c r="K1585" s="3">
        <f t="shared" si="199"/>
        <v>11920</v>
      </c>
      <c r="L1585">
        <f t="shared" si="195"/>
        <v>0</v>
      </c>
      <c r="M1585">
        <f t="shared" si="202"/>
        <v>0</v>
      </c>
    </row>
    <row r="1586" spans="1:13" x14ac:dyDescent="0.25">
      <c r="A1586" s="9">
        <f>Speed!A1586</f>
        <v>0</v>
      </c>
      <c r="B1586" s="9">
        <f t="shared" si="196"/>
        <v>0</v>
      </c>
      <c r="C1586" s="2">
        <f>Speed!B1586</f>
        <v>0</v>
      </c>
      <c r="D1586" s="9">
        <f>Odometer!A1586</f>
        <v>0</v>
      </c>
      <c r="E1586" s="9">
        <f t="shared" si="200"/>
        <v>0</v>
      </c>
      <c r="F1586" s="2">
        <f>Odometer!B1586</f>
        <v>0</v>
      </c>
      <c r="G1586" s="2">
        <f t="shared" si="197"/>
        <v>0</v>
      </c>
      <c r="H1586" s="2">
        <f>SUM($G$2:G1586)</f>
        <v>11920</v>
      </c>
      <c r="I1586" s="10">
        <f t="shared" si="201"/>
        <v>0</v>
      </c>
      <c r="J1586" s="10">
        <f t="shared" si="198"/>
        <v>0</v>
      </c>
      <c r="K1586" s="3">
        <f t="shared" si="199"/>
        <v>11920</v>
      </c>
      <c r="L1586">
        <f t="shared" si="195"/>
        <v>0</v>
      </c>
      <c r="M1586">
        <f t="shared" si="202"/>
        <v>0</v>
      </c>
    </row>
    <row r="1587" spans="1:13" x14ac:dyDescent="0.25">
      <c r="A1587" s="9">
        <f>Speed!A1587</f>
        <v>0</v>
      </c>
      <c r="B1587" s="9">
        <f t="shared" si="196"/>
        <v>0</v>
      </c>
      <c r="C1587" s="2">
        <f>Speed!B1587</f>
        <v>0</v>
      </c>
      <c r="D1587" s="9">
        <f>Odometer!A1587</f>
        <v>0</v>
      </c>
      <c r="E1587" s="9">
        <f t="shared" si="200"/>
        <v>0</v>
      </c>
      <c r="F1587" s="2">
        <f>Odometer!B1587</f>
        <v>0</v>
      </c>
      <c r="G1587" s="2">
        <f t="shared" si="197"/>
        <v>0</v>
      </c>
      <c r="H1587" s="2">
        <f>SUM($G$2:G1587)</f>
        <v>11920</v>
      </c>
      <c r="I1587" s="10">
        <f t="shared" si="201"/>
        <v>0</v>
      </c>
      <c r="J1587" s="10">
        <f t="shared" si="198"/>
        <v>0</v>
      </c>
      <c r="K1587" s="3">
        <f t="shared" si="199"/>
        <v>11920</v>
      </c>
      <c r="L1587">
        <f t="shared" si="195"/>
        <v>0</v>
      </c>
      <c r="M1587">
        <f t="shared" si="202"/>
        <v>0</v>
      </c>
    </row>
    <row r="1588" spans="1:13" x14ac:dyDescent="0.25">
      <c r="A1588" s="9">
        <f>Speed!A1588</f>
        <v>0</v>
      </c>
      <c r="B1588" s="9">
        <f t="shared" si="196"/>
        <v>0</v>
      </c>
      <c r="C1588" s="2">
        <f>Speed!B1588</f>
        <v>0</v>
      </c>
      <c r="D1588" s="9">
        <f>Odometer!A1588</f>
        <v>0</v>
      </c>
      <c r="E1588" s="9">
        <f t="shared" si="200"/>
        <v>0</v>
      </c>
      <c r="F1588" s="2">
        <f>Odometer!B1588</f>
        <v>0</v>
      </c>
      <c r="G1588" s="2">
        <f t="shared" si="197"/>
        <v>0</v>
      </c>
      <c r="H1588" s="2">
        <f>SUM($G$2:G1588)</f>
        <v>11920</v>
      </c>
      <c r="I1588" s="10">
        <f t="shared" si="201"/>
        <v>0</v>
      </c>
      <c r="J1588" s="10">
        <f t="shared" si="198"/>
        <v>0</v>
      </c>
      <c r="K1588" s="3">
        <f t="shared" si="199"/>
        <v>11920</v>
      </c>
      <c r="L1588">
        <f t="shared" si="195"/>
        <v>0</v>
      </c>
      <c r="M1588">
        <f t="shared" si="202"/>
        <v>0</v>
      </c>
    </row>
    <row r="1589" spans="1:13" x14ac:dyDescent="0.25">
      <c r="A1589" s="9">
        <f>Speed!A1589</f>
        <v>0</v>
      </c>
      <c r="B1589" s="9">
        <f t="shared" si="196"/>
        <v>0</v>
      </c>
      <c r="C1589" s="2">
        <f>Speed!B1589</f>
        <v>0</v>
      </c>
      <c r="D1589" s="9">
        <f>Odometer!A1589</f>
        <v>0</v>
      </c>
      <c r="E1589" s="9">
        <f t="shared" si="200"/>
        <v>0</v>
      </c>
      <c r="F1589" s="2">
        <f>Odometer!B1589</f>
        <v>0</v>
      </c>
      <c r="G1589" s="2">
        <f t="shared" si="197"/>
        <v>0</v>
      </c>
      <c r="H1589" s="2">
        <f>SUM($G$2:G1589)</f>
        <v>11920</v>
      </c>
      <c r="I1589" s="10">
        <f t="shared" si="201"/>
        <v>0</v>
      </c>
      <c r="J1589" s="10">
        <f t="shared" si="198"/>
        <v>0</v>
      </c>
      <c r="K1589" s="3">
        <f t="shared" si="199"/>
        <v>11920</v>
      </c>
      <c r="L1589">
        <f t="shared" si="195"/>
        <v>0</v>
      </c>
      <c r="M1589">
        <f t="shared" si="202"/>
        <v>0</v>
      </c>
    </row>
    <row r="1590" spans="1:13" x14ac:dyDescent="0.25">
      <c r="A1590" s="9">
        <f>Speed!A1590</f>
        <v>0</v>
      </c>
      <c r="B1590" s="9">
        <f t="shared" si="196"/>
        <v>0</v>
      </c>
      <c r="C1590" s="2">
        <f>Speed!B1590</f>
        <v>0</v>
      </c>
      <c r="D1590" s="9">
        <f>Odometer!A1590</f>
        <v>0</v>
      </c>
      <c r="E1590" s="9">
        <f t="shared" si="200"/>
        <v>0</v>
      </c>
      <c r="F1590" s="2">
        <f>Odometer!B1590</f>
        <v>0</v>
      </c>
      <c r="G1590" s="2">
        <f t="shared" si="197"/>
        <v>0</v>
      </c>
      <c r="H1590" s="2">
        <f>SUM($G$2:G1590)</f>
        <v>11920</v>
      </c>
      <c r="I1590" s="10">
        <f t="shared" si="201"/>
        <v>0</v>
      </c>
      <c r="J1590" s="10">
        <f t="shared" si="198"/>
        <v>0</v>
      </c>
      <c r="K1590" s="3">
        <f t="shared" si="199"/>
        <v>11920</v>
      </c>
      <c r="L1590">
        <f t="shared" si="195"/>
        <v>0</v>
      </c>
      <c r="M1590">
        <f t="shared" si="202"/>
        <v>0</v>
      </c>
    </row>
    <row r="1591" spans="1:13" x14ac:dyDescent="0.25">
      <c r="A1591" s="9">
        <f>Speed!A1591</f>
        <v>0</v>
      </c>
      <c r="B1591" s="9">
        <f t="shared" si="196"/>
        <v>0</v>
      </c>
      <c r="C1591" s="2">
        <f>Speed!B1591</f>
        <v>0</v>
      </c>
      <c r="D1591" s="9">
        <f>Odometer!A1591</f>
        <v>0</v>
      </c>
      <c r="E1591" s="9">
        <f t="shared" si="200"/>
        <v>0</v>
      </c>
      <c r="F1591" s="2">
        <f>Odometer!B1591</f>
        <v>0</v>
      </c>
      <c r="G1591" s="2">
        <f t="shared" si="197"/>
        <v>0</v>
      </c>
      <c r="H1591" s="2">
        <f>SUM($G$2:G1591)</f>
        <v>11920</v>
      </c>
      <c r="I1591" s="10">
        <f t="shared" si="201"/>
        <v>0</v>
      </c>
      <c r="J1591" s="10">
        <f t="shared" si="198"/>
        <v>0</v>
      </c>
      <c r="K1591" s="3">
        <f t="shared" si="199"/>
        <v>11920</v>
      </c>
      <c r="L1591">
        <f t="shared" si="195"/>
        <v>0</v>
      </c>
      <c r="M1591">
        <f t="shared" si="202"/>
        <v>0</v>
      </c>
    </row>
    <row r="1592" spans="1:13" x14ac:dyDescent="0.25">
      <c r="A1592" s="9">
        <f>Speed!A1592</f>
        <v>0</v>
      </c>
      <c r="B1592" s="9">
        <f t="shared" si="196"/>
        <v>0</v>
      </c>
      <c r="C1592" s="2">
        <f>Speed!B1592</f>
        <v>0</v>
      </c>
      <c r="D1592" s="9">
        <f>Odometer!A1592</f>
        <v>0</v>
      </c>
      <c r="E1592" s="9">
        <f t="shared" si="200"/>
        <v>0</v>
      </c>
      <c r="F1592" s="2">
        <f>Odometer!B1592</f>
        <v>0</v>
      </c>
      <c r="G1592" s="2">
        <f t="shared" si="197"/>
        <v>0</v>
      </c>
      <c r="H1592" s="2">
        <f>SUM($G$2:G1592)</f>
        <v>11920</v>
      </c>
      <c r="I1592" s="10">
        <f t="shared" si="201"/>
        <v>0</v>
      </c>
      <c r="J1592" s="10">
        <f t="shared" si="198"/>
        <v>0</v>
      </c>
      <c r="K1592" s="3">
        <f t="shared" si="199"/>
        <v>11920</v>
      </c>
      <c r="L1592">
        <f t="shared" si="195"/>
        <v>0</v>
      </c>
      <c r="M1592">
        <f t="shared" si="202"/>
        <v>0</v>
      </c>
    </row>
    <row r="1593" spans="1:13" x14ac:dyDescent="0.25">
      <c r="A1593" s="9">
        <f>Speed!A1593</f>
        <v>0</v>
      </c>
      <c r="B1593" s="9">
        <f t="shared" si="196"/>
        <v>0</v>
      </c>
      <c r="C1593" s="2">
        <f>Speed!B1593</f>
        <v>0</v>
      </c>
      <c r="D1593" s="9">
        <f>Odometer!A1593</f>
        <v>0</v>
      </c>
      <c r="E1593" s="9">
        <f t="shared" si="200"/>
        <v>0</v>
      </c>
      <c r="F1593" s="2">
        <f>Odometer!B1593</f>
        <v>0</v>
      </c>
      <c r="G1593" s="2">
        <f t="shared" si="197"/>
        <v>0</v>
      </c>
      <c r="H1593" s="2">
        <f>SUM($G$2:G1593)</f>
        <v>11920</v>
      </c>
      <c r="I1593" s="10">
        <f t="shared" si="201"/>
        <v>0</v>
      </c>
      <c r="J1593" s="10">
        <f t="shared" si="198"/>
        <v>0</v>
      </c>
      <c r="K1593" s="3">
        <f t="shared" si="199"/>
        <v>11920</v>
      </c>
      <c r="L1593">
        <f t="shared" si="195"/>
        <v>0</v>
      </c>
      <c r="M1593">
        <f t="shared" si="202"/>
        <v>0</v>
      </c>
    </row>
    <row r="1594" spans="1:13" x14ac:dyDescent="0.25">
      <c r="A1594" s="9">
        <f>Speed!A1594</f>
        <v>0</v>
      </c>
      <c r="B1594" s="9">
        <f t="shared" si="196"/>
        <v>0</v>
      </c>
      <c r="C1594" s="2">
        <f>Speed!B1594</f>
        <v>0</v>
      </c>
      <c r="D1594" s="9">
        <f>Odometer!A1594</f>
        <v>0</v>
      </c>
      <c r="E1594" s="9">
        <f t="shared" si="200"/>
        <v>0</v>
      </c>
      <c r="F1594" s="2">
        <f>Odometer!B1594</f>
        <v>0</v>
      </c>
      <c r="G1594" s="2">
        <f t="shared" si="197"/>
        <v>0</v>
      </c>
      <c r="H1594" s="2">
        <f>SUM($G$2:G1594)</f>
        <v>11920</v>
      </c>
      <c r="I1594" s="10">
        <f t="shared" si="201"/>
        <v>0</v>
      </c>
      <c r="J1594" s="10">
        <f t="shared" si="198"/>
        <v>0</v>
      </c>
      <c r="K1594" s="3">
        <f t="shared" si="199"/>
        <v>11920</v>
      </c>
      <c r="L1594">
        <f t="shared" si="195"/>
        <v>0</v>
      </c>
      <c r="M1594">
        <f t="shared" si="202"/>
        <v>0</v>
      </c>
    </row>
    <row r="1595" spans="1:13" x14ac:dyDescent="0.25">
      <c r="A1595" s="9">
        <f>Speed!A1595</f>
        <v>0</v>
      </c>
      <c r="B1595" s="9">
        <f t="shared" si="196"/>
        <v>0</v>
      </c>
      <c r="C1595" s="2">
        <f>Speed!B1595</f>
        <v>0</v>
      </c>
      <c r="D1595" s="9">
        <f>Odometer!A1595</f>
        <v>0</v>
      </c>
      <c r="E1595" s="9">
        <f t="shared" si="200"/>
        <v>0</v>
      </c>
      <c r="F1595" s="2">
        <f>Odometer!B1595</f>
        <v>0</v>
      </c>
      <c r="G1595" s="2">
        <f t="shared" si="197"/>
        <v>0</v>
      </c>
      <c r="H1595" s="2">
        <f>SUM($G$2:G1595)</f>
        <v>11920</v>
      </c>
      <c r="I1595" s="10">
        <f t="shared" si="201"/>
        <v>0</v>
      </c>
      <c r="J1595" s="10">
        <f t="shared" si="198"/>
        <v>0</v>
      </c>
      <c r="K1595" s="3">
        <f t="shared" si="199"/>
        <v>11920</v>
      </c>
      <c r="L1595">
        <f t="shared" si="195"/>
        <v>0</v>
      </c>
      <c r="M1595">
        <f t="shared" si="202"/>
        <v>0</v>
      </c>
    </row>
    <row r="1596" spans="1:13" x14ac:dyDescent="0.25">
      <c r="A1596" s="9">
        <f>Speed!A1596</f>
        <v>0</v>
      </c>
      <c r="B1596" s="9">
        <f t="shared" si="196"/>
        <v>0</v>
      </c>
      <c r="C1596" s="2">
        <f>Speed!B1596</f>
        <v>0</v>
      </c>
      <c r="D1596" s="9">
        <f>Odometer!A1596</f>
        <v>0</v>
      </c>
      <c r="E1596" s="9">
        <f t="shared" si="200"/>
        <v>0</v>
      </c>
      <c r="F1596" s="2">
        <f>Odometer!B1596</f>
        <v>0</v>
      </c>
      <c r="G1596" s="2">
        <f t="shared" si="197"/>
        <v>0</v>
      </c>
      <c r="H1596" s="2">
        <f>SUM($G$2:G1596)</f>
        <v>11920</v>
      </c>
      <c r="I1596" s="10">
        <f t="shared" si="201"/>
        <v>0</v>
      </c>
      <c r="J1596" s="10">
        <f t="shared" si="198"/>
        <v>0</v>
      </c>
      <c r="K1596" s="3">
        <f t="shared" si="199"/>
        <v>11920</v>
      </c>
      <c r="L1596">
        <f t="shared" si="195"/>
        <v>0</v>
      </c>
      <c r="M1596">
        <f t="shared" si="202"/>
        <v>0</v>
      </c>
    </row>
    <row r="1597" spans="1:13" x14ac:dyDescent="0.25">
      <c r="A1597" s="9">
        <f>Speed!A1597</f>
        <v>0</v>
      </c>
      <c r="B1597" s="9">
        <f t="shared" si="196"/>
        <v>0</v>
      </c>
      <c r="C1597" s="2">
        <f>Speed!B1597</f>
        <v>0</v>
      </c>
      <c r="D1597" s="9">
        <f>Odometer!A1597</f>
        <v>0</v>
      </c>
      <c r="E1597" s="9">
        <f t="shared" si="200"/>
        <v>0</v>
      </c>
      <c r="F1597" s="2">
        <f>Odometer!B1597</f>
        <v>0</v>
      </c>
      <c r="G1597" s="2">
        <f t="shared" si="197"/>
        <v>0</v>
      </c>
      <c r="H1597" s="2">
        <f>SUM($G$2:G1597)</f>
        <v>11920</v>
      </c>
      <c r="I1597" s="10">
        <f t="shared" si="201"/>
        <v>0</v>
      </c>
      <c r="J1597" s="10">
        <f t="shared" si="198"/>
        <v>0</v>
      </c>
      <c r="K1597" s="3">
        <f t="shared" si="199"/>
        <v>11920</v>
      </c>
      <c r="L1597">
        <f t="shared" si="195"/>
        <v>0</v>
      </c>
      <c r="M1597">
        <f t="shared" si="202"/>
        <v>0</v>
      </c>
    </row>
    <row r="1598" spans="1:13" x14ac:dyDescent="0.25">
      <c r="A1598" s="9">
        <f>Speed!A1598</f>
        <v>0</v>
      </c>
      <c r="B1598" s="9">
        <f t="shared" si="196"/>
        <v>0</v>
      </c>
      <c r="C1598" s="2">
        <f>Speed!B1598</f>
        <v>0</v>
      </c>
      <c r="D1598" s="9">
        <f>Odometer!A1598</f>
        <v>0</v>
      </c>
      <c r="E1598" s="9">
        <f t="shared" si="200"/>
        <v>0</v>
      </c>
      <c r="F1598" s="2">
        <f>Odometer!B1598</f>
        <v>0</v>
      </c>
      <c r="G1598" s="2">
        <f t="shared" si="197"/>
        <v>0</v>
      </c>
      <c r="H1598" s="2">
        <f>SUM($G$2:G1598)</f>
        <v>11920</v>
      </c>
      <c r="I1598" s="10">
        <f t="shared" si="201"/>
        <v>0</v>
      </c>
      <c r="J1598" s="10">
        <f t="shared" si="198"/>
        <v>0</v>
      </c>
      <c r="K1598" s="3">
        <f t="shared" si="199"/>
        <v>11920</v>
      </c>
      <c r="L1598">
        <f t="shared" si="195"/>
        <v>0</v>
      </c>
      <c r="M1598">
        <f t="shared" si="202"/>
        <v>0</v>
      </c>
    </row>
    <row r="1599" spans="1:13" x14ac:dyDescent="0.25">
      <c r="A1599" s="9">
        <f>Speed!A1599</f>
        <v>0</v>
      </c>
      <c r="B1599" s="9">
        <f t="shared" si="196"/>
        <v>0</v>
      </c>
      <c r="C1599" s="2">
        <f>Speed!B1599</f>
        <v>0</v>
      </c>
      <c r="D1599" s="9">
        <f>Odometer!A1599</f>
        <v>0</v>
      </c>
      <c r="E1599" s="9">
        <f t="shared" si="200"/>
        <v>0</v>
      </c>
      <c r="F1599" s="2">
        <f>Odometer!B1599</f>
        <v>0</v>
      </c>
      <c r="G1599" s="2">
        <f t="shared" si="197"/>
        <v>0</v>
      </c>
      <c r="H1599" s="2">
        <f>SUM($G$2:G1599)</f>
        <v>11920</v>
      </c>
      <c r="I1599" s="10">
        <f t="shared" si="201"/>
        <v>0</v>
      </c>
      <c r="J1599" s="10">
        <f t="shared" si="198"/>
        <v>0</v>
      </c>
      <c r="K1599" s="3">
        <f t="shared" si="199"/>
        <v>11920</v>
      </c>
      <c r="L1599">
        <f t="shared" si="195"/>
        <v>0</v>
      </c>
      <c r="M1599">
        <f t="shared" si="202"/>
        <v>0</v>
      </c>
    </row>
    <row r="1600" spans="1:13" x14ac:dyDescent="0.25">
      <c r="A1600" s="9">
        <f>Speed!A1600</f>
        <v>0</v>
      </c>
      <c r="B1600" s="9">
        <f t="shared" si="196"/>
        <v>0</v>
      </c>
      <c r="C1600" s="2">
        <f>Speed!B1600</f>
        <v>0</v>
      </c>
      <c r="D1600" s="9">
        <f>Odometer!A1600</f>
        <v>0</v>
      </c>
      <c r="E1600" s="9">
        <f t="shared" si="200"/>
        <v>0</v>
      </c>
      <c r="F1600" s="2">
        <f>Odometer!B1600</f>
        <v>0</v>
      </c>
      <c r="G1600" s="2">
        <f t="shared" si="197"/>
        <v>0</v>
      </c>
      <c r="H1600" s="2">
        <f>SUM($G$2:G1600)</f>
        <v>11920</v>
      </c>
      <c r="I1600" s="10">
        <f t="shared" si="201"/>
        <v>0</v>
      </c>
      <c r="J1600" s="10">
        <f t="shared" si="198"/>
        <v>0</v>
      </c>
      <c r="K1600" s="3">
        <f t="shared" si="199"/>
        <v>11920</v>
      </c>
      <c r="L1600">
        <f t="shared" si="195"/>
        <v>0</v>
      </c>
      <c r="M1600">
        <f t="shared" si="202"/>
        <v>0</v>
      </c>
    </row>
    <row r="1601" spans="1:13" x14ac:dyDescent="0.25">
      <c r="A1601" s="9">
        <f>Speed!A1601</f>
        <v>0</v>
      </c>
      <c r="B1601" s="9">
        <f t="shared" si="196"/>
        <v>0</v>
      </c>
      <c r="C1601" s="2">
        <f>Speed!B1601</f>
        <v>0</v>
      </c>
      <c r="D1601" s="9">
        <f>Odometer!A1601</f>
        <v>0</v>
      </c>
      <c r="E1601" s="9">
        <f t="shared" si="200"/>
        <v>0</v>
      </c>
      <c r="F1601" s="2">
        <f>Odometer!B1601</f>
        <v>0</v>
      </c>
      <c r="G1601" s="2">
        <f t="shared" si="197"/>
        <v>0</v>
      </c>
      <c r="H1601" s="2">
        <f>SUM($G$2:G1601)</f>
        <v>11920</v>
      </c>
      <c r="I1601" s="10">
        <f t="shared" si="201"/>
        <v>0</v>
      </c>
      <c r="J1601" s="10">
        <f t="shared" si="198"/>
        <v>0</v>
      </c>
      <c r="K1601" s="3">
        <f t="shared" si="199"/>
        <v>11920</v>
      </c>
      <c r="L1601">
        <f t="shared" si="195"/>
        <v>0</v>
      </c>
      <c r="M1601">
        <f t="shared" si="202"/>
        <v>0</v>
      </c>
    </row>
    <row r="1602" spans="1:13" x14ac:dyDescent="0.25">
      <c r="A1602" s="9">
        <f>Speed!A1602</f>
        <v>0</v>
      </c>
      <c r="B1602" s="9">
        <f t="shared" si="196"/>
        <v>0</v>
      </c>
      <c r="C1602" s="2">
        <f>Speed!B1602</f>
        <v>0</v>
      </c>
      <c r="D1602" s="9">
        <f>Odometer!A1602</f>
        <v>0</v>
      </c>
      <c r="E1602" s="9">
        <f t="shared" si="200"/>
        <v>0</v>
      </c>
      <c r="F1602" s="2">
        <f>Odometer!B1602</f>
        <v>0</v>
      </c>
      <c r="G1602" s="2">
        <f t="shared" si="197"/>
        <v>0</v>
      </c>
      <c r="H1602" s="2">
        <f>SUM($G$2:G1602)</f>
        <v>11920</v>
      </c>
      <c r="I1602" s="10">
        <f t="shared" si="201"/>
        <v>0</v>
      </c>
      <c r="J1602" s="10">
        <f t="shared" si="198"/>
        <v>0</v>
      </c>
      <c r="K1602" s="3">
        <f t="shared" si="199"/>
        <v>11920</v>
      </c>
      <c r="L1602">
        <f t="shared" ref="L1602:L1665" si="203">INDEX($C$2:$C$2000, MATCH(I1602,$A$2:$A$2000,0))</f>
        <v>0</v>
      </c>
      <c r="M1602">
        <f t="shared" si="202"/>
        <v>0</v>
      </c>
    </row>
    <row r="1603" spans="1:13" x14ac:dyDescent="0.25">
      <c r="A1603" s="9">
        <f>Speed!A1603</f>
        <v>0</v>
      </c>
      <c r="B1603" s="9">
        <f t="shared" ref="B1603:B1666" si="204">MROUND(A1603,"00:00:01")</f>
        <v>0</v>
      </c>
      <c r="C1603" s="2">
        <f>Speed!B1603</f>
        <v>0</v>
      </c>
      <c r="D1603" s="9">
        <f>Odometer!A1603</f>
        <v>0</v>
      </c>
      <c r="E1603" s="9">
        <f t="shared" si="200"/>
        <v>0</v>
      </c>
      <c r="F1603" s="2">
        <f>Odometer!B1603</f>
        <v>0</v>
      </c>
      <c r="G1603" s="2">
        <f t="shared" ref="G1603:G1666" si="205">IF(F1604-F1603&lt;0,0,F1604-F1603)</f>
        <v>0</v>
      </c>
      <c r="H1603" s="2">
        <f>SUM($G$2:G1603)</f>
        <v>11920</v>
      </c>
      <c r="I1603" s="10">
        <f t="shared" si="201"/>
        <v>0</v>
      </c>
      <c r="J1603" s="10">
        <f t="shared" ref="J1603:J1666" si="206">MROUND(I1603,"0:00:01")</f>
        <v>0</v>
      </c>
      <c r="K1603" s="3">
        <f t="shared" si="199"/>
        <v>11920</v>
      </c>
      <c r="L1603">
        <f t="shared" si="203"/>
        <v>0</v>
      </c>
      <c r="M1603">
        <f t="shared" si="202"/>
        <v>0</v>
      </c>
    </row>
    <row r="1604" spans="1:13" x14ac:dyDescent="0.25">
      <c r="A1604" s="9">
        <f>Speed!A1604</f>
        <v>0</v>
      </c>
      <c r="B1604" s="9">
        <f t="shared" si="204"/>
        <v>0</v>
      </c>
      <c r="C1604" s="2">
        <f>Speed!B1604</f>
        <v>0</v>
      </c>
      <c r="D1604" s="9">
        <f>Odometer!A1604</f>
        <v>0</v>
      </c>
      <c r="E1604" s="9">
        <f t="shared" si="200"/>
        <v>0</v>
      </c>
      <c r="F1604" s="2">
        <f>Odometer!B1604</f>
        <v>0</v>
      </c>
      <c r="G1604" s="2">
        <f t="shared" si="205"/>
        <v>0</v>
      </c>
      <c r="H1604" s="2">
        <f>SUM($G$2:G1604)</f>
        <v>11920</v>
      </c>
      <c r="I1604" s="10">
        <f t="shared" si="201"/>
        <v>0</v>
      </c>
      <c r="J1604" s="10">
        <f t="shared" si="206"/>
        <v>0</v>
      </c>
      <c r="K1604" s="3">
        <f t="shared" ref="K1604:K1667" si="207">IFERROR(INDEX($H$2:$H$2000,MATCH(J1604,$E$2:$E$2000,0)),NA())</f>
        <v>11920</v>
      </c>
      <c r="L1604">
        <f t="shared" si="203"/>
        <v>0</v>
      </c>
      <c r="M1604">
        <f t="shared" si="202"/>
        <v>0</v>
      </c>
    </row>
    <row r="1605" spans="1:13" x14ac:dyDescent="0.25">
      <c r="A1605" s="9">
        <f>Speed!A1605</f>
        <v>0</v>
      </c>
      <c r="B1605" s="9">
        <f t="shared" si="204"/>
        <v>0</v>
      </c>
      <c r="C1605" s="2">
        <f>Speed!B1605</f>
        <v>0</v>
      </c>
      <c r="D1605" s="9">
        <f>Odometer!A1605</f>
        <v>45395.87096064815</v>
      </c>
      <c r="E1605" s="9">
        <f t="shared" si="200"/>
        <v>45395.870960648142</v>
      </c>
      <c r="F1605" s="2">
        <f>Odometer!B1605</f>
        <v>0</v>
      </c>
      <c r="G1605" s="2">
        <f t="shared" si="205"/>
        <v>0</v>
      </c>
      <c r="H1605" s="2">
        <f>SUM($G$2:G1605)</f>
        <v>11920</v>
      </c>
      <c r="I1605" s="10">
        <f t="shared" si="201"/>
        <v>0</v>
      </c>
      <c r="J1605" s="10">
        <f t="shared" si="206"/>
        <v>0</v>
      </c>
      <c r="K1605" s="3">
        <f t="shared" si="207"/>
        <v>11920</v>
      </c>
      <c r="L1605">
        <f t="shared" si="203"/>
        <v>0</v>
      </c>
      <c r="M1605">
        <f t="shared" si="202"/>
        <v>0</v>
      </c>
    </row>
    <row r="1606" spans="1:13" x14ac:dyDescent="0.25">
      <c r="A1606" s="9">
        <f>Speed!A1606</f>
        <v>0</v>
      </c>
      <c r="B1606" s="9">
        <f t="shared" si="204"/>
        <v>0</v>
      </c>
      <c r="C1606" s="2">
        <f>Speed!B1606</f>
        <v>0</v>
      </c>
      <c r="D1606" s="9">
        <f>Odometer!A1606</f>
        <v>0</v>
      </c>
      <c r="E1606" s="9">
        <f t="shared" si="200"/>
        <v>0</v>
      </c>
      <c r="F1606" s="2">
        <f>Odometer!B1606</f>
        <v>0</v>
      </c>
      <c r="G1606" s="2">
        <f t="shared" si="205"/>
        <v>0</v>
      </c>
      <c r="H1606" s="2">
        <f>SUM($G$2:G1606)</f>
        <v>11920</v>
      </c>
      <c r="I1606" s="10">
        <f t="shared" si="201"/>
        <v>0</v>
      </c>
      <c r="J1606" s="10">
        <f t="shared" si="206"/>
        <v>0</v>
      </c>
      <c r="K1606" s="3">
        <f t="shared" si="207"/>
        <v>11920</v>
      </c>
      <c r="L1606">
        <f t="shared" si="203"/>
        <v>0</v>
      </c>
      <c r="M1606">
        <f t="shared" si="202"/>
        <v>0</v>
      </c>
    </row>
    <row r="1607" spans="1:13" x14ac:dyDescent="0.25">
      <c r="A1607" s="9">
        <f>Speed!A1607</f>
        <v>0</v>
      </c>
      <c r="B1607" s="9">
        <f t="shared" si="204"/>
        <v>0</v>
      </c>
      <c r="C1607" s="2">
        <f>Speed!B1607</f>
        <v>0</v>
      </c>
      <c r="D1607" s="9">
        <f>Odometer!A1607</f>
        <v>0</v>
      </c>
      <c r="E1607" s="9">
        <f t="shared" si="200"/>
        <v>0</v>
      </c>
      <c r="F1607" s="2">
        <f>Odometer!B1607</f>
        <v>0</v>
      </c>
      <c r="G1607" s="2">
        <f t="shared" si="205"/>
        <v>0</v>
      </c>
      <c r="H1607" s="2">
        <f>SUM($G$2:G1607)</f>
        <v>11920</v>
      </c>
      <c r="I1607" s="10">
        <f t="shared" si="201"/>
        <v>0</v>
      </c>
      <c r="J1607" s="10">
        <f t="shared" si="206"/>
        <v>0</v>
      </c>
      <c r="K1607" s="3">
        <f t="shared" si="207"/>
        <v>11920</v>
      </c>
      <c r="L1607">
        <f t="shared" si="203"/>
        <v>0</v>
      </c>
      <c r="M1607">
        <f t="shared" si="202"/>
        <v>0</v>
      </c>
    </row>
    <row r="1608" spans="1:13" x14ac:dyDescent="0.25">
      <c r="A1608" s="9">
        <f>Speed!A1608</f>
        <v>0</v>
      </c>
      <c r="B1608" s="9">
        <f t="shared" si="204"/>
        <v>0</v>
      </c>
      <c r="C1608" s="2">
        <f>Speed!B1608</f>
        <v>0</v>
      </c>
      <c r="D1608" s="9">
        <f>Odometer!A1608</f>
        <v>0</v>
      </c>
      <c r="E1608" s="9">
        <f t="shared" si="200"/>
        <v>0</v>
      </c>
      <c r="F1608" s="2">
        <f>Odometer!B1608</f>
        <v>0</v>
      </c>
      <c r="G1608" s="2">
        <f t="shared" si="205"/>
        <v>0</v>
      </c>
      <c r="H1608" s="2">
        <f>SUM($G$2:G1608)</f>
        <v>11920</v>
      </c>
      <c r="I1608" s="10">
        <f t="shared" si="201"/>
        <v>0</v>
      </c>
      <c r="J1608" s="10">
        <f t="shared" si="206"/>
        <v>0</v>
      </c>
      <c r="K1608" s="3">
        <f t="shared" si="207"/>
        <v>11920</v>
      </c>
      <c r="L1608">
        <f t="shared" si="203"/>
        <v>0</v>
      </c>
      <c r="M1608">
        <f t="shared" si="202"/>
        <v>0</v>
      </c>
    </row>
    <row r="1609" spans="1:13" x14ac:dyDescent="0.25">
      <c r="A1609" s="9">
        <f>Speed!A1609</f>
        <v>0</v>
      </c>
      <c r="B1609" s="9">
        <f t="shared" si="204"/>
        <v>0</v>
      </c>
      <c r="C1609" s="2">
        <f>Speed!B1609</f>
        <v>0</v>
      </c>
      <c r="D1609" s="9">
        <f>Odometer!A1609</f>
        <v>0</v>
      </c>
      <c r="E1609" s="9">
        <f t="shared" si="200"/>
        <v>0</v>
      </c>
      <c r="F1609" s="2">
        <f>Odometer!B1609</f>
        <v>0</v>
      </c>
      <c r="G1609" s="2">
        <f t="shared" si="205"/>
        <v>0</v>
      </c>
      <c r="H1609" s="2">
        <f>SUM($G$2:G1609)</f>
        <v>11920</v>
      </c>
      <c r="I1609" s="10">
        <f t="shared" si="201"/>
        <v>0</v>
      </c>
      <c r="J1609" s="10">
        <f t="shared" si="206"/>
        <v>0</v>
      </c>
      <c r="K1609" s="3">
        <f t="shared" si="207"/>
        <v>11920</v>
      </c>
      <c r="L1609">
        <f t="shared" si="203"/>
        <v>0</v>
      </c>
      <c r="M1609">
        <f t="shared" si="202"/>
        <v>0</v>
      </c>
    </row>
    <row r="1610" spans="1:13" x14ac:dyDescent="0.25">
      <c r="A1610" s="9">
        <f>Speed!A1610</f>
        <v>0</v>
      </c>
      <c r="B1610" s="9">
        <f t="shared" si="204"/>
        <v>0</v>
      </c>
      <c r="C1610" s="2">
        <f>Speed!B1610</f>
        <v>0</v>
      </c>
      <c r="D1610" s="9">
        <f>Odometer!A1610</f>
        <v>0</v>
      </c>
      <c r="E1610" s="9">
        <f t="shared" si="200"/>
        <v>0</v>
      </c>
      <c r="F1610" s="2">
        <f>Odometer!B1610</f>
        <v>0</v>
      </c>
      <c r="G1610" s="2">
        <f t="shared" si="205"/>
        <v>0</v>
      </c>
      <c r="H1610" s="2">
        <f>SUM($G$2:G1610)</f>
        <v>11920</v>
      </c>
      <c r="I1610" s="10">
        <f t="shared" si="201"/>
        <v>0</v>
      </c>
      <c r="J1610" s="10">
        <f t="shared" si="206"/>
        <v>0</v>
      </c>
      <c r="K1610" s="3">
        <f t="shared" si="207"/>
        <v>11920</v>
      </c>
      <c r="L1610">
        <f t="shared" si="203"/>
        <v>0</v>
      </c>
      <c r="M1610">
        <f t="shared" si="202"/>
        <v>0</v>
      </c>
    </row>
    <row r="1611" spans="1:13" x14ac:dyDescent="0.25">
      <c r="A1611" s="9">
        <f>Speed!A1611</f>
        <v>0</v>
      </c>
      <c r="B1611" s="9">
        <f t="shared" si="204"/>
        <v>0</v>
      </c>
      <c r="C1611" s="2">
        <f>Speed!B1611</f>
        <v>0</v>
      </c>
      <c r="D1611" s="9">
        <f>Odometer!A1611</f>
        <v>0</v>
      </c>
      <c r="E1611" s="9">
        <f t="shared" si="200"/>
        <v>0</v>
      </c>
      <c r="F1611" s="2">
        <f>Odometer!B1611</f>
        <v>0</v>
      </c>
      <c r="G1611" s="2">
        <f t="shared" si="205"/>
        <v>0</v>
      </c>
      <c r="H1611" s="2">
        <f>SUM($G$2:G1611)</f>
        <v>11920</v>
      </c>
      <c r="I1611" s="10">
        <f t="shared" si="201"/>
        <v>0</v>
      </c>
      <c r="J1611" s="10">
        <f t="shared" si="206"/>
        <v>0</v>
      </c>
      <c r="K1611" s="3">
        <f t="shared" si="207"/>
        <v>11920</v>
      </c>
      <c r="L1611">
        <f t="shared" si="203"/>
        <v>0</v>
      </c>
      <c r="M1611">
        <f t="shared" si="202"/>
        <v>0</v>
      </c>
    </row>
    <row r="1612" spans="1:13" x14ac:dyDescent="0.25">
      <c r="A1612" s="9">
        <f>Speed!A1612</f>
        <v>0</v>
      </c>
      <c r="B1612" s="9">
        <f t="shared" si="204"/>
        <v>0</v>
      </c>
      <c r="C1612" s="2">
        <f>Speed!B1612</f>
        <v>0</v>
      </c>
      <c r="D1612" s="9">
        <f>Odometer!A1612</f>
        <v>0</v>
      </c>
      <c r="E1612" s="9">
        <f t="shared" si="200"/>
        <v>0</v>
      </c>
      <c r="F1612" s="2">
        <f>Odometer!B1612</f>
        <v>0</v>
      </c>
      <c r="G1612" s="2">
        <f t="shared" si="205"/>
        <v>0</v>
      </c>
      <c r="H1612" s="2">
        <f>SUM($G$2:G1612)</f>
        <v>11920</v>
      </c>
      <c r="I1612" s="10">
        <f t="shared" si="201"/>
        <v>0</v>
      </c>
      <c r="J1612" s="10">
        <f t="shared" si="206"/>
        <v>0</v>
      </c>
      <c r="K1612" s="3">
        <f t="shared" si="207"/>
        <v>11920</v>
      </c>
      <c r="L1612">
        <f t="shared" si="203"/>
        <v>0</v>
      </c>
      <c r="M1612">
        <f t="shared" si="202"/>
        <v>0</v>
      </c>
    </row>
    <row r="1613" spans="1:13" x14ac:dyDescent="0.25">
      <c r="A1613" s="9">
        <f>Speed!A1613</f>
        <v>0</v>
      </c>
      <c r="B1613" s="9">
        <f t="shared" si="204"/>
        <v>0</v>
      </c>
      <c r="C1613" s="2">
        <f>Speed!B1613</f>
        <v>0</v>
      </c>
      <c r="D1613" s="9">
        <f>Odometer!A1613</f>
        <v>0</v>
      </c>
      <c r="E1613" s="9">
        <f t="shared" si="200"/>
        <v>0</v>
      </c>
      <c r="F1613" s="2">
        <f>Odometer!B1613</f>
        <v>0</v>
      </c>
      <c r="G1613" s="2">
        <f t="shared" si="205"/>
        <v>0</v>
      </c>
      <c r="H1613" s="2">
        <f>SUM($G$2:G1613)</f>
        <v>11920</v>
      </c>
      <c r="I1613" s="10">
        <f t="shared" si="201"/>
        <v>0</v>
      </c>
      <c r="J1613" s="10">
        <f t="shared" si="206"/>
        <v>0</v>
      </c>
      <c r="K1613" s="3">
        <f t="shared" si="207"/>
        <v>11920</v>
      </c>
      <c r="L1613">
        <f t="shared" si="203"/>
        <v>0</v>
      </c>
      <c r="M1613">
        <f t="shared" si="202"/>
        <v>0</v>
      </c>
    </row>
    <row r="1614" spans="1:13" x14ac:dyDescent="0.25">
      <c r="A1614" s="9">
        <f>Speed!A1614</f>
        <v>0</v>
      </c>
      <c r="B1614" s="9">
        <f t="shared" si="204"/>
        <v>0</v>
      </c>
      <c r="C1614" s="2">
        <f>Speed!B1614</f>
        <v>0</v>
      </c>
      <c r="D1614" s="9">
        <f>Odometer!A1614</f>
        <v>0</v>
      </c>
      <c r="E1614" s="9">
        <f t="shared" si="200"/>
        <v>0</v>
      </c>
      <c r="F1614" s="2">
        <f>Odometer!B1614</f>
        <v>0</v>
      </c>
      <c r="G1614" s="2">
        <f t="shared" si="205"/>
        <v>0</v>
      </c>
      <c r="H1614" s="2">
        <f>SUM($G$2:G1614)</f>
        <v>11920</v>
      </c>
      <c r="I1614" s="10">
        <f t="shared" si="201"/>
        <v>0</v>
      </c>
      <c r="J1614" s="10">
        <f t="shared" si="206"/>
        <v>0</v>
      </c>
      <c r="K1614" s="3">
        <f t="shared" si="207"/>
        <v>11920</v>
      </c>
      <c r="L1614">
        <f t="shared" si="203"/>
        <v>0</v>
      </c>
      <c r="M1614">
        <f t="shared" si="202"/>
        <v>0</v>
      </c>
    </row>
    <row r="1615" spans="1:13" x14ac:dyDescent="0.25">
      <c r="A1615" s="9">
        <f>Speed!A1615</f>
        <v>0</v>
      </c>
      <c r="B1615" s="9">
        <f t="shared" si="204"/>
        <v>0</v>
      </c>
      <c r="C1615" s="2">
        <f>Speed!B1615</f>
        <v>0</v>
      </c>
      <c r="D1615" s="9">
        <f>Odometer!A1615</f>
        <v>0</v>
      </c>
      <c r="E1615" s="9">
        <f t="shared" si="200"/>
        <v>0</v>
      </c>
      <c r="F1615" s="2">
        <f>Odometer!B1615</f>
        <v>0</v>
      </c>
      <c r="G1615" s="2">
        <f t="shared" si="205"/>
        <v>0</v>
      </c>
      <c r="H1615" s="2">
        <f>SUM($G$2:G1615)</f>
        <v>11920</v>
      </c>
      <c r="I1615" s="10">
        <f t="shared" si="201"/>
        <v>0</v>
      </c>
      <c r="J1615" s="10">
        <f t="shared" si="206"/>
        <v>0</v>
      </c>
      <c r="K1615" s="3">
        <f t="shared" si="207"/>
        <v>11920</v>
      </c>
      <c r="L1615">
        <f t="shared" si="203"/>
        <v>0</v>
      </c>
      <c r="M1615">
        <f t="shared" si="202"/>
        <v>0</v>
      </c>
    </row>
    <row r="1616" spans="1:13" x14ac:dyDescent="0.25">
      <c r="A1616" s="9">
        <f>Speed!A1616</f>
        <v>0</v>
      </c>
      <c r="B1616" s="9">
        <f t="shared" si="204"/>
        <v>0</v>
      </c>
      <c r="C1616" s="2">
        <f>Speed!B1616</f>
        <v>0</v>
      </c>
      <c r="D1616" s="9">
        <f>Odometer!A1616</f>
        <v>0</v>
      </c>
      <c r="E1616" s="9">
        <f t="shared" si="200"/>
        <v>0</v>
      </c>
      <c r="F1616" s="2">
        <f>Odometer!B1616</f>
        <v>0</v>
      </c>
      <c r="G1616" s="2">
        <f t="shared" si="205"/>
        <v>0</v>
      </c>
      <c r="H1616" s="2">
        <f>SUM($G$2:G1616)</f>
        <v>11920</v>
      </c>
      <c r="I1616" s="10">
        <f t="shared" si="201"/>
        <v>0</v>
      </c>
      <c r="J1616" s="10">
        <f t="shared" si="206"/>
        <v>0</v>
      </c>
      <c r="K1616" s="3">
        <f t="shared" si="207"/>
        <v>11920</v>
      </c>
      <c r="L1616">
        <f t="shared" si="203"/>
        <v>0</v>
      </c>
      <c r="M1616">
        <f t="shared" si="202"/>
        <v>0</v>
      </c>
    </row>
    <row r="1617" spans="1:13" x14ac:dyDescent="0.25">
      <c r="A1617" s="9">
        <f>Speed!A1617</f>
        <v>0</v>
      </c>
      <c r="B1617" s="9">
        <f t="shared" si="204"/>
        <v>0</v>
      </c>
      <c r="C1617" s="2">
        <f>Speed!B1617</f>
        <v>0</v>
      </c>
      <c r="D1617" s="9">
        <f>Odometer!A1617</f>
        <v>0</v>
      </c>
      <c r="E1617" s="9">
        <f t="shared" si="200"/>
        <v>0</v>
      </c>
      <c r="F1617" s="2">
        <f>Odometer!B1617</f>
        <v>0</v>
      </c>
      <c r="G1617" s="2">
        <f t="shared" si="205"/>
        <v>0</v>
      </c>
      <c r="H1617" s="2">
        <f>SUM($G$2:G1617)</f>
        <v>11920</v>
      </c>
      <c r="I1617" s="10">
        <f t="shared" si="201"/>
        <v>0</v>
      </c>
      <c r="J1617" s="10">
        <f t="shared" si="206"/>
        <v>0</v>
      </c>
      <c r="K1617" s="3">
        <f t="shared" si="207"/>
        <v>11920</v>
      </c>
      <c r="L1617">
        <f t="shared" si="203"/>
        <v>0</v>
      </c>
      <c r="M1617">
        <f t="shared" si="202"/>
        <v>0</v>
      </c>
    </row>
    <row r="1618" spans="1:13" x14ac:dyDescent="0.25">
      <c r="A1618" s="9">
        <f>Speed!A1618</f>
        <v>0</v>
      </c>
      <c r="B1618" s="9">
        <f t="shared" si="204"/>
        <v>0</v>
      </c>
      <c r="C1618" s="2">
        <f>Speed!B1618</f>
        <v>0</v>
      </c>
      <c r="D1618" s="9">
        <f>Odometer!A1618</f>
        <v>0</v>
      </c>
      <c r="E1618" s="9">
        <f t="shared" si="200"/>
        <v>0</v>
      </c>
      <c r="F1618" s="2">
        <f>Odometer!B1618</f>
        <v>0</v>
      </c>
      <c r="G1618" s="2">
        <f t="shared" si="205"/>
        <v>0</v>
      </c>
      <c r="H1618" s="2">
        <f>SUM($G$2:G1618)</f>
        <v>11920</v>
      </c>
      <c r="I1618" s="10">
        <f t="shared" si="201"/>
        <v>0</v>
      </c>
      <c r="J1618" s="10">
        <f t="shared" si="206"/>
        <v>0</v>
      </c>
      <c r="K1618" s="3">
        <f t="shared" si="207"/>
        <v>11920</v>
      </c>
      <c r="L1618">
        <f t="shared" si="203"/>
        <v>0</v>
      </c>
      <c r="M1618">
        <f t="shared" si="202"/>
        <v>0</v>
      </c>
    </row>
    <row r="1619" spans="1:13" x14ac:dyDescent="0.25">
      <c r="A1619" s="9">
        <f>Speed!A1619</f>
        <v>0</v>
      </c>
      <c r="B1619" s="9">
        <f t="shared" si="204"/>
        <v>0</v>
      </c>
      <c r="C1619" s="2">
        <f>Speed!B1619</f>
        <v>0</v>
      </c>
      <c r="D1619" s="9">
        <f>Odometer!A1619</f>
        <v>0</v>
      </c>
      <c r="E1619" s="9">
        <f t="shared" si="200"/>
        <v>0</v>
      </c>
      <c r="F1619" s="2">
        <f>Odometer!B1619</f>
        <v>0</v>
      </c>
      <c r="G1619" s="2">
        <f t="shared" si="205"/>
        <v>0</v>
      </c>
      <c r="H1619" s="2">
        <f>SUM($G$2:G1619)</f>
        <v>11920</v>
      </c>
      <c r="I1619" s="10">
        <f t="shared" si="201"/>
        <v>0</v>
      </c>
      <c r="J1619" s="10">
        <f t="shared" si="206"/>
        <v>0</v>
      </c>
      <c r="K1619" s="3">
        <f t="shared" si="207"/>
        <v>11920</v>
      </c>
      <c r="L1619">
        <f t="shared" si="203"/>
        <v>0</v>
      </c>
      <c r="M1619">
        <f t="shared" si="202"/>
        <v>0</v>
      </c>
    </row>
    <row r="1620" spans="1:13" x14ac:dyDescent="0.25">
      <c r="A1620" s="9">
        <f>Speed!A1620</f>
        <v>0</v>
      </c>
      <c r="B1620" s="9">
        <f t="shared" si="204"/>
        <v>0</v>
      </c>
      <c r="C1620" s="2">
        <f>Speed!B1620</f>
        <v>0</v>
      </c>
      <c r="D1620" s="9">
        <f>Odometer!A1620</f>
        <v>0</v>
      </c>
      <c r="E1620" s="9">
        <f t="shared" si="200"/>
        <v>0</v>
      </c>
      <c r="F1620" s="2">
        <f>Odometer!B1620</f>
        <v>0</v>
      </c>
      <c r="G1620" s="2">
        <f t="shared" si="205"/>
        <v>0</v>
      </c>
      <c r="H1620" s="2">
        <f>SUM($G$2:G1620)</f>
        <v>11920</v>
      </c>
      <c r="I1620" s="10">
        <f t="shared" si="201"/>
        <v>0</v>
      </c>
      <c r="J1620" s="10">
        <f t="shared" si="206"/>
        <v>0</v>
      </c>
      <c r="K1620" s="3">
        <f t="shared" si="207"/>
        <v>11920</v>
      </c>
      <c r="L1620">
        <f t="shared" si="203"/>
        <v>0</v>
      </c>
      <c r="M1620">
        <f t="shared" si="202"/>
        <v>0</v>
      </c>
    </row>
    <row r="1621" spans="1:13" x14ac:dyDescent="0.25">
      <c r="A1621" s="9">
        <f>Speed!A1621</f>
        <v>0</v>
      </c>
      <c r="B1621" s="9">
        <f t="shared" si="204"/>
        <v>0</v>
      </c>
      <c r="C1621" s="2">
        <f>Speed!B1621</f>
        <v>0</v>
      </c>
      <c r="D1621" s="9">
        <f>Odometer!A1621</f>
        <v>0</v>
      </c>
      <c r="E1621" s="9">
        <f t="shared" si="200"/>
        <v>0</v>
      </c>
      <c r="F1621" s="2">
        <f>Odometer!B1621</f>
        <v>0</v>
      </c>
      <c r="G1621" s="2">
        <f t="shared" si="205"/>
        <v>0</v>
      </c>
      <c r="H1621" s="2">
        <f>SUM($G$2:G1621)</f>
        <v>11920</v>
      </c>
      <c r="I1621" s="10">
        <f t="shared" si="201"/>
        <v>0</v>
      </c>
      <c r="J1621" s="10">
        <f t="shared" si="206"/>
        <v>0</v>
      </c>
      <c r="K1621" s="3">
        <f t="shared" si="207"/>
        <v>11920</v>
      </c>
      <c r="L1621">
        <f t="shared" si="203"/>
        <v>0</v>
      </c>
      <c r="M1621">
        <f t="shared" si="202"/>
        <v>0</v>
      </c>
    </row>
    <row r="1622" spans="1:13" x14ac:dyDescent="0.25">
      <c r="A1622" s="9">
        <f>Speed!A1622</f>
        <v>0</v>
      </c>
      <c r="B1622" s="9">
        <f t="shared" si="204"/>
        <v>0</v>
      </c>
      <c r="C1622" s="2">
        <f>Speed!B1622</f>
        <v>0</v>
      </c>
      <c r="D1622" s="9">
        <f>Odometer!A1622</f>
        <v>0</v>
      </c>
      <c r="E1622" s="9">
        <f t="shared" si="200"/>
        <v>0</v>
      </c>
      <c r="F1622" s="2">
        <f>Odometer!B1622</f>
        <v>0</v>
      </c>
      <c r="G1622" s="2">
        <f t="shared" si="205"/>
        <v>0</v>
      </c>
      <c r="H1622" s="2">
        <f>SUM($G$2:G1622)</f>
        <v>11920</v>
      </c>
      <c r="I1622" s="10">
        <f t="shared" si="201"/>
        <v>0</v>
      </c>
      <c r="J1622" s="10">
        <f t="shared" si="206"/>
        <v>0</v>
      </c>
      <c r="K1622" s="3">
        <f t="shared" si="207"/>
        <v>11920</v>
      </c>
      <c r="L1622">
        <f t="shared" si="203"/>
        <v>0</v>
      </c>
      <c r="M1622">
        <f t="shared" si="202"/>
        <v>0</v>
      </c>
    </row>
    <row r="1623" spans="1:13" x14ac:dyDescent="0.25">
      <c r="A1623" s="9">
        <f>Speed!A1623</f>
        <v>0</v>
      </c>
      <c r="B1623" s="9">
        <f t="shared" si="204"/>
        <v>0</v>
      </c>
      <c r="C1623" s="2">
        <f>Speed!B1623</f>
        <v>0</v>
      </c>
      <c r="D1623" s="9">
        <f>Odometer!A1623</f>
        <v>0</v>
      </c>
      <c r="E1623" s="9">
        <f t="shared" si="200"/>
        <v>0</v>
      </c>
      <c r="F1623" s="2">
        <f>Odometer!B1623</f>
        <v>0</v>
      </c>
      <c r="G1623" s="2">
        <f t="shared" si="205"/>
        <v>0</v>
      </c>
      <c r="H1623" s="2">
        <f>SUM($G$2:G1623)</f>
        <v>11920</v>
      </c>
      <c r="I1623" s="10">
        <f t="shared" si="201"/>
        <v>0</v>
      </c>
      <c r="J1623" s="10">
        <f t="shared" si="206"/>
        <v>0</v>
      </c>
      <c r="K1623" s="3">
        <f t="shared" si="207"/>
        <v>11920</v>
      </c>
      <c r="L1623">
        <f t="shared" si="203"/>
        <v>0</v>
      </c>
      <c r="M1623">
        <f t="shared" si="202"/>
        <v>0</v>
      </c>
    </row>
    <row r="1624" spans="1:13" x14ac:dyDescent="0.25">
      <c r="A1624" s="9">
        <f>Speed!A1624</f>
        <v>0</v>
      </c>
      <c r="B1624" s="9">
        <f t="shared" si="204"/>
        <v>0</v>
      </c>
      <c r="C1624" s="2">
        <f>Speed!B1624</f>
        <v>0</v>
      </c>
      <c r="D1624" s="9">
        <f>Odometer!A1624</f>
        <v>0</v>
      </c>
      <c r="E1624" s="9">
        <f t="shared" si="200"/>
        <v>0</v>
      </c>
      <c r="F1624" s="2">
        <f>Odometer!B1624</f>
        <v>0</v>
      </c>
      <c r="G1624" s="2">
        <f t="shared" si="205"/>
        <v>0</v>
      </c>
      <c r="H1624" s="2">
        <f>SUM($G$2:G1624)</f>
        <v>11920</v>
      </c>
      <c r="I1624" s="10">
        <f t="shared" si="201"/>
        <v>0</v>
      </c>
      <c r="J1624" s="10">
        <f t="shared" si="206"/>
        <v>0</v>
      </c>
      <c r="K1624" s="3">
        <f t="shared" si="207"/>
        <v>11920</v>
      </c>
      <c r="L1624">
        <f t="shared" si="203"/>
        <v>0</v>
      </c>
      <c r="M1624">
        <f t="shared" si="202"/>
        <v>0</v>
      </c>
    </row>
    <row r="1625" spans="1:13" x14ac:dyDescent="0.25">
      <c r="A1625" s="9">
        <f>Speed!A1625</f>
        <v>0</v>
      </c>
      <c r="B1625" s="9">
        <f t="shared" si="204"/>
        <v>0</v>
      </c>
      <c r="C1625" s="2">
        <f>Speed!B1625</f>
        <v>0</v>
      </c>
      <c r="D1625" s="9">
        <f>Odometer!A1625</f>
        <v>0</v>
      </c>
      <c r="E1625" s="9">
        <f t="shared" si="200"/>
        <v>0</v>
      </c>
      <c r="F1625" s="2">
        <f>Odometer!B1625</f>
        <v>0</v>
      </c>
      <c r="G1625" s="2">
        <f t="shared" si="205"/>
        <v>0</v>
      </c>
      <c r="H1625" s="2">
        <f>SUM($G$2:G1625)</f>
        <v>11920</v>
      </c>
      <c r="I1625" s="10">
        <f t="shared" si="201"/>
        <v>0</v>
      </c>
      <c r="J1625" s="10">
        <f t="shared" si="206"/>
        <v>0</v>
      </c>
      <c r="K1625" s="3">
        <f t="shared" si="207"/>
        <v>11920</v>
      </c>
      <c r="L1625">
        <f t="shared" si="203"/>
        <v>0</v>
      </c>
      <c r="M1625">
        <f t="shared" si="202"/>
        <v>0</v>
      </c>
    </row>
    <row r="1626" spans="1:13" x14ac:dyDescent="0.25">
      <c r="A1626" s="9">
        <f>Speed!A1626</f>
        <v>0</v>
      </c>
      <c r="B1626" s="9">
        <f t="shared" si="204"/>
        <v>0</v>
      </c>
      <c r="C1626" s="2">
        <f>Speed!B1626</f>
        <v>0</v>
      </c>
      <c r="D1626" s="9">
        <f>Odometer!A1626</f>
        <v>0</v>
      </c>
      <c r="E1626" s="9">
        <f t="shared" si="200"/>
        <v>0</v>
      </c>
      <c r="F1626" s="2">
        <f>Odometer!B1626</f>
        <v>0</v>
      </c>
      <c r="G1626" s="2">
        <f t="shared" si="205"/>
        <v>0</v>
      </c>
      <c r="H1626" s="2">
        <f>SUM($G$2:G1626)</f>
        <v>11920</v>
      </c>
      <c r="I1626" s="10">
        <f t="shared" si="201"/>
        <v>0</v>
      </c>
      <c r="J1626" s="10">
        <f t="shared" si="206"/>
        <v>0</v>
      </c>
      <c r="K1626" s="3">
        <f t="shared" si="207"/>
        <v>11920</v>
      </c>
      <c r="L1626">
        <f t="shared" si="203"/>
        <v>0</v>
      </c>
      <c r="M1626">
        <f t="shared" si="202"/>
        <v>0</v>
      </c>
    </row>
    <row r="1627" spans="1:13" x14ac:dyDescent="0.25">
      <c r="A1627" s="9">
        <f>Speed!A1627</f>
        <v>0</v>
      </c>
      <c r="B1627" s="9">
        <f t="shared" si="204"/>
        <v>0</v>
      </c>
      <c r="C1627" s="2">
        <f>Speed!B1627</f>
        <v>0</v>
      </c>
      <c r="D1627" s="9">
        <f>Odometer!A1627</f>
        <v>0</v>
      </c>
      <c r="E1627" s="9">
        <f t="shared" si="200"/>
        <v>0</v>
      </c>
      <c r="F1627" s="2">
        <f>Odometer!B1627</f>
        <v>0</v>
      </c>
      <c r="G1627" s="2">
        <f t="shared" si="205"/>
        <v>0</v>
      </c>
      <c r="H1627" s="2">
        <f>SUM($G$2:G1627)</f>
        <v>11920</v>
      </c>
      <c r="I1627" s="10">
        <f t="shared" si="201"/>
        <v>0</v>
      </c>
      <c r="J1627" s="10">
        <f t="shared" si="206"/>
        <v>0</v>
      </c>
      <c r="K1627" s="3">
        <f t="shared" si="207"/>
        <v>11920</v>
      </c>
      <c r="L1627">
        <f t="shared" si="203"/>
        <v>0</v>
      </c>
      <c r="M1627">
        <f t="shared" si="202"/>
        <v>0</v>
      </c>
    </row>
    <row r="1628" spans="1:13" x14ac:dyDescent="0.25">
      <c r="A1628" s="9">
        <f>Speed!A1628</f>
        <v>0</v>
      </c>
      <c r="B1628" s="9">
        <f t="shared" si="204"/>
        <v>0</v>
      </c>
      <c r="C1628" s="2">
        <f>Speed!B1628</f>
        <v>0</v>
      </c>
      <c r="D1628" s="9">
        <f>Odometer!A1628</f>
        <v>0</v>
      </c>
      <c r="E1628" s="9">
        <f t="shared" si="200"/>
        <v>0</v>
      </c>
      <c r="F1628" s="2">
        <f>Odometer!B1628</f>
        <v>0</v>
      </c>
      <c r="G1628" s="2">
        <f t="shared" si="205"/>
        <v>0</v>
      </c>
      <c r="H1628" s="2">
        <f>SUM($G$2:G1628)</f>
        <v>11920</v>
      </c>
      <c r="I1628" s="10">
        <f t="shared" si="201"/>
        <v>0</v>
      </c>
      <c r="J1628" s="10">
        <f t="shared" si="206"/>
        <v>0</v>
      </c>
      <c r="K1628" s="3">
        <f t="shared" si="207"/>
        <v>11920</v>
      </c>
      <c r="L1628">
        <f t="shared" si="203"/>
        <v>0</v>
      </c>
      <c r="M1628">
        <f t="shared" si="202"/>
        <v>0</v>
      </c>
    </row>
    <row r="1629" spans="1:13" x14ac:dyDescent="0.25">
      <c r="A1629" s="9">
        <f>Speed!A1629</f>
        <v>0</v>
      </c>
      <c r="B1629" s="9">
        <f t="shared" si="204"/>
        <v>0</v>
      </c>
      <c r="C1629" s="2">
        <f>Speed!B1629</f>
        <v>0</v>
      </c>
      <c r="D1629" s="9">
        <f>Odometer!A1629</f>
        <v>0</v>
      </c>
      <c r="E1629" s="9">
        <f t="shared" ref="E1629:E1692" si="208">MROUND(D1629,"00:00:01")</f>
        <v>0</v>
      </c>
      <c r="F1629" s="2">
        <f>Odometer!B1629</f>
        <v>0</v>
      </c>
      <c r="G1629" s="2">
        <f t="shared" si="205"/>
        <v>0</v>
      </c>
      <c r="H1629" s="2">
        <f>SUM($G$2:G1629)</f>
        <v>11920</v>
      </c>
      <c r="I1629" s="10">
        <f t="shared" ref="I1629:I1692" si="209">A1629</f>
        <v>0</v>
      </c>
      <c r="J1629" s="10">
        <f t="shared" si="206"/>
        <v>0</v>
      </c>
      <c r="K1629" s="3">
        <f t="shared" si="207"/>
        <v>11920</v>
      </c>
      <c r="L1629">
        <f t="shared" si="203"/>
        <v>0</v>
      </c>
      <c r="M1629">
        <f t="shared" ref="M1629:M1692" si="210">L1629*3.6</f>
        <v>0</v>
      </c>
    </row>
    <row r="1630" spans="1:13" x14ac:dyDescent="0.25">
      <c r="A1630" s="9">
        <f>Speed!A1630</f>
        <v>0</v>
      </c>
      <c r="B1630" s="9">
        <f t="shared" si="204"/>
        <v>0</v>
      </c>
      <c r="C1630" s="2">
        <f>Speed!B1630</f>
        <v>0</v>
      </c>
      <c r="D1630" s="9">
        <f>Odometer!A1630</f>
        <v>0</v>
      </c>
      <c r="E1630" s="9">
        <f t="shared" si="208"/>
        <v>0</v>
      </c>
      <c r="F1630" s="2">
        <f>Odometer!B1630</f>
        <v>0</v>
      </c>
      <c r="G1630" s="2">
        <f t="shared" si="205"/>
        <v>0</v>
      </c>
      <c r="H1630" s="2">
        <f>SUM($G$2:G1630)</f>
        <v>11920</v>
      </c>
      <c r="I1630" s="10">
        <f t="shared" si="209"/>
        <v>0</v>
      </c>
      <c r="J1630" s="10">
        <f t="shared" si="206"/>
        <v>0</v>
      </c>
      <c r="K1630" s="3">
        <f t="shared" si="207"/>
        <v>11920</v>
      </c>
      <c r="L1630">
        <f t="shared" si="203"/>
        <v>0</v>
      </c>
      <c r="M1630">
        <f t="shared" si="210"/>
        <v>0</v>
      </c>
    </row>
    <row r="1631" spans="1:13" x14ac:dyDescent="0.25">
      <c r="A1631" s="9">
        <f>Speed!A1631</f>
        <v>0</v>
      </c>
      <c r="B1631" s="9">
        <f t="shared" si="204"/>
        <v>0</v>
      </c>
      <c r="C1631" s="2">
        <f>Speed!B1631</f>
        <v>0</v>
      </c>
      <c r="D1631" s="9">
        <f>Odometer!A1631</f>
        <v>0</v>
      </c>
      <c r="E1631" s="9">
        <f t="shared" si="208"/>
        <v>0</v>
      </c>
      <c r="F1631" s="2">
        <f>Odometer!B1631</f>
        <v>0</v>
      </c>
      <c r="G1631" s="2">
        <f t="shared" si="205"/>
        <v>0</v>
      </c>
      <c r="H1631" s="2">
        <f>SUM($G$2:G1631)</f>
        <v>11920</v>
      </c>
      <c r="I1631" s="10">
        <f t="shared" si="209"/>
        <v>0</v>
      </c>
      <c r="J1631" s="10">
        <f t="shared" si="206"/>
        <v>0</v>
      </c>
      <c r="K1631" s="3">
        <f t="shared" si="207"/>
        <v>11920</v>
      </c>
      <c r="L1631">
        <f t="shared" si="203"/>
        <v>0</v>
      </c>
      <c r="M1631">
        <f t="shared" si="210"/>
        <v>0</v>
      </c>
    </row>
    <row r="1632" spans="1:13" x14ac:dyDescent="0.25">
      <c r="A1632" s="9">
        <f>Speed!A1632</f>
        <v>0</v>
      </c>
      <c r="B1632" s="9">
        <f t="shared" si="204"/>
        <v>0</v>
      </c>
      <c r="C1632" s="2">
        <f>Speed!B1632</f>
        <v>0</v>
      </c>
      <c r="D1632" s="9">
        <f>Odometer!A1632</f>
        <v>0</v>
      </c>
      <c r="E1632" s="9">
        <f t="shared" si="208"/>
        <v>0</v>
      </c>
      <c r="F1632" s="2">
        <f>Odometer!B1632</f>
        <v>0</v>
      </c>
      <c r="G1632" s="2">
        <f t="shared" si="205"/>
        <v>0</v>
      </c>
      <c r="H1632" s="2">
        <f>SUM($G$2:G1632)</f>
        <v>11920</v>
      </c>
      <c r="I1632" s="10">
        <f t="shared" si="209"/>
        <v>0</v>
      </c>
      <c r="J1632" s="10">
        <f t="shared" si="206"/>
        <v>0</v>
      </c>
      <c r="K1632" s="3">
        <f t="shared" si="207"/>
        <v>11920</v>
      </c>
      <c r="L1632">
        <f t="shared" si="203"/>
        <v>0</v>
      </c>
      <c r="M1632">
        <f t="shared" si="210"/>
        <v>0</v>
      </c>
    </row>
    <row r="1633" spans="1:13" x14ac:dyDescent="0.25">
      <c r="A1633" s="9">
        <f>Speed!A1633</f>
        <v>0</v>
      </c>
      <c r="B1633" s="9">
        <f t="shared" si="204"/>
        <v>0</v>
      </c>
      <c r="C1633" s="2">
        <f>Speed!B1633</f>
        <v>0</v>
      </c>
      <c r="D1633" s="9">
        <f>Odometer!A1633</f>
        <v>0</v>
      </c>
      <c r="E1633" s="9">
        <f t="shared" si="208"/>
        <v>0</v>
      </c>
      <c r="F1633" s="2">
        <f>Odometer!B1633</f>
        <v>0</v>
      </c>
      <c r="G1633" s="2">
        <f t="shared" si="205"/>
        <v>0</v>
      </c>
      <c r="H1633" s="2">
        <f>SUM($G$2:G1633)</f>
        <v>11920</v>
      </c>
      <c r="I1633" s="10">
        <f t="shared" si="209"/>
        <v>0</v>
      </c>
      <c r="J1633" s="10">
        <f t="shared" si="206"/>
        <v>0</v>
      </c>
      <c r="K1633" s="3">
        <f t="shared" si="207"/>
        <v>11920</v>
      </c>
      <c r="L1633">
        <f t="shared" si="203"/>
        <v>0</v>
      </c>
      <c r="M1633">
        <f t="shared" si="210"/>
        <v>0</v>
      </c>
    </row>
    <row r="1634" spans="1:13" x14ac:dyDescent="0.25">
      <c r="A1634" s="9">
        <f>Speed!A1634</f>
        <v>0</v>
      </c>
      <c r="B1634" s="9">
        <f t="shared" si="204"/>
        <v>0</v>
      </c>
      <c r="C1634" s="2">
        <f>Speed!B1634</f>
        <v>0</v>
      </c>
      <c r="D1634" s="9">
        <f>Odometer!A1634</f>
        <v>0</v>
      </c>
      <c r="E1634" s="9">
        <f t="shared" si="208"/>
        <v>0</v>
      </c>
      <c r="F1634" s="2">
        <f>Odometer!B1634</f>
        <v>0</v>
      </c>
      <c r="G1634" s="2">
        <f t="shared" si="205"/>
        <v>0</v>
      </c>
      <c r="H1634" s="2">
        <f>SUM($G$2:G1634)</f>
        <v>11920</v>
      </c>
      <c r="I1634" s="10">
        <f t="shared" si="209"/>
        <v>0</v>
      </c>
      <c r="J1634" s="10">
        <f t="shared" si="206"/>
        <v>0</v>
      </c>
      <c r="K1634" s="3">
        <f t="shared" si="207"/>
        <v>11920</v>
      </c>
      <c r="L1634">
        <f t="shared" si="203"/>
        <v>0</v>
      </c>
      <c r="M1634">
        <f t="shared" si="210"/>
        <v>0</v>
      </c>
    </row>
    <row r="1635" spans="1:13" x14ac:dyDescent="0.25">
      <c r="A1635" s="9">
        <f>Speed!A1635</f>
        <v>0</v>
      </c>
      <c r="B1635" s="9">
        <f t="shared" si="204"/>
        <v>0</v>
      </c>
      <c r="C1635" s="2">
        <f>Speed!B1635</f>
        <v>0</v>
      </c>
      <c r="D1635" s="9">
        <f>Odometer!A1635</f>
        <v>0</v>
      </c>
      <c r="E1635" s="9">
        <f t="shared" si="208"/>
        <v>0</v>
      </c>
      <c r="F1635" s="2">
        <f>Odometer!B1635</f>
        <v>0</v>
      </c>
      <c r="G1635" s="2">
        <f t="shared" si="205"/>
        <v>0</v>
      </c>
      <c r="H1635" s="2">
        <f>SUM($G$2:G1635)</f>
        <v>11920</v>
      </c>
      <c r="I1635" s="10">
        <f t="shared" si="209"/>
        <v>0</v>
      </c>
      <c r="J1635" s="10">
        <f t="shared" si="206"/>
        <v>0</v>
      </c>
      <c r="K1635" s="3">
        <f t="shared" si="207"/>
        <v>11920</v>
      </c>
      <c r="L1635">
        <f t="shared" si="203"/>
        <v>0</v>
      </c>
      <c r="M1635">
        <f t="shared" si="210"/>
        <v>0</v>
      </c>
    </row>
    <row r="1636" spans="1:13" x14ac:dyDescent="0.25">
      <c r="A1636" s="9">
        <f>Speed!A1636</f>
        <v>0</v>
      </c>
      <c r="B1636" s="9">
        <f t="shared" si="204"/>
        <v>0</v>
      </c>
      <c r="C1636" s="2">
        <f>Speed!B1636</f>
        <v>0</v>
      </c>
      <c r="D1636" s="9">
        <f>Odometer!A1636</f>
        <v>0</v>
      </c>
      <c r="E1636" s="9">
        <f t="shared" si="208"/>
        <v>0</v>
      </c>
      <c r="F1636" s="2">
        <f>Odometer!B1636</f>
        <v>0</v>
      </c>
      <c r="G1636" s="2">
        <f t="shared" si="205"/>
        <v>0</v>
      </c>
      <c r="H1636" s="2">
        <f>SUM($G$2:G1636)</f>
        <v>11920</v>
      </c>
      <c r="I1636" s="10">
        <f t="shared" si="209"/>
        <v>0</v>
      </c>
      <c r="J1636" s="10">
        <f t="shared" si="206"/>
        <v>0</v>
      </c>
      <c r="K1636" s="3">
        <f t="shared" si="207"/>
        <v>11920</v>
      </c>
      <c r="L1636">
        <f t="shared" si="203"/>
        <v>0</v>
      </c>
      <c r="M1636">
        <f t="shared" si="210"/>
        <v>0</v>
      </c>
    </row>
    <row r="1637" spans="1:13" x14ac:dyDescent="0.25">
      <c r="A1637" s="9">
        <f>Speed!A1637</f>
        <v>0</v>
      </c>
      <c r="B1637" s="9">
        <f t="shared" si="204"/>
        <v>0</v>
      </c>
      <c r="C1637" s="2">
        <f>Speed!B1637</f>
        <v>0</v>
      </c>
      <c r="D1637" s="9">
        <f>Odometer!A1637</f>
        <v>0</v>
      </c>
      <c r="E1637" s="9">
        <f t="shared" si="208"/>
        <v>0</v>
      </c>
      <c r="F1637" s="2">
        <f>Odometer!B1637</f>
        <v>0</v>
      </c>
      <c r="G1637" s="2">
        <f t="shared" si="205"/>
        <v>0</v>
      </c>
      <c r="H1637" s="2">
        <f>SUM($G$2:G1637)</f>
        <v>11920</v>
      </c>
      <c r="I1637" s="10">
        <f t="shared" si="209"/>
        <v>0</v>
      </c>
      <c r="J1637" s="10">
        <f t="shared" si="206"/>
        <v>0</v>
      </c>
      <c r="K1637" s="3">
        <f t="shared" si="207"/>
        <v>11920</v>
      </c>
      <c r="L1637">
        <f t="shared" si="203"/>
        <v>0</v>
      </c>
      <c r="M1637">
        <f t="shared" si="210"/>
        <v>0</v>
      </c>
    </row>
    <row r="1638" spans="1:13" x14ac:dyDescent="0.25">
      <c r="A1638" s="9">
        <f>Speed!A1638</f>
        <v>0</v>
      </c>
      <c r="B1638" s="9">
        <f t="shared" si="204"/>
        <v>0</v>
      </c>
      <c r="C1638" s="2">
        <f>Speed!B1638</f>
        <v>0</v>
      </c>
      <c r="D1638" s="9">
        <f>Odometer!A1638</f>
        <v>0</v>
      </c>
      <c r="E1638" s="9">
        <f t="shared" si="208"/>
        <v>0</v>
      </c>
      <c r="F1638" s="2">
        <f>Odometer!B1638</f>
        <v>0</v>
      </c>
      <c r="G1638" s="2">
        <f t="shared" si="205"/>
        <v>0</v>
      </c>
      <c r="H1638" s="2">
        <f>SUM($G$2:G1638)</f>
        <v>11920</v>
      </c>
      <c r="I1638" s="10">
        <f t="shared" si="209"/>
        <v>0</v>
      </c>
      <c r="J1638" s="10">
        <f t="shared" si="206"/>
        <v>0</v>
      </c>
      <c r="K1638" s="3">
        <f t="shared" si="207"/>
        <v>11920</v>
      </c>
      <c r="L1638">
        <f t="shared" si="203"/>
        <v>0</v>
      </c>
      <c r="M1638">
        <f t="shared" si="210"/>
        <v>0</v>
      </c>
    </row>
    <row r="1639" spans="1:13" x14ac:dyDescent="0.25">
      <c r="A1639" s="9">
        <f>Speed!A1639</f>
        <v>0</v>
      </c>
      <c r="B1639" s="9">
        <f t="shared" si="204"/>
        <v>0</v>
      </c>
      <c r="C1639" s="2">
        <f>Speed!B1639</f>
        <v>0</v>
      </c>
      <c r="D1639" s="9">
        <f>Odometer!A1639</f>
        <v>0</v>
      </c>
      <c r="E1639" s="9">
        <f t="shared" si="208"/>
        <v>0</v>
      </c>
      <c r="F1639" s="2">
        <f>Odometer!B1639</f>
        <v>0</v>
      </c>
      <c r="G1639" s="2">
        <f t="shared" si="205"/>
        <v>0</v>
      </c>
      <c r="H1639" s="2">
        <f>SUM($G$2:G1639)</f>
        <v>11920</v>
      </c>
      <c r="I1639" s="10">
        <f t="shared" si="209"/>
        <v>0</v>
      </c>
      <c r="J1639" s="10">
        <f t="shared" si="206"/>
        <v>0</v>
      </c>
      <c r="K1639" s="3">
        <f t="shared" si="207"/>
        <v>11920</v>
      </c>
      <c r="L1639">
        <f t="shared" si="203"/>
        <v>0</v>
      </c>
      <c r="M1639">
        <f t="shared" si="210"/>
        <v>0</v>
      </c>
    </row>
    <row r="1640" spans="1:13" x14ac:dyDescent="0.25">
      <c r="A1640" s="9">
        <f>Speed!A1640</f>
        <v>0</v>
      </c>
      <c r="B1640" s="9">
        <f t="shared" si="204"/>
        <v>0</v>
      </c>
      <c r="C1640" s="2">
        <f>Speed!B1640</f>
        <v>0</v>
      </c>
      <c r="D1640" s="9">
        <f>Odometer!A1640</f>
        <v>0</v>
      </c>
      <c r="E1640" s="9">
        <f t="shared" si="208"/>
        <v>0</v>
      </c>
      <c r="F1640" s="2">
        <f>Odometer!B1640</f>
        <v>0</v>
      </c>
      <c r="G1640" s="2">
        <f t="shared" si="205"/>
        <v>0</v>
      </c>
      <c r="H1640" s="2">
        <f>SUM($G$2:G1640)</f>
        <v>11920</v>
      </c>
      <c r="I1640" s="10">
        <f t="shared" si="209"/>
        <v>0</v>
      </c>
      <c r="J1640" s="10">
        <f t="shared" si="206"/>
        <v>0</v>
      </c>
      <c r="K1640" s="3">
        <f t="shared" si="207"/>
        <v>11920</v>
      </c>
      <c r="L1640">
        <f t="shared" si="203"/>
        <v>0</v>
      </c>
      <c r="M1640">
        <f t="shared" si="210"/>
        <v>0</v>
      </c>
    </row>
    <row r="1641" spans="1:13" x14ac:dyDescent="0.25">
      <c r="A1641" s="9">
        <f>Speed!A1641</f>
        <v>0</v>
      </c>
      <c r="B1641" s="9">
        <f t="shared" si="204"/>
        <v>0</v>
      </c>
      <c r="C1641" s="2">
        <f>Speed!B1641</f>
        <v>0</v>
      </c>
      <c r="D1641" s="9">
        <f>Odometer!A1641</f>
        <v>0</v>
      </c>
      <c r="E1641" s="9">
        <f t="shared" si="208"/>
        <v>0</v>
      </c>
      <c r="F1641" s="2">
        <f>Odometer!B1641</f>
        <v>0</v>
      </c>
      <c r="G1641" s="2">
        <f t="shared" si="205"/>
        <v>0</v>
      </c>
      <c r="H1641" s="2">
        <f>SUM($G$2:G1641)</f>
        <v>11920</v>
      </c>
      <c r="I1641" s="10">
        <f t="shared" si="209"/>
        <v>0</v>
      </c>
      <c r="J1641" s="10">
        <f t="shared" si="206"/>
        <v>0</v>
      </c>
      <c r="K1641" s="3">
        <f t="shared" si="207"/>
        <v>11920</v>
      </c>
      <c r="L1641">
        <f t="shared" si="203"/>
        <v>0</v>
      </c>
      <c r="M1641">
        <f t="shared" si="210"/>
        <v>0</v>
      </c>
    </row>
    <row r="1642" spans="1:13" x14ac:dyDescent="0.25">
      <c r="A1642" s="9">
        <f>Speed!A1642</f>
        <v>0</v>
      </c>
      <c r="B1642" s="9">
        <f t="shared" si="204"/>
        <v>0</v>
      </c>
      <c r="C1642" s="2">
        <f>Speed!B1642</f>
        <v>0</v>
      </c>
      <c r="D1642" s="9">
        <f>Odometer!A1642</f>
        <v>0</v>
      </c>
      <c r="E1642" s="9">
        <f t="shared" si="208"/>
        <v>0</v>
      </c>
      <c r="F1642" s="2">
        <f>Odometer!B1642</f>
        <v>0</v>
      </c>
      <c r="G1642" s="2">
        <f t="shared" si="205"/>
        <v>0</v>
      </c>
      <c r="H1642" s="2">
        <f>SUM($G$2:G1642)</f>
        <v>11920</v>
      </c>
      <c r="I1642" s="10">
        <f t="shared" si="209"/>
        <v>0</v>
      </c>
      <c r="J1642" s="10">
        <f t="shared" si="206"/>
        <v>0</v>
      </c>
      <c r="K1642" s="3">
        <f t="shared" si="207"/>
        <v>11920</v>
      </c>
      <c r="L1642">
        <f t="shared" si="203"/>
        <v>0</v>
      </c>
      <c r="M1642">
        <f t="shared" si="210"/>
        <v>0</v>
      </c>
    </row>
    <row r="1643" spans="1:13" x14ac:dyDescent="0.25">
      <c r="A1643" s="9">
        <f>Speed!A1643</f>
        <v>0</v>
      </c>
      <c r="B1643" s="9">
        <f t="shared" si="204"/>
        <v>0</v>
      </c>
      <c r="C1643" s="2">
        <f>Speed!B1643</f>
        <v>0</v>
      </c>
      <c r="D1643" s="9">
        <f>Odometer!A1643</f>
        <v>0</v>
      </c>
      <c r="E1643" s="9">
        <f t="shared" si="208"/>
        <v>0</v>
      </c>
      <c r="F1643" s="2">
        <f>Odometer!B1643</f>
        <v>0</v>
      </c>
      <c r="G1643" s="2">
        <f t="shared" si="205"/>
        <v>0</v>
      </c>
      <c r="H1643" s="2">
        <f>SUM($G$2:G1643)</f>
        <v>11920</v>
      </c>
      <c r="I1643" s="10">
        <f t="shared" si="209"/>
        <v>0</v>
      </c>
      <c r="J1643" s="10">
        <f t="shared" si="206"/>
        <v>0</v>
      </c>
      <c r="K1643" s="3">
        <f t="shared" si="207"/>
        <v>11920</v>
      </c>
      <c r="L1643">
        <f t="shared" si="203"/>
        <v>0</v>
      </c>
      <c r="M1643">
        <f t="shared" si="210"/>
        <v>0</v>
      </c>
    </row>
    <row r="1644" spans="1:13" x14ac:dyDescent="0.25">
      <c r="A1644" s="9">
        <f>Speed!A1644</f>
        <v>0</v>
      </c>
      <c r="B1644" s="9">
        <f t="shared" si="204"/>
        <v>0</v>
      </c>
      <c r="C1644" s="2">
        <f>Speed!B1644</f>
        <v>0</v>
      </c>
      <c r="D1644" s="9">
        <f>Odometer!A1644</f>
        <v>0</v>
      </c>
      <c r="E1644" s="9">
        <f t="shared" si="208"/>
        <v>0</v>
      </c>
      <c r="F1644" s="2">
        <f>Odometer!B1644</f>
        <v>0</v>
      </c>
      <c r="G1644" s="2">
        <f t="shared" si="205"/>
        <v>0</v>
      </c>
      <c r="H1644" s="2">
        <f>SUM($G$2:G1644)</f>
        <v>11920</v>
      </c>
      <c r="I1644" s="10">
        <f t="shared" si="209"/>
        <v>0</v>
      </c>
      <c r="J1644" s="10">
        <f t="shared" si="206"/>
        <v>0</v>
      </c>
      <c r="K1644" s="3">
        <f t="shared" si="207"/>
        <v>11920</v>
      </c>
      <c r="L1644">
        <f t="shared" si="203"/>
        <v>0</v>
      </c>
      <c r="M1644">
        <f t="shared" si="210"/>
        <v>0</v>
      </c>
    </row>
    <row r="1645" spans="1:13" x14ac:dyDescent="0.25">
      <c r="A1645" s="9">
        <f>Speed!A1645</f>
        <v>0</v>
      </c>
      <c r="B1645" s="9">
        <f t="shared" si="204"/>
        <v>0</v>
      </c>
      <c r="C1645" s="2">
        <f>Speed!B1645</f>
        <v>0</v>
      </c>
      <c r="D1645" s="9">
        <f>Odometer!A1645</f>
        <v>0</v>
      </c>
      <c r="E1645" s="9">
        <f t="shared" si="208"/>
        <v>0</v>
      </c>
      <c r="F1645" s="2">
        <f>Odometer!B1645</f>
        <v>0</v>
      </c>
      <c r="G1645" s="2">
        <f t="shared" si="205"/>
        <v>0</v>
      </c>
      <c r="H1645" s="2">
        <f>SUM($G$2:G1645)</f>
        <v>11920</v>
      </c>
      <c r="I1645" s="10">
        <f t="shared" si="209"/>
        <v>0</v>
      </c>
      <c r="J1645" s="10">
        <f t="shared" si="206"/>
        <v>0</v>
      </c>
      <c r="K1645" s="3">
        <f t="shared" si="207"/>
        <v>11920</v>
      </c>
      <c r="L1645">
        <f t="shared" si="203"/>
        <v>0</v>
      </c>
      <c r="M1645">
        <f t="shared" si="210"/>
        <v>0</v>
      </c>
    </row>
    <row r="1646" spans="1:13" x14ac:dyDescent="0.25">
      <c r="A1646" s="9">
        <f>Speed!A1646</f>
        <v>0</v>
      </c>
      <c r="B1646" s="9">
        <f t="shared" si="204"/>
        <v>0</v>
      </c>
      <c r="C1646" s="2">
        <f>Speed!B1646</f>
        <v>0</v>
      </c>
      <c r="D1646" s="9">
        <f>Odometer!A1646</f>
        <v>0</v>
      </c>
      <c r="E1646" s="9">
        <f t="shared" si="208"/>
        <v>0</v>
      </c>
      <c r="F1646" s="2">
        <f>Odometer!B1646</f>
        <v>0</v>
      </c>
      <c r="G1646" s="2">
        <f t="shared" si="205"/>
        <v>0</v>
      </c>
      <c r="H1646" s="2">
        <f>SUM($G$2:G1646)</f>
        <v>11920</v>
      </c>
      <c r="I1646" s="10">
        <f t="shared" si="209"/>
        <v>0</v>
      </c>
      <c r="J1646" s="10">
        <f t="shared" si="206"/>
        <v>0</v>
      </c>
      <c r="K1646" s="3">
        <f t="shared" si="207"/>
        <v>11920</v>
      </c>
      <c r="L1646">
        <f t="shared" si="203"/>
        <v>0</v>
      </c>
      <c r="M1646">
        <f t="shared" si="210"/>
        <v>0</v>
      </c>
    </row>
    <row r="1647" spans="1:13" x14ac:dyDescent="0.25">
      <c r="A1647" s="9">
        <f>Speed!A1647</f>
        <v>0</v>
      </c>
      <c r="B1647" s="9">
        <f t="shared" si="204"/>
        <v>0</v>
      </c>
      <c r="C1647" s="2">
        <f>Speed!B1647</f>
        <v>0</v>
      </c>
      <c r="D1647" s="9">
        <f>Odometer!A1647</f>
        <v>0</v>
      </c>
      <c r="E1647" s="9">
        <f t="shared" si="208"/>
        <v>0</v>
      </c>
      <c r="F1647" s="2">
        <f>Odometer!B1647</f>
        <v>0</v>
      </c>
      <c r="G1647" s="2">
        <f t="shared" si="205"/>
        <v>0</v>
      </c>
      <c r="H1647" s="2">
        <f>SUM($G$2:G1647)</f>
        <v>11920</v>
      </c>
      <c r="I1647" s="10">
        <f t="shared" si="209"/>
        <v>0</v>
      </c>
      <c r="J1647" s="10">
        <f t="shared" si="206"/>
        <v>0</v>
      </c>
      <c r="K1647" s="3">
        <f t="shared" si="207"/>
        <v>11920</v>
      </c>
      <c r="L1647">
        <f t="shared" si="203"/>
        <v>0</v>
      </c>
      <c r="M1647">
        <f t="shared" si="210"/>
        <v>0</v>
      </c>
    </row>
    <row r="1648" spans="1:13" x14ac:dyDescent="0.25">
      <c r="A1648" s="9">
        <f>Speed!A1648</f>
        <v>0</v>
      </c>
      <c r="B1648" s="9">
        <f t="shared" si="204"/>
        <v>0</v>
      </c>
      <c r="C1648" s="2">
        <f>Speed!B1648</f>
        <v>0</v>
      </c>
      <c r="D1648" s="9">
        <f>Odometer!A1648</f>
        <v>0</v>
      </c>
      <c r="E1648" s="9">
        <f t="shared" si="208"/>
        <v>0</v>
      </c>
      <c r="F1648" s="2">
        <f>Odometer!B1648</f>
        <v>0</v>
      </c>
      <c r="G1648" s="2">
        <f t="shared" si="205"/>
        <v>0</v>
      </c>
      <c r="H1648" s="2">
        <f>SUM($G$2:G1648)</f>
        <v>11920</v>
      </c>
      <c r="I1648" s="10">
        <f t="shared" si="209"/>
        <v>0</v>
      </c>
      <c r="J1648" s="10">
        <f t="shared" si="206"/>
        <v>0</v>
      </c>
      <c r="K1648" s="3">
        <f t="shared" si="207"/>
        <v>11920</v>
      </c>
      <c r="L1648">
        <f t="shared" si="203"/>
        <v>0</v>
      </c>
      <c r="M1648">
        <f t="shared" si="210"/>
        <v>0</v>
      </c>
    </row>
    <row r="1649" spans="1:13" x14ac:dyDescent="0.25">
      <c r="A1649" s="9">
        <f>Speed!A1649</f>
        <v>0</v>
      </c>
      <c r="B1649" s="9">
        <f t="shared" si="204"/>
        <v>0</v>
      </c>
      <c r="C1649" s="2">
        <f>Speed!B1649</f>
        <v>0</v>
      </c>
      <c r="D1649" s="9">
        <f>Odometer!A1649</f>
        <v>0</v>
      </c>
      <c r="E1649" s="9">
        <f t="shared" si="208"/>
        <v>0</v>
      </c>
      <c r="F1649" s="2">
        <f>Odometer!B1649</f>
        <v>0</v>
      </c>
      <c r="G1649" s="2">
        <f t="shared" si="205"/>
        <v>0</v>
      </c>
      <c r="H1649" s="2">
        <f>SUM($G$2:G1649)</f>
        <v>11920</v>
      </c>
      <c r="I1649" s="10">
        <f t="shared" si="209"/>
        <v>0</v>
      </c>
      <c r="J1649" s="10">
        <f t="shared" si="206"/>
        <v>0</v>
      </c>
      <c r="K1649" s="3">
        <f t="shared" si="207"/>
        <v>11920</v>
      </c>
      <c r="L1649">
        <f t="shared" si="203"/>
        <v>0</v>
      </c>
      <c r="M1649">
        <f t="shared" si="210"/>
        <v>0</v>
      </c>
    </row>
    <row r="1650" spans="1:13" x14ac:dyDescent="0.25">
      <c r="A1650" s="9">
        <f>Speed!A1650</f>
        <v>0</v>
      </c>
      <c r="B1650" s="9">
        <f t="shared" si="204"/>
        <v>0</v>
      </c>
      <c r="C1650" s="2">
        <f>Speed!B1650</f>
        <v>0</v>
      </c>
      <c r="D1650" s="9">
        <f>Odometer!A1650</f>
        <v>0</v>
      </c>
      <c r="E1650" s="9">
        <f t="shared" si="208"/>
        <v>0</v>
      </c>
      <c r="F1650" s="2">
        <f>Odometer!B1650</f>
        <v>0</v>
      </c>
      <c r="G1650" s="2">
        <f t="shared" si="205"/>
        <v>0</v>
      </c>
      <c r="H1650" s="2">
        <f>SUM($G$2:G1650)</f>
        <v>11920</v>
      </c>
      <c r="I1650" s="10">
        <f t="shared" si="209"/>
        <v>0</v>
      </c>
      <c r="J1650" s="10">
        <f t="shared" si="206"/>
        <v>0</v>
      </c>
      <c r="K1650" s="3">
        <f t="shared" si="207"/>
        <v>11920</v>
      </c>
      <c r="L1650">
        <f t="shared" si="203"/>
        <v>0</v>
      </c>
      <c r="M1650">
        <f t="shared" si="210"/>
        <v>0</v>
      </c>
    </row>
    <row r="1651" spans="1:13" x14ac:dyDescent="0.25">
      <c r="A1651" s="9">
        <f>Speed!A1651</f>
        <v>0</v>
      </c>
      <c r="B1651" s="9">
        <f t="shared" si="204"/>
        <v>0</v>
      </c>
      <c r="C1651" s="2">
        <f>Speed!B1651</f>
        <v>0</v>
      </c>
      <c r="D1651" s="9">
        <f>Odometer!A1651</f>
        <v>0</v>
      </c>
      <c r="E1651" s="9">
        <f t="shared" si="208"/>
        <v>0</v>
      </c>
      <c r="F1651" s="2">
        <f>Odometer!B1651</f>
        <v>0</v>
      </c>
      <c r="G1651" s="2">
        <f t="shared" si="205"/>
        <v>0</v>
      </c>
      <c r="H1651" s="2">
        <f>SUM($G$2:G1651)</f>
        <v>11920</v>
      </c>
      <c r="I1651" s="10">
        <f t="shared" si="209"/>
        <v>0</v>
      </c>
      <c r="J1651" s="10">
        <f t="shared" si="206"/>
        <v>0</v>
      </c>
      <c r="K1651" s="3">
        <f t="shared" si="207"/>
        <v>11920</v>
      </c>
      <c r="L1651">
        <f t="shared" si="203"/>
        <v>0</v>
      </c>
      <c r="M1651">
        <f t="shared" si="210"/>
        <v>0</v>
      </c>
    </row>
    <row r="1652" spans="1:13" x14ac:dyDescent="0.25">
      <c r="A1652" s="9">
        <f>Speed!A1652</f>
        <v>0</v>
      </c>
      <c r="B1652" s="9">
        <f t="shared" si="204"/>
        <v>0</v>
      </c>
      <c r="C1652" s="2">
        <f>Speed!B1652</f>
        <v>0</v>
      </c>
      <c r="D1652" s="9">
        <f>Odometer!A1652</f>
        <v>0</v>
      </c>
      <c r="E1652" s="9">
        <f t="shared" si="208"/>
        <v>0</v>
      </c>
      <c r="F1652" s="2">
        <f>Odometer!B1652</f>
        <v>0</v>
      </c>
      <c r="G1652" s="2">
        <f t="shared" si="205"/>
        <v>0</v>
      </c>
      <c r="H1652" s="2">
        <f>SUM($G$2:G1652)</f>
        <v>11920</v>
      </c>
      <c r="I1652" s="10">
        <f t="shared" si="209"/>
        <v>0</v>
      </c>
      <c r="J1652" s="10">
        <f t="shared" si="206"/>
        <v>0</v>
      </c>
      <c r="K1652" s="3">
        <f t="shared" si="207"/>
        <v>11920</v>
      </c>
      <c r="L1652">
        <f t="shared" si="203"/>
        <v>0</v>
      </c>
      <c r="M1652">
        <f t="shared" si="210"/>
        <v>0</v>
      </c>
    </row>
    <row r="1653" spans="1:13" x14ac:dyDescent="0.25">
      <c r="A1653" s="9">
        <f>Speed!A1653</f>
        <v>0</v>
      </c>
      <c r="B1653" s="9">
        <f t="shared" si="204"/>
        <v>0</v>
      </c>
      <c r="C1653" s="2">
        <f>Speed!B1653</f>
        <v>0</v>
      </c>
      <c r="D1653" s="9">
        <f>Odometer!A1653</f>
        <v>0</v>
      </c>
      <c r="E1653" s="9">
        <f t="shared" si="208"/>
        <v>0</v>
      </c>
      <c r="F1653" s="2">
        <f>Odometer!B1653</f>
        <v>0</v>
      </c>
      <c r="G1653" s="2">
        <f t="shared" si="205"/>
        <v>0</v>
      </c>
      <c r="H1653" s="2">
        <f>SUM($G$2:G1653)</f>
        <v>11920</v>
      </c>
      <c r="I1653" s="10">
        <f t="shared" si="209"/>
        <v>0</v>
      </c>
      <c r="J1653" s="10">
        <f t="shared" si="206"/>
        <v>0</v>
      </c>
      <c r="K1653" s="3">
        <f t="shared" si="207"/>
        <v>11920</v>
      </c>
      <c r="L1653">
        <f t="shared" si="203"/>
        <v>0</v>
      </c>
      <c r="M1653">
        <f t="shared" si="210"/>
        <v>0</v>
      </c>
    </row>
    <row r="1654" spans="1:13" x14ac:dyDescent="0.25">
      <c r="A1654" s="9">
        <f>Speed!A1654</f>
        <v>0</v>
      </c>
      <c r="B1654" s="9">
        <f t="shared" si="204"/>
        <v>0</v>
      </c>
      <c r="C1654" s="2">
        <f>Speed!B1654</f>
        <v>0</v>
      </c>
      <c r="D1654" s="9">
        <f>Odometer!A1654</f>
        <v>0</v>
      </c>
      <c r="E1654" s="9">
        <f t="shared" si="208"/>
        <v>0</v>
      </c>
      <c r="F1654" s="2">
        <f>Odometer!B1654</f>
        <v>0</v>
      </c>
      <c r="G1654" s="2">
        <f t="shared" si="205"/>
        <v>0</v>
      </c>
      <c r="H1654" s="2">
        <f>SUM($G$2:G1654)</f>
        <v>11920</v>
      </c>
      <c r="I1654" s="10">
        <f t="shared" si="209"/>
        <v>0</v>
      </c>
      <c r="J1654" s="10">
        <f t="shared" si="206"/>
        <v>0</v>
      </c>
      <c r="K1654" s="3">
        <f t="shared" si="207"/>
        <v>11920</v>
      </c>
      <c r="L1654">
        <f t="shared" si="203"/>
        <v>0</v>
      </c>
      <c r="M1654">
        <f t="shared" si="210"/>
        <v>0</v>
      </c>
    </row>
    <row r="1655" spans="1:13" x14ac:dyDescent="0.25">
      <c r="A1655" s="9">
        <f>Speed!A1655</f>
        <v>0</v>
      </c>
      <c r="B1655" s="9">
        <f t="shared" si="204"/>
        <v>0</v>
      </c>
      <c r="C1655" s="2">
        <f>Speed!B1655</f>
        <v>0</v>
      </c>
      <c r="D1655" s="9">
        <f>Odometer!A1655</f>
        <v>0</v>
      </c>
      <c r="E1655" s="9">
        <f t="shared" si="208"/>
        <v>0</v>
      </c>
      <c r="F1655" s="2">
        <f>Odometer!B1655</f>
        <v>0</v>
      </c>
      <c r="G1655" s="2">
        <f t="shared" si="205"/>
        <v>0</v>
      </c>
      <c r="H1655" s="2">
        <f>SUM($G$2:G1655)</f>
        <v>11920</v>
      </c>
      <c r="I1655" s="10">
        <f t="shared" si="209"/>
        <v>0</v>
      </c>
      <c r="J1655" s="10">
        <f t="shared" si="206"/>
        <v>0</v>
      </c>
      <c r="K1655" s="3">
        <f t="shared" si="207"/>
        <v>11920</v>
      </c>
      <c r="L1655">
        <f t="shared" si="203"/>
        <v>0</v>
      </c>
      <c r="M1655">
        <f t="shared" si="210"/>
        <v>0</v>
      </c>
    </row>
    <row r="1656" spans="1:13" x14ac:dyDescent="0.25">
      <c r="A1656" s="9">
        <f>Speed!A1656</f>
        <v>0</v>
      </c>
      <c r="B1656" s="9">
        <f t="shared" si="204"/>
        <v>0</v>
      </c>
      <c r="C1656" s="2">
        <f>Speed!B1656</f>
        <v>0</v>
      </c>
      <c r="D1656" s="9">
        <f>Odometer!A1656</f>
        <v>0</v>
      </c>
      <c r="E1656" s="9">
        <f t="shared" si="208"/>
        <v>0</v>
      </c>
      <c r="F1656" s="2">
        <f>Odometer!B1656</f>
        <v>0</v>
      </c>
      <c r="G1656" s="2">
        <f t="shared" si="205"/>
        <v>0</v>
      </c>
      <c r="H1656" s="2">
        <f>SUM($G$2:G1656)</f>
        <v>11920</v>
      </c>
      <c r="I1656" s="10">
        <f t="shared" si="209"/>
        <v>0</v>
      </c>
      <c r="J1656" s="10">
        <f t="shared" si="206"/>
        <v>0</v>
      </c>
      <c r="K1656" s="3">
        <f t="shared" si="207"/>
        <v>11920</v>
      </c>
      <c r="L1656">
        <f t="shared" si="203"/>
        <v>0</v>
      </c>
      <c r="M1656">
        <f t="shared" si="210"/>
        <v>0</v>
      </c>
    </row>
    <row r="1657" spans="1:13" x14ac:dyDescent="0.25">
      <c r="A1657" s="9">
        <f>Speed!A1657</f>
        <v>0</v>
      </c>
      <c r="B1657" s="9">
        <f t="shared" si="204"/>
        <v>0</v>
      </c>
      <c r="C1657" s="2">
        <f>Speed!B1657</f>
        <v>0</v>
      </c>
      <c r="D1657" s="9">
        <f>Odometer!A1657</f>
        <v>0</v>
      </c>
      <c r="E1657" s="9">
        <f t="shared" si="208"/>
        <v>0</v>
      </c>
      <c r="F1657" s="2">
        <f>Odometer!B1657</f>
        <v>0</v>
      </c>
      <c r="G1657" s="2">
        <f t="shared" si="205"/>
        <v>0</v>
      </c>
      <c r="H1657" s="2">
        <f>SUM($G$2:G1657)</f>
        <v>11920</v>
      </c>
      <c r="I1657" s="10">
        <f t="shared" si="209"/>
        <v>0</v>
      </c>
      <c r="J1657" s="10">
        <f t="shared" si="206"/>
        <v>0</v>
      </c>
      <c r="K1657" s="3">
        <f t="shared" si="207"/>
        <v>11920</v>
      </c>
      <c r="L1657">
        <f t="shared" si="203"/>
        <v>0</v>
      </c>
      <c r="M1657">
        <f t="shared" si="210"/>
        <v>0</v>
      </c>
    </row>
    <row r="1658" spans="1:13" x14ac:dyDescent="0.25">
      <c r="A1658" s="9">
        <f>Speed!A1658</f>
        <v>0</v>
      </c>
      <c r="B1658" s="9">
        <f t="shared" si="204"/>
        <v>0</v>
      </c>
      <c r="C1658" s="2">
        <f>Speed!B1658</f>
        <v>0</v>
      </c>
      <c r="D1658" s="9">
        <f>Odometer!A1658</f>
        <v>0</v>
      </c>
      <c r="E1658" s="9">
        <f t="shared" si="208"/>
        <v>0</v>
      </c>
      <c r="F1658" s="2">
        <f>Odometer!B1658</f>
        <v>0</v>
      </c>
      <c r="G1658" s="2">
        <f t="shared" si="205"/>
        <v>0</v>
      </c>
      <c r="H1658" s="2">
        <f>SUM($G$2:G1658)</f>
        <v>11920</v>
      </c>
      <c r="I1658" s="10">
        <f t="shared" si="209"/>
        <v>0</v>
      </c>
      <c r="J1658" s="10">
        <f t="shared" si="206"/>
        <v>0</v>
      </c>
      <c r="K1658" s="3">
        <f t="shared" si="207"/>
        <v>11920</v>
      </c>
      <c r="L1658">
        <f t="shared" si="203"/>
        <v>0</v>
      </c>
      <c r="M1658">
        <f t="shared" si="210"/>
        <v>0</v>
      </c>
    </row>
    <row r="1659" spans="1:13" x14ac:dyDescent="0.25">
      <c r="A1659" s="9">
        <f>Speed!A1659</f>
        <v>0</v>
      </c>
      <c r="B1659" s="9">
        <f t="shared" si="204"/>
        <v>0</v>
      </c>
      <c r="C1659" s="2">
        <f>Speed!B1659</f>
        <v>0</v>
      </c>
      <c r="D1659" s="9">
        <f>Odometer!A1659</f>
        <v>0</v>
      </c>
      <c r="E1659" s="9">
        <f t="shared" si="208"/>
        <v>0</v>
      </c>
      <c r="F1659" s="2">
        <f>Odometer!B1659</f>
        <v>0</v>
      </c>
      <c r="G1659" s="2">
        <f t="shared" si="205"/>
        <v>0</v>
      </c>
      <c r="H1659" s="2">
        <f>SUM($G$2:G1659)</f>
        <v>11920</v>
      </c>
      <c r="I1659" s="10">
        <f t="shared" si="209"/>
        <v>0</v>
      </c>
      <c r="J1659" s="10">
        <f t="shared" si="206"/>
        <v>0</v>
      </c>
      <c r="K1659" s="3">
        <f t="shared" si="207"/>
        <v>11920</v>
      </c>
      <c r="L1659">
        <f t="shared" si="203"/>
        <v>0</v>
      </c>
      <c r="M1659">
        <f t="shared" si="210"/>
        <v>0</v>
      </c>
    </row>
    <row r="1660" spans="1:13" x14ac:dyDescent="0.25">
      <c r="A1660" s="9">
        <f>Speed!A1660</f>
        <v>0</v>
      </c>
      <c r="B1660" s="9">
        <f t="shared" si="204"/>
        <v>0</v>
      </c>
      <c r="C1660" s="2">
        <f>Speed!B1660</f>
        <v>0</v>
      </c>
      <c r="D1660" s="9">
        <f>Odometer!A1660</f>
        <v>0</v>
      </c>
      <c r="E1660" s="9">
        <f t="shared" si="208"/>
        <v>0</v>
      </c>
      <c r="F1660" s="2">
        <f>Odometer!B1660</f>
        <v>0</v>
      </c>
      <c r="G1660" s="2">
        <f t="shared" si="205"/>
        <v>0</v>
      </c>
      <c r="H1660" s="2">
        <f>SUM($G$2:G1660)</f>
        <v>11920</v>
      </c>
      <c r="I1660" s="10">
        <f t="shared" si="209"/>
        <v>0</v>
      </c>
      <c r="J1660" s="10">
        <f t="shared" si="206"/>
        <v>0</v>
      </c>
      <c r="K1660" s="3">
        <f t="shared" si="207"/>
        <v>11920</v>
      </c>
      <c r="L1660">
        <f t="shared" si="203"/>
        <v>0</v>
      </c>
      <c r="M1660">
        <f t="shared" si="210"/>
        <v>0</v>
      </c>
    </row>
    <row r="1661" spans="1:13" x14ac:dyDescent="0.25">
      <c r="A1661" s="9">
        <f>Speed!A1661</f>
        <v>0</v>
      </c>
      <c r="B1661" s="9">
        <f t="shared" si="204"/>
        <v>0</v>
      </c>
      <c r="C1661" s="2">
        <f>Speed!B1661</f>
        <v>0</v>
      </c>
      <c r="D1661" s="9">
        <f>Odometer!A1661</f>
        <v>0</v>
      </c>
      <c r="E1661" s="9">
        <f t="shared" si="208"/>
        <v>0</v>
      </c>
      <c r="F1661" s="2">
        <f>Odometer!B1661</f>
        <v>0</v>
      </c>
      <c r="G1661" s="2">
        <f t="shared" si="205"/>
        <v>0</v>
      </c>
      <c r="H1661" s="2">
        <f>SUM($G$2:G1661)</f>
        <v>11920</v>
      </c>
      <c r="I1661" s="10">
        <f t="shared" si="209"/>
        <v>0</v>
      </c>
      <c r="J1661" s="10">
        <f t="shared" si="206"/>
        <v>0</v>
      </c>
      <c r="K1661" s="3">
        <f t="shared" si="207"/>
        <v>11920</v>
      </c>
      <c r="L1661">
        <f t="shared" si="203"/>
        <v>0</v>
      </c>
      <c r="M1661">
        <f t="shared" si="210"/>
        <v>0</v>
      </c>
    </row>
    <row r="1662" spans="1:13" x14ac:dyDescent="0.25">
      <c r="A1662" s="9">
        <f>Speed!A1662</f>
        <v>0</v>
      </c>
      <c r="B1662" s="9">
        <f t="shared" si="204"/>
        <v>0</v>
      </c>
      <c r="C1662" s="2">
        <f>Speed!B1662</f>
        <v>0</v>
      </c>
      <c r="D1662" s="9">
        <f>Odometer!A1662</f>
        <v>0</v>
      </c>
      <c r="E1662" s="9">
        <f t="shared" si="208"/>
        <v>0</v>
      </c>
      <c r="F1662" s="2">
        <f>Odometer!B1662</f>
        <v>0</v>
      </c>
      <c r="G1662" s="2">
        <f t="shared" si="205"/>
        <v>0</v>
      </c>
      <c r="H1662" s="2">
        <f>SUM($G$2:G1662)</f>
        <v>11920</v>
      </c>
      <c r="I1662" s="10">
        <f t="shared" si="209"/>
        <v>0</v>
      </c>
      <c r="J1662" s="10">
        <f t="shared" si="206"/>
        <v>0</v>
      </c>
      <c r="K1662" s="3">
        <f t="shared" si="207"/>
        <v>11920</v>
      </c>
      <c r="L1662">
        <f t="shared" si="203"/>
        <v>0</v>
      </c>
      <c r="M1662">
        <f t="shared" si="210"/>
        <v>0</v>
      </c>
    </row>
    <row r="1663" spans="1:13" x14ac:dyDescent="0.25">
      <c r="A1663" s="9">
        <f>Speed!A1663</f>
        <v>0</v>
      </c>
      <c r="B1663" s="9">
        <f t="shared" si="204"/>
        <v>0</v>
      </c>
      <c r="C1663" s="2">
        <f>Speed!B1663</f>
        <v>0</v>
      </c>
      <c r="D1663" s="9">
        <f>Odometer!A1663</f>
        <v>0</v>
      </c>
      <c r="E1663" s="9">
        <f t="shared" si="208"/>
        <v>0</v>
      </c>
      <c r="F1663" s="2">
        <f>Odometer!B1663</f>
        <v>0</v>
      </c>
      <c r="G1663" s="2">
        <f t="shared" si="205"/>
        <v>0</v>
      </c>
      <c r="H1663" s="2">
        <f>SUM($G$2:G1663)</f>
        <v>11920</v>
      </c>
      <c r="I1663" s="10">
        <f t="shared" si="209"/>
        <v>0</v>
      </c>
      <c r="J1663" s="10">
        <f t="shared" si="206"/>
        <v>0</v>
      </c>
      <c r="K1663" s="3">
        <f t="shared" si="207"/>
        <v>11920</v>
      </c>
      <c r="L1663">
        <f t="shared" si="203"/>
        <v>0</v>
      </c>
      <c r="M1663">
        <f t="shared" si="210"/>
        <v>0</v>
      </c>
    </row>
    <row r="1664" spans="1:13" x14ac:dyDescent="0.25">
      <c r="A1664" s="9">
        <f>Speed!A1664</f>
        <v>0</v>
      </c>
      <c r="B1664" s="9">
        <f t="shared" si="204"/>
        <v>0</v>
      </c>
      <c r="C1664" s="2">
        <f>Speed!B1664</f>
        <v>0</v>
      </c>
      <c r="D1664" s="9">
        <f>Odometer!A1664</f>
        <v>0</v>
      </c>
      <c r="E1664" s="9">
        <f t="shared" si="208"/>
        <v>0</v>
      </c>
      <c r="F1664" s="2">
        <f>Odometer!B1664</f>
        <v>0</v>
      </c>
      <c r="G1664" s="2">
        <f t="shared" si="205"/>
        <v>0</v>
      </c>
      <c r="H1664" s="2">
        <f>SUM($G$2:G1664)</f>
        <v>11920</v>
      </c>
      <c r="I1664" s="10">
        <f t="shared" si="209"/>
        <v>0</v>
      </c>
      <c r="J1664" s="10">
        <f t="shared" si="206"/>
        <v>0</v>
      </c>
      <c r="K1664" s="3">
        <f t="shared" si="207"/>
        <v>11920</v>
      </c>
      <c r="L1664">
        <f t="shared" si="203"/>
        <v>0</v>
      </c>
      <c r="M1664">
        <f t="shared" si="210"/>
        <v>0</v>
      </c>
    </row>
    <row r="1665" spans="1:13" x14ac:dyDescent="0.25">
      <c r="A1665" s="9">
        <f>Speed!A1665</f>
        <v>0</v>
      </c>
      <c r="B1665" s="9">
        <f t="shared" si="204"/>
        <v>0</v>
      </c>
      <c r="C1665" s="2">
        <f>Speed!B1665</f>
        <v>0</v>
      </c>
      <c r="D1665" s="9">
        <f>Odometer!A1665</f>
        <v>0</v>
      </c>
      <c r="E1665" s="9">
        <f t="shared" si="208"/>
        <v>0</v>
      </c>
      <c r="F1665" s="2">
        <f>Odometer!B1665</f>
        <v>0</v>
      </c>
      <c r="G1665" s="2">
        <f t="shared" si="205"/>
        <v>0</v>
      </c>
      <c r="H1665" s="2">
        <f>SUM($G$2:G1665)</f>
        <v>11920</v>
      </c>
      <c r="I1665" s="10">
        <f t="shared" si="209"/>
        <v>0</v>
      </c>
      <c r="J1665" s="10">
        <f t="shared" si="206"/>
        <v>0</v>
      </c>
      <c r="K1665" s="3">
        <f t="shared" si="207"/>
        <v>11920</v>
      </c>
      <c r="L1665">
        <f t="shared" si="203"/>
        <v>0</v>
      </c>
      <c r="M1665">
        <f t="shared" si="210"/>
        <v>0</v>
      </c>
    </row>
    <row r="1666" spans="1:13" x14ac:dyDescent="0.25">
      <c r="A1666" s="9">
        <f>Speed!A1666</f>
        <v>0</v>
      </c>
      <c r="B1666" s="9">
        <f t="shared" si="204"/>
        <v>0</v>
      </c>
      <c r="C1666" s="2">
        <f>Speed!B1666</f>
        <v>0</v>
      </c>
      <c r="D1666" s="9">
        <f>Odometer!A1666</f>
        <v>0</v>
      </c>
      <c r="E1666" s="9">
        <f t="shared" si="208"/>
        <v>0</v>
      </c>
      <c r="F1666" s="2">
        <f>Odometer!B1666</f>
        <v>0</v>
      </c>
      <c r="G1666" s="2">
        <f t="shared" si="205"/>
        <v>0</v>
      </c>
      <c r="H1666" s="2">
        <f>SUM($G$2:G1666)</f>
        <v>11920</v>
      </c>
      <c r="I1666" s="10">
        <f t="shared" si="209"/>
        <v>0</v>
      </c>
      <c r="J1666" s="10">
        <f t="shared" si="206"/>
        <v>0</v>
      </c>
      <c r="K1666" s="3">
        <f t="shared" si="207"/>
        <v>11920</v>
      </c>
      <c r="L1666">
        <f t="shared" ref="L1666:L1729" si="211">INDEX($C$2:$C$2000, MATCH(I1666,$A$2:$A$2000,0))</f>
        <v>0</v>
      </c>
      <c r="M1666">
        <f t="shared" si="210"/>
        <v>0</v>
      </c>
    </row>
    <row r="1667" spans="1:13" x14ac:dyDescent="0.25">
      <c r="A1667" s="9">
        <f>Speed!A1667</f>
        <v>0</v>
      </c>
      <c r="B1667" s="9">
        <f t="shared" ref="B1667:B1730" si="212">MROUND(A1667,"00:00:01")</f>
        <v>0</v>
      </c>
      <c r="C1667" s="2">
        <f>Speed!B1667</f>
        <v>0</v>
      </c>
      <c r="D1667" s="9">
        <f>Odometer!A1667</f>
        <v>0</v>
      </c>
      <c r="E1667" s="9">
        <f t="shared" si="208"/>
        <v>0</v>
      </c>
      <c r="F1667" s="2">
        <f>Odometer!B1667</f>
        <v>0</v>
      </c>
      <c r="G1667" s="2">
        <f t="shared" ref="G1667:G1730" si="213">IF(F1668-F1667&lt;0,0,F1668-F1667)</f>
        <v>0</v>
      </c>
      <c r="H1667" s="2">
        <f>SUM($G$2:G1667)</f>
        <v>11920</v>
      </c>
      <c r="I1667" s="10">
        <f t="shared" si="209"/>
        <v>0</v>
      </c>
      <c r="J1667" s="10">
        <f t="shared" ref="J1667:J1730" si="214">MROUND(I1667,"0:00:01")</f>
        <v>0</v>
      </c>
      <c r="K1667" s="3">
        <f t="shared" si="207"/>
        <v>11920</v>
      </c>
      <c r="L1667">
        <f t="shared" si="211"/>
        <v>0</v>
      </c>
      <c r="M1667">
        <f t="shared" si="210"/>
        <v>0</v>
      </c>
    </row>
    <row r="1668" spans="1:13" x14ac:dyDescent="0.25">
      <c r="A1668" s="9">
        <f>Speed!A1668</f>
        <v>0</v>
      </c>
      <c r="B1668" s="9">
        <f t="shared" si="212"/>
        <v>0</v>
      </c>
      <c r="C1668" s="2">
        <f>Speed!B1668</f>
        <v>0</v>
      </c>
      <c r="D1668" s="9">
        <f>Odometer!A1668</f>
        <v>0</v>
      </c>
      <c r="E1668" s="9">
        <f t="shared" si="208"/>
        <v>0</v>
      </c>
      <c r="F1668" s="2">
        <f>Odometer!B1668</f>
        <v>0</v>
      </c>
      <c r="G1668" s="2">
        <f t="shared" si="213"/>
        <v>0</v>
      </c>
      <c r="H1668" s="2">
        <f>SUM($G$2:G1668)</f>
        <v>11920</v>
      </c>
      <c r="I1668" s="10">
        <f t="shared" si="209"/>
        <v>0</v>
      </c>
      <c r="J1668" s="10">
        <f t="shared" si="214"/>
        <v>0</v>
      </c>
      <c r="K1668" s="3">
        <f t="shared" ref="K1668:K1731" si="215">IFERROR(INDEX($H$2:$H$2000,MATCH(J1668,$E$2:$E$2000,0)),NA())</f>
        <v>11920</v>
      </c>
      <c r="L1668">
        <f t="shared" si="211"/>
        <v>0</v>
      </c>
      <c r="M1668">
        <f t="shared" si="210"/>
        <v>0</v>
      </c>
    </row>
    <row r="1669" spans="1:13" x14ac:dyDescent="0.25">
      <c r="A1669" s="9">
        <f>Speed!A1669</f>
        <v>0</v>
      </c>
      <c r="B1669" s="9">
        <f t="shared" si="212"/>
        <v>0</v>
      </c>
      <c r="C1669" s="2">
        <f>Speed!B1669</f>
        <v>0</v>
      </c>
      <c r="D1669" s="9">
        <f>Odometer!A1669</f>
        <v>0</v>
      </c>
      <c r="E1669" s="9">
        <f t="shared" si="208"/>
        <v>0</v>
      </c>
      <c r="F1669" s="2">
        <f>Odometer!B1669</f>
        <v>0</v>
      </c>
      <c r="G1669" s="2">
        <f t="shared" si="213"/>
        <v>0</v>
      </c>
      <c r="H1669" s="2">
        <f>SUM($G$2:G1669)</f>
        <v>11920</v>
      </c>
      <c r="I1669" s="10">
        <f t="shared" si="209"/>
        <v>0</v>
      </c>
      <c r="J1669" s="10">
        <f t="shared" si="214"/>
        <v>0</v>
      </c>
      <c r="K1669" s="3">
        <f t="shared" si="215"/>
        <v>11920</v>
      </c>
      <c r="L1669">
        <f t="shared" si="211"/>
        <v>0</v>
      </c>
      <c r="M1669">
        <f t="shared" si="210"/>
        <v>0</v>
      </c>
    </row>
    <row r="1670" spans="1:13" x14ac:dyDescent="0.25">
      <c r="A1670" s="9">
        <f>Speed!A1670</f>
        <v>0</v>
      </c>
      <c r="B1670" s="9">
        <f t="shared" si="212"/>
        <v>0</v>
      </c>
      <c r="C1670" s="2">
        <f>Speed!B1670</f>
        <v>0</v>
      </c>
      <c r="D1670" s="9">
        <f>Odometer!A1670</f>
        <v>0</v>
      </c>
      <c r="E1670" s="9">
        <f t="shared" si="208"/>
        <v>0</v>
      </c>
      <c r="F1670" s="2">
        <f>Odometer!B1670</f>
        <v>0</v>
      </c>
      <c r="G1670" s="2">
        <f t="shared" si="213"/>
        <v>0</v>
      </c>
      <c r="H1670" s="2">
        <f>SUM($G$2:G1670)</f>
        <v>11920</v>
      </c>
      <c r="I1670" s="10">
        <f t="shared" si="209"/>
        <v>0</v>
      </c>
      <c r="J1670" s="10">
        <f t="shared" si="214"/>
        <v>0</v>
      </c>
      <c r="K1670" s="3">
        <f t="shared" si="215"/>
        <v>11920</v>
      </c>
      <c r="L1670">
        <f t="shared" si="211"/>
        <v>0</v>
      </c>
      <c r="M1670">
        <f t="shared" si="210"/>
        <v>0</v>
      </c>
    </row>
    <row r="1671" spans="1:13" x14ac:dyDescent="0.25">
      <c r="A1671" s="9">
        <f>Speed!A1671</f>
        <v>0</v>
      </c>
      <c r="B1671" s="9">
        <f t="shared" si="212"/>
        <v>0</v>
      </c>
      <c r="C1671" s="2">
        <f>Speed!B1671</f>
        <v>0</v>
      </c>
      <c r="D1671" s="9">
        <f>Odometer!A1671</f>
        <v>0</v>
      </c>
      <c r="E1671" s="9">
        <f t="shared" si="208"/>
        <v>0</v>
      </c>
      <c r="F1671" s="2">
        <f>Odometer!B1671</f>
        <v>0</v>
      </c>
      <c r="G1671" s="2">
        <f t="shared" si="213"/>
        <v>0</v>
      </c>
      <c r="H1671" s="2">
        <f>SUM($G$2:G1671)</f>
        <v>11920</v>
      </c>
      <c r="I1671" s="10">
        <f t="shared" si="209"/>
        <v>0</v>
      </c>
      <c r="J1671" s="10">
        <f t="shared" si="214"/>
        <v>0</v>
      </c>
      <c r="K1671" s="3">
        <f t="shared" si="215"/>
        <v>11920</v>
      </c>
      <c r="L1671">
        <f t="shared" si="211"/>
        <v>0</v>
      </c>
      <c r="M1671">
        <f t="shared" si="210"/>
        <v>0</v>
      </c>
    </row>
    <row r="1672" spans="1:13" x14ac:dyDescent="0.25">
      <c r="A1672" s="9">
        <f>Speed!A1672</f>
        <v>0</v>
      </c>
      <c r="B1672" s="9">
        <f t="shared" si="212"/>
        <v>0</v>
      </c>
      <c r="C1672" s="2">
        <f>Speed!B1672</f>
        <v>0</v>
      </c>
      <c r="D1672" s="9">
        <f>Odometer!A1672</f>
        <v>0</v>
      </c>
      <c r="E1672" s="9">
        <f t="shared" si="208"/>
        <v>0</v>
      </c>
      <c r="F1672" s="2">
        <f>Odometer!B1672</f>
        <v>0</v>
      </c>
      <c r="G1672" s="2">
        <f t="shared" si="213"/>
        <v>0</v>
      </c>
      <c r="H1672" s="2">
        <f>SUM($G$2:G1672)</f>
        <v>11920</v>
      </c>
      <c r="I1672" s="10">
        <f t="shared" si="209"/>
        <v>0</v>
      </c>
      <c r="J1672" s="10">
        <f t="shared" si="214"/>
        <v>0</v>
      </c>
      <c r="K1672" s="3">
        <f t="shared" si="215"/>
        <v>11920</v>
      </c>
      <c r="L1672">
        <f t="shared" si="211"/>
        <v>0</v>
      </c>
      <c r="M1672">
        <f t="shared" si="210"/>
        <v>0</v>
      </c>
    </row>
    <row r="1673" spans="1:13" x14ac:dyDescent="0.25">
      <c r="A1673" s="9">
        <f>Speed!A1673</f>
        <v>0</v>
      </c>
      <c r="B1673" s="9">
        <f t="shared" si="212"/>
        <v>0</v>
      </c>
      <c r="C1673" s="2">
        <f>Speed!B1673</f>
        <v>0</v>
      </c>
      <c r="D1673" s="9">
        <f>Odometer!A1673</f>
        <v>0</v>
      </c>
      <c r="E1673" s="9">
        <f t="shared" si="208"/>
        <v>0</v>
      </c>
      <c r="F1673" s="2">
        <f>Odometer!B1673</f>
        <v>0</v>
      </c>
      <c r="G1673" s="2">
        <f t="shared" si="213"/>
        <v>0</v>
      </c>
      <c r="H1673" s="2">
        <f>SUM($G$2:G1673)</f>
        <v>11920</v>
      </c>
      <c r="I1673" s="10">
        <f t="shared" si="209"/>
        <v>0</v>
      </c>
      <c r="J1673" s="10">
        <f t="shared" si="214"/>
        <v>0</v>
      </c>
      <c r="K1673" s="3">
        <f t="shared" si="215"/>
        <v>11920</v>
      </c>
      <c r="L1673">
        <f t="shared" si="211"/>
        <v>0</v>
      </c>
      <c r="M1673">
        <f t="shared" si="210"/>
        <v>0</v>
      </c>
    </row>
    <row r="1674" spans="1:13" x14ac:dyDescent="0.25">
      <c r="A1674" s="9">
        <f>Speed!A1674</f>
        <v>0</v>
      </c>
      <c r="B1674" s="9">
        <f t="shared" si="212"/>
        <v>0</v>
      </c>
      <c r="C1674" s="2">
        <f>Speed!B1674</f>
        <v>0</v>
      </c>
      <c r="D1674" s="9">
        <f>Odometer!A1674</f>
        <v>0</v>
      </c>
      <c r="E1674" s="9">
        <f t="shared" si="208"/>
        <v>0</v>
      </c>
      <c r="F1674" s="2">
        <f>Odometer!B1674</f>
        <v>0</v>
      </c>
      <c r="G1674" s="2">
        <f t="shared" si="213"/>
        <v>0</v>
      </c>
      <c r="H1674" s="2">
        <f>SUM($G$2:G1674)</f>
        <v>11920</v>
      </c>
      <c r="I1674" s="10">
        <f t="shared" si="209"/>
        <v>0</v>
      </c>
      <c r="J1674" s="10">
        <f t="shared" si="214"/>
        <v>0</v>
      </c>
      <c r="K1674" s="3">
        <f t="shared" si="215"/>
        <v>11920</v>
      </c>
      <c r="L1674">
        <f t="shared" si="211"/>
        <v>0</v>
      </c>
      <c r="M1674">
        <f t="shared" si="210"/>
        <v>0</v>
      </c>
    </row>
    <row r="1675" spans="1:13" x14ac:dyDescent="0.25">
      <c r="A1675" s="9">
        <f>Speed!A1675</f>
        <v>0</v>
      </c>
      <c r="B1675" s="9">
        <f t="shared" si="212"/>
        <v>0</v>
      </c>
      <c r="C1675" s="2">
        <f>Speed!B1675</f>
        <v>0</v>
      </c>
      <c r="D1675" s="9">
        <f>Odometer!A1675</f>
        <v>0</v>
      </c>
      <c r="E1675" s="9">
        <f t="shared" si="208"/>
        <v>0</v>
      </c>
      <c r="F1675" s="2">
        <f>Odometer!B1675</f>
        <v>0</v>
      </c>
      <c r="G1675" s="2">
        <f t="shared" si="213"/>
        <v>0</v>
      </c>
      <c r="H1675" s="2">
        <f>SUM($G$2:G1675)</f>
        <v>11920</v>
      </c>
      <c r="I1675" s="10">
        <f t="shared" si="209"/>
        <v>0</v>
      </c>
      <c r="J1675" s="10">
        <f t="shared" si="214"/>
        <v>0</v>
      </c>
      <c r="K1675" s="3">
        <f t="shared" si="215"/>
        <v>11920</v>
      </c>
      <c r="L1675">
        <f t="shared" si="211"/>
        <v>0</v>
      </c>
      <c r="M1675">
        <f t="shared" si="210"/>
        <v>0</v>
      </c>
    </row>
    <row r="1676" spans="1:13" x14ac:dyDescent="0.25">
      <c r="A1676" s="9">
        <f>Speed!A1676</f>
        <v>0</v>
      </c>
      <c r="B1676" s="9">
        <f t="shared" si="212"/>
        <v>0</v>
      </c>
      <c r="C1676" s="2">
        <f>Speed!B1676</f>
        <v>0</v>
      </c>
      <c r="D1676" s="9">
        <f>Odometer!A1676</f>
        <v>0</v>
      </c>
      <c r="E1676" s="9">
        <f t="shared" si="208"/>
        <v>0</v>
      </c>
      <c r="F1676" s="2">
        <f>Odometer!B1676</f>
        <v>0</v>
      </c>
      <c r="G1676" s="2">
        <f t="shared" si="213"/>
        <v>0</v>
      </c>
      <c r="H1676" s="2">
        <f>SUM($G$2:G1676)</f>
        <v>11920</v>
      </c>
      <c r="I1676" s="10">
        <f t="shared" si="209"/>
        <v>0</v>
      </c>
      <c r="J1676" s="10">
        <f t="shared" si="214"/>
        <v>0</v>
      </c>
      <c r="K1676" s="3">
        <f t="shared" si="215"/>
        <v>11920</v>
      </c>
      <c r="L1676">
        <f t="shared" si="211"/>
        <v>0</v>
      </c>
      <c r="M1676">
        <f t="shared" si="210"/>
        <v>0</v>
      </c>
    </row>
    <row r="1677" spans="1:13" x14ac:dyDescent="0.25">
      <c r="A1677" s="9">
        <f>Speed!A1677</f>
        <v>0</v>
      </c>
      <c r="B1677" s="9">
        <f t="shared" si="212"/>
        <v>0</v>
      </c>
      <c r="C1677" s="2">
        <f>Speed!B1677</f>
        <v>0</v>
      </c>
      <c r="D1677" s="9">
        <f>Odometer!A1677</f>
        <v>0</v>
      </c>
      <c r="E1677" s="9">
        <f t="shared" si="208"/>
        <v>0</v>
      </c>
      <c r="F1677" s="2">
        <f>Odometer!B1677</f>
        <v>0</v>
      </c>
      <c r="G1677" s="2">
        <f t="shared" si="213"/>
        <v>0</v>
      </c>
      <c r="H1677" s="2">
        <f>SUM($G$2:G1677)</f>
        <v>11920</v>
      </c>
      <c r="I1677" s="10">
        <f t="shared" si="209"/>
        <v>0</v>
      </c>
      <c r="J1677" s="10">
        <f t="shared" si="214"/>
        <v>0</v>
      </c>
      <c r="K1677" s="3">
        <f t="shared" si="215"/>
        <v>11920</v>
      </c>
      <c r="L1677">
        <f t="shared" si="211"/>
        <v>0</v>
      </c>
      <c r="M1677">
        <f t="shared" si="210"/>
        <v>0</v>
      </c>
    </row>
    <row r="1678" spans="1:13" x14ac:dyDescent="0.25">
      <c r="A1678" s="9">
        <f>Speed!A1678</f>
        <v>0</v>
      </c>
      <c r="B1678" s="9">
        <f t="shared" si="212"/>
        <v>0</v>
      </c>
      <c r="C1678" s="2">
        <f>Speed!B1678</f>
        <v>0</v>
      </c>
      <c r="D1678" s="9">
        <f>Odometer!A1678</f>
        <v>0</v>
      </c>
      <c r="E1678" s="9">
        <f t="shared" si="208"/>
        <v>0</v>
      </c>
      <c r="F1678" s="2">
        <f>Odometer!B1678</f>
        <v>0</v>
      </c>
      <c r="G1678" s="2">
        <f t="shared" si="213"/>
        <v>0</v>
      </c>
      <c r="H1678" s="2">
        <f>SUM($G$2:G1678)</f>
        <v>11920</v>
      </c>
      <c r="I1678" s="10">
        <f t="shared" si="209"/>
        <v>0</v>
      </c>
      <c r="J1678" s="10">
        <f t="shared" si="214"/>
        <v>0</v>
      </c>
      <c r="K1678" s="3">
        <f t="shared" si="215"/>
        <v>11920</v>
      </c>
      <c r="L1678">
        <f t="shared" si="211"/>
        <v>0</v>
      </c>
      <c r="M1678">
        <f t="shared" si="210"/>
        <v>0</v>
      </c>
    </row>
    <row r="1679" spans="1:13" x14ac:dyDescent="0.25">
      <c r="A1679" s="9">
        <f>Speed!A1679</f>
        <v>0</v>
      </c>
      <c r="B1679" s="9">
        <f t="shared" si="212"/>
        <v>0</v>
      </c>
      <c r="C1679" s="2">
        <f>Speed!B1679</f>
        <v>0</v>
      </c>
      <c r="D1679" s="9">
        <f>Odometer!A1679</f>
        <v>0</v>
      </c>
      <c r="E1679" s="9">
        <f t="shared" si="208"/>
        <v>0</v>
      </c>
      <c r="F1679" s="2">
        <f>Odometer!B1679</f>
        <v>0</v>
      </c>
      <c r="G1679" s="2">
        <f t="shared" si="213"/>
        <v>0</v>
      </c>
      <c r="H1679" s="2">
        <f>SUM($G$2:G1679)</f>
        <v>11920</v>
      </c>
      <c r="I1679" s="10">
        <f t="shared" si="209"/>
        <v>0</v>
      </c>
      <c r="J1679" s="10">
        <f t="shared" si="214"/>
        <v>0</v>
      </c>
      <c r="K1679" s="3">
        <f t="shared" si="215"/>
        <v>11920</v>
      </c>
      <c r="L1679">
        <f t="shared" si="211"/>
        <v>0</v>
      </c>
      <c r="M1679">
        <f t="shared" si="210"/>
        <v>0</v>
      </c>
    </row>
    <row r="1680" spans="1:13" x14ac:dyDescent="0.25">
      <c r="A1680" s="9">
        <f>Speed!A1680</f>
        <v>0</v>
      </c>
      <c r="B1680" s="9">
        <f t="shared" si="212"/>
        <v>0</v>
      </c>
      <c r="C1680" s="2">
        <f>Speed!B1680</f>
        <v>0</v>
      </c>
      <c r="D1680" s="9">
        <f>Odometer!A1680</f>
        <v>0</v>
      </c>
      <c r="E1680" s="9">
        <f t="shared" si="208"/>
        <v>0</v>
      </c>
      <c r="F1680" s="2">
        <f>Odometer!B1680</f>
        <v>0</v>
      </c>
      <c r="G1680" s="2">
        <f t="shared" si="213"/>
        <v>0</v>
      </c>
      <c r="H1680" s="2">
        <f>SUM($G$2:G1680)</f>
        <v>11920</v>
      </c>
      <c r="I1680" s="10">
        <f t="shared" si="209"/>
        <v>0</v>
      </c>
      <c r="J1680" s="10">
        <f t="shared" si="214"/>
        <v>0</v>
      </c>
      <c r="K1680" s="3">
        <f t="shared" si="215"/>
        <v>11920</v>
      </c>
      <c r="L1680">
        <f t="shared" si="211"/>
        <v>0</v>
      </c>
      <c r="M1680">
        <f t="shared" si="210"/>
        <v>0</v>
      </c>
    </row>
    <row r="1681" spans="1:13" x14ac:dyDescent="0.25">
      <c r="A1681" s="9">
        <f>Speed!A1681</f>
        <v>0</v>
      </c>
      <c r="B1681" s="9">
        <f t="shared" si="212"/>
        <v>0</v>
      </c>
      <c r="C1681" s="2">
        <f>Speed!B1681</f>
        <v>0</v>
      </c>
      <c r="D1681" s="9">
        <f>Odometer!A1681</f>
        <v>0</v>
      </c>
      <c r="E1681" s="9">
        <f t="shared" si="208"/>
        <v>0</v>
      </c>
      <c r="F1681" s="2">
        <f>Odometer!B1681</f>
        <v>0</v>
      </c>
      <c r="G1681" s="2">
        <f t="shared" si="213"/>
        <v>0</v>
      </c>
      <c r="H1681" s="2">
        <f>SUM($G$2:G1681)</f>
        <v>11920</v>
      </c>
      <c r="I1681" s="10">
        <f t="shared" si="209"/>
        <v>0</v>
      </c>
      <c r="J1681" s="10">
        <f t="shared" si="214"/>
        <v>0</v>
      </c>
      <c r="K1681" s="3">
        <f t="shared" si="215"/>
        <v>11920</v>
      </c>
      <c r="L1681">
        <f t="shared" si="211"/>
        <v>0</v>
      </c>
      <c r="M1681">
        <f t="shared" si="210"/>
        <v>0</v>
      </c>
    </row>
    <row r="1682" spans="1:13" x14ac:dyDescent="0.25">
      <c r="A1682" s="9">
        <f>Speed!A1682</f>
        <v>0</v>
      </c>
      <c r="B1682" s="9">
        <f t="shared" si="212"/>
        <v>0</v>
      </c>
      <c r="C1682" s="2">
        <f>Speed!B1682</f>
        <v>0</v>
      </c>
      <c r="D1682" s="9">
        <f>Odometer!A1682</f>
        <v>0</v>
      </c>
      <c r="E1682" s="9">
        <f t="shared" si="208"/>
        <v>0</v>
      </c>
      <c r="F1682" s="2">
        <f>Odometer!B1682</f>
        <v>0</v>
      </c>
      <c r="G1682" s="2">
        <f t="shared" si="213"/>
        <v>0</v>
      </c>
      <c r="H1682" s="2">
        <f>SUM($G$2:G1682)</f>
        <v>11920</v>
      </c>
      <c r="I1682" s="10">
        <f t="shared" si="209"/>
        <v>0</v>
      </c>
      <c r="J1682" s="10">
        <f t="shared" si="214"/>
        <v>0</v>
      </c>
      <c r="K1682" s="3">
        <f t="shared" si="215"/>
        <v>11920</v>
      </c>
      <c r="L1682">
        <f t="shared" si="211"/>
        <v>0</v>
      </c>
      <c r="M1682">
        <f t="shared" si="210"/>
        <v>0</v>
      </c>
    </row>
    <row r="1683" spans="1:13" x14ac:dyDescent="0.25">
      <c r="A1683" s="9">
        <f>Speed!A1683</f>
        <v>0</v>
      </c>
      <c r="B1683" s="9">
        <f t="shared" si="212"/>
        <v>0</v>
      </c>
      <c r="C1683" s="2">
        <f>Speed!B1683</f>
        <v>0</v>
      </c>
      <c r="D1683" s="9">
        <f>Odometer!A1683</f>
        <v>0</v>
      </c>
      <c r="E1683" s="9">
        <f t="shared" si="208"/>
        <v>0</v>
      </c>
      <c r="F1683" s="2">
        <f>Odometer!B1683</f>
        <v>0</v>
      </c>
      <c r="G1683" s="2">
        <f t="shared" si="213"/>
        <v>0</v>
      </c>
      <c r="H1683" s="2">
        <f>SUM($G$2:G1683)</f>
        <v>11920</v>
      </c>
      <c r="I1683" s="10">
        <f t="shared" si="209"/>
        <v>0</v>
      </c>
      <c r="J1683" s="10">
        <f t="shared" si="214"/>
        <v>0</v>
      </c>
      <c r="K1683" s="3">
        <f t="shared" si="215"/>
        <v>11920</v>
      </c>
      <c r="L1683">
        <f t="shared" si="211"/>
        <v>0</v>
      </c>
      <c r="M1683">
        <f t="shared" si="210"/>
        <v>0</v>
      </c>
    </row>
    <row r="1684" spans="1:13" x14ac:dyDescent="0.25">
      <c r="A1684" s="9">
        <f>Speed!A1684</f>
        <v>0</v>
      </c>
      <c r="B1684" s="9">
        <f t="shared" si="212"/>
        <v>0</v>
      </c>
      <c r="C1684" s="2">
        <f>Speed!B1684</f>
        <v>0</v>
      </c>
      <c r="D1684" s="9">
        <f>Odometer!A1684</f>
        <v>0</v>
      </c>
      <c r="E1684" s="9">
        <f t="shared" si="208"/>
        <v>0</v>
      </c>
      <c r="F1684" s="2">
        <f>Odometer!B1684</f>
        <v>0</v>
      </c>
      <c r="G1684" s="2">
        <f t="shared" si="213"/>
        <v>0</v>
      </c>
      <c r="H1684" s="2">
        <f>SUM($G$2:G1684)</f>
        <v>11920</v>
      </c>
      <c r="I1684" s="10">
        <f t="shared" si="209"/>
        <v>0</v>
      </c>
      <c r="J1684" s="10">
        <f t="shared" si="214"/>
        <v>0</v>
      </c>
      <c r="K1684" s="3">
        <f t="shared" si="215"/>
        <v>11920</v>
      </c>
      <c r="L1684">
        <f t="shared" si="211"/>
        <v>0</v>
      </c>
      <c r="M1684">
        <f t="shared" si="210"/>
        <v>0</v>
      </c>
    </row>
    <row r="1685" spans="1:13" x14ac:dyDescent="0.25">
      <c r="A1685" s="9">
        <f>Speed!A1685</f>
        <v>0</v>
      </c>
      <c r="B1685" s="9">
        <f t="shared" si="212"/>
        <v>0</v>
      </c>
      <c r="C1685" s="2">
        <f>Speed!B1685</f>
        <v>0</v>
      </c>
      <c r="D1685" s="9">
        <f>Odometer!A1685</f>
        <v>0</v>
      </c>
      <c r="E1685" s="9">
        <f t="shared" si="208"/>
        <v>0</v>
      </c>
      <c r="F1685" s="2">
        <f>Odometer!B1685</f>
        <v>0</v>
      </c>
      <c r="G1685" s="2">
        <f t="shared" si="213"/>
        <v>0</v>
      </c>
      <c r="H1685" s="2">
        <f>SUM($G$2:G1685)</f>
        <v>11920</v>
      </c>
      <c r="I1685" s="10">
        <f t="shared" si="209"/>
        <v>0</v>
      </c>
      <c r="J1685" s="10">
        <f t="shared" si="214"/>
        <v>0</v>
      </c>
      <c r="K1685" s="3">
        <f t="shared" si="215"/>
        <v>11920</v>
      </c>
      <c r="L1685">
        <f t="shared" si="211"/>
        <v>0</v>
      </c>
      <c r="M1685">
        <f t="shared" si="210"/>
        <v>0</v>
      </c>
    </row>
    <row r="1686" spans="1:13" x14ac:dyDescent="0.25">
      <c r="A1686" s="9">
        <f>Speed!A1686</f>
        <v>0</v>
      </c>
      <c r="B1686" s="9">
        <f t="shared" si="212"/>
        <v>0</v>
      </c>
      <c r="C1686" s="2">
        <f>Speed!B1686</f>
        <v>0</v>
      </c>
      <c r="D1686" s="9">
        <f>Odometer!A1686</f>
        <v>0</v>
      </c>
      <c r="E1686" s="9">
        <f t="shared" si="208"/>
        <v>0</v>
      </c>
      <c r="F1686" s="2">
        <f>Odometer!B1686</f>
        <v>0</v>
      </c>
      <c r="G1686" s="2">
        <f t="shared" si="213"/>
        <v>0</v>
      </c>
      <c r="H1686" s="2">
        <f>SUM($G$2:G1686)</f>
        <v>11920</v>
      </c>
      <c r="I1686" s="10">
        <f t="shared" si="209"/>
        <v>0</v>
      </c>
      <c r="J1686" s="10">
        <f t="shared" si="214"/>
        <v>0</v>
      </c>
      <c r="K1686" s="3">
        <f t="shared" si="215"/>
        <v>11920</v>
      </c>
      <c r="L1686">
        <f t="shared" si="211"/>
        <v>0</v>
      </c>
      <c r="M1686">
        <f t="shared" si="210"/>
        <v>0</v>
      </c>
    </row>
    <row r="1687" spans="1:13" x14ac:dyDescent="0.25">
      <c r="A1687" s="9">
        <f>Speed!A1687</f>
        <v>0</v>
      </c>
      <c r="B1687" s="9">
        <f t="shared" si="212"/>
        <v>0</v>
      </c>
      <c r="C1687" s="2">
        <f>Speed!B1687</f>
        <v>0</v>
      </c>
      <c r="D1687" s="9">
        <f>Odometer!A1687</f>
        <v>0</v>
      </c>
      <c r="E1687" s="9">
        <f t="shared" si="208"/>
        <v>0</v>
      </c>
      <c r="F1687" s="2">
        <f>Odometer!B1687</f>
        <v>0</v>
      </c>
      <c r="G1687" s="2">
        <f t="shared" si="213"/>
        <v>0</v>
      </c>
      <c r="H1687" s="2">
        <f>SUM($G$2:G1687)</f>
        <v>11920</v>
      </c>
      <c r="I1687" s="10">
        <f t="shared" si="209"/>
        <v>0</v>
      </c>
      <c r="J1687" s="10">
        <f t="shared" si="214"/>
        <v>0</v>
      </c>
      <c r="K1687" s="3">
        <f t="shared" si="215"/>
        <v>11920</v>
      </c>
      <c r="L1687">
        <f t="shared" si="211"/>
        <v>0</v>
      </c>
      <c r="M1687">
        <f t="shared" si="210"/>
        <v>0</v>
      </c>
    </row>
    <row r="1688" spans="1:13" x14ac:dyDescent="0.25">
      <c r="A1688" s="9">
        <f>Speed!A1688</f>
        <v>0</v>
      </c>
      <c r="B1688" s="9">
        <f t="shared" si="212"/>
        <v>0</v>
      </c>
      <c r="C1688" s="2">
        <f>Speed!B1688</f>
        <v>0</v>
      </c>
      <c r="D1688" s="9">
        <f>Odometer!A1688</f>
        <v>0</v>
      </c>
      <c r="E1688" s="9">
        <f t="shared" si="208"/>
        <v>0</v>
      </c>
      <c r="F1688" s="2">
        <f>Odometer!B1688</f>
        <v>0</v>
      </c>
      <c r="G1688" s="2">
        <f t="shared" si="213"/>
        <v>0</v>
      </c>
      <c r="H1688" s="2">
        <f>SUM($G$2:G1688)</f>
        <v>11920</v>
      </c>
      <c r="I1688" s="10">
        <f t="shared" si="209"/>
        <v>0</v>
      </c>
      <c r="J1688" s="10">
        <f t="shared" si="214"/>
        <v>0</v>
      </c>
      <c r="K1688" s="3">
        <f t="shared" si="215"/>
        <v>11920</v>
      </c>
      <c r="L1688">
        <f t="shared" si="211"/>
        <v>0</v>
      </c>
      <c r="M1688">
        <f t="shared" si="210"/>
        <v>0</v>
      </c>
    </row>
    <row r="1689" spans="1:13" x14ac:dyDescent="0.25">
      <c r="A1689" s="9">
        <f>Speed!A1689</f>
        <v>0</v>
      </c>
      <c r="B1689" s="9">
        <f t="shared" si="212"/>
        <v>0</v>
      </c>
      <c r="C1689" s="2">
        <f>Speed!B1689</f>
        <v>0</v>
      </c>
      <c r="D1689" s="9">
        <f>Odometer!A1689</f>
        <v>0</v>
      </c>
      <c r="E1689" s="9">
        <f t="shared" si="208"/>
        <v>0</v>
      </c>
      <c r="F1689" s="2">
        <f>Odometer!B1689</f>
        <v>0</v>
      </c>
      <c r="G1689" s="2">
        <f t="shared" si="213"/>
        <v>0</v>
      </c>
      <c r="H1689" s="2">
        <f>SUM($G$2:G1689)</f>
        <v>11920</v>
      </c>
      <c r="I1689" s="10">
        <f t="shared" si="209"/>
        <v>0</v>
      </c>
      <c r="J1689" s="10">
        <f t="shared" si="214"/>
        <v>0</v>
      </c>
      <c r="K1689" s="3">
        <f t="shared" si="215"/>
        <v>11920</v>
      </c>
      <c r="L1689">
        <f t="shared" si="211"/>
        <v>0</v>
      </c>
      <c r="M1689">
        <f t="shared" si="210"/>
        <v>0</v>
      </c>
    </row>
    <row r="1690" spans="1:13" x14ac:dyDescent="0.25">
      <c r="A1690" s="9">
        <f>Speed!A1690</f>
        <v>0</v>
      </c>
      <c r="B1690" s="9">
        <f t="shared" si="212"/>
        <v>0</v>
      </c>
      <c r="C1690" s="2">
        <f>Speed!B1690</f>
        <v>0</v>
      </c>
      <c r="D1690" s="9">
        <f>Odometer!A1690</f>
        <v>0</v>
      </c>
      <c r="E1690" s="9">
        <f t="shared" si="208"/>
        <v>0</v>
      </c>
      <c r="F1690" s="2">
        <f>Odometer!B1690</f>
        <v>0</v>
      </c>
      <c r="G1690" s="2">
        <f t="shared" si="213"/>
        <v>0</v>
      </c>
      <c r="H1690" s="2">
        <f>SUM($G$2:G1690)</f>
        <v>11920</v>
      </c>
      <c r="I1690" s="10">
        <f t="shared" si="209"/>
        <v>0</v>
      </c>
      <c r="J1690" s="10">
        <f t="shared" si="214"/>
        <v>0</v>
      </c>
      <c r="K1690" s="3">
        <f t="shared" si="215"/>
        <v>11920</v>
      </c>
      <c r="L1690">
        <f t="shared" si="211"/>
        <v>0</v>
      </c>
      <c r="M1690">
        <f t="shared" si="210"/>
        <v>0</v>
      </c>
    </row>
    <row r="1691" spans="1:13" x14ac:dyDescent="0.25">
      <c r="A1691" s="9">
        <f>Speed!A1691</f>
        <v>0</v>
      </c>
      <c r="B1691" s="9">
        <f t="shared" si="212"/>
        <v>0</v>
      </c>
      <c r="C1691" s="2">
        <f>Speed!B1691</f>
        <v>0</v>
      </c>
      <c r="D1691" s="9">
        <f>Odometer!A1691</f>
        <v>0</v>
      </c>
      <c r="E1691" s="9">
        <f t="shared" si="208"/>
        <v>0</v>
      </c>
      <c r="F1691" s="2">
        <f>Odometer!B1691</f>
        <v>0</v>
      </c>
      <c r="G1691" s="2">
        <f t="shared" si="213"/>
        <v>0</v>
      </c>
      <c r="H1691" s="2">
        <f>SUM($G$2:G1691)</f>
        <v>11920</v>
      </c>
      <c r="I1691" s="10">
        <f t="shared" si="209"/>
        <v>0</v>
      </c>
      <c r="J1691" s="10">
        <f t="shared" si="214"/>
        <v>0</v>
      </c>
      <c r="K1691" s="3">
        <f t="shared" si="215"/>
        <v>11920</v>
      </c>
      <c r="L1691">
        <f t="shared" si="211"/>
        <v>0</v>
      </c>
      <c r="M1691">
        <f t="shared" si="210"/>
        <v>0</v>
      </c>
    </row>
    <row r="1692" spans="1:13" x14ac:dyDescent="0.25">
      <c r="A1692" s="9">
        <f>Speed!A1692</f>
        <v>0</v>
      </c>
      <c r="B1692" s="9">
        <f t="shared" si="212"/>
        <v>0</v>
      </c>
      <c r="C1692" s="2">
        <f>Speed!B1692</f>
        <v>0</v>
      </c>
      <c r="D1692" s="9">
        <f>Odometer!A1692</f>
        <v>0</v>
      </c>
      <c r="E1692" s="9">
        <f t="shared" si="208"/>
        <v>0</v>
      </c>
      <c r="F1692" s="2">
        <f>Odometer!B1692</f>
        <v>0</v>
      </c>
      <c r="G1692" s="2">
        <f t="shared" si="213"/>
        <v>0</v>
      </c>
      <c r="H1692" s="2">
        <f>SUM($G$2:G1692)</f>
        <v>11920</v>
      </c>
      <c r="I1692" s="10">
        <f t="shared" si="209"/>
        <v>0</v>
      </c>
      <c r="J1692" s="10">
        <f t="shared" si="214"/>
        <v>0</v>
      </c>
      <c r="K1692" s="3">
        <f t="shared" si="215"/>
        <v>11920</v>
      </c>
      <c r="L1692">
        <f t="shared" si="211"/>
        <v>0</v>
      </c>
      <c r="M1692">
        <f t="shared" si="210"/>
        <v>0</v>
      </c>
    </row>
    <row r="1693" spans="1:13" x14ac:dyDescent="0.25">
      <c r="A1693" s="9">
        <f>Speed!A1693</f>
        <v>0</v>
      </c>
      <c r="B1693" s="9">
        <f t="shared" si="212"/>
        <v>0</v>
      </c>
      <c r="C1693" s="2">
        <f>Speed!B1693</f>
        <v>0</v>
      </c>
      <c r="D1693" s="9">
        <f>Odometer!A1693</f>
        <v>0</v>
      </c>
      <c r="E1693" s="9">
        <f t="shared" ref="E1693:E1756" si="216">MROUND(D1693,"00:00:01")</f>
        <v>0</v>
      </c>
      <c r="F1693" s="2">
        <f>Odometer!B1693</f>
        <v>0</v>
      </c>
      <c r="G1693" s="2">
        <f t="shared" si="213"/>
        <v>0</v>
      </c>
      <c r="H1693" s="2">
        <f>SUM($G$2:G1693)</f>
        <v>11920</v>
      </c>
      <c r="I1693" s="10">
        <f t="shared" ref="I1693:I1756" si="217">A1693</f>
        <v>0</v>
      </c>
      <c r="J1693" s="10">
        <f t="shared" si="214"/>
        <v>0</v>
      </c>
      <c r="K1693" s="3">
        <f t="shared" si="215"/>
        <v>11920</v>
      </c>
      <c r="L1693">
        <f t="shared" si="211"/>
        <v>0</v>
      </c>
      <c r="M1693">
        <f t="shared" ref="M1693:M1756" si="218">L1693*3.6</f>
        <v>0</v>
      </c>
    </row>
    <row r="1694" spans="1:13" x14ac:dyDescent="0.25">
      <c r="A1694" s="9">
        <f>Speed!A1694</f>
        <v>0</v>
      </c>
      <c r="B1694" s="9">
        <f t="shared" si="212"/>
        <v>0</v>
      </c>
      <c r="C1694" s="2">
        <f>Speed!B1694</f>
        <v>0</v>
      </c>
      <c r="D1694" s="9">
        <f>Odometer!A1694</f>
        <v>0</v>
      </c>
      <c r="E1694" s="9">
        <f t="shared" si="216"/>
        <v>0</v>
      </c>
      <c r="F1694" s="2">
        <f>Odometer!B1694</f>
        <v>0</v>
      </c>
      <c r="G1694" s="2">
        <f t="shared" si="213"/>
        <v>0</v>
      </c>
      <c r="H1694" s="2">
        <f>SUM($G$2:G1694)</f>
        <v>11920</v>
      </c>
      <c r="I1694" s="10">
        <f t="shared" si="217"/>
        <v>0</v>
      </c>
      <c r="J1694" s="10">
        <f t="shared" si="214"/>
        <v>0</v>
      </c>
      <c r="K1694" s="3">
        <f t="shared" si="215"/>
        <v>11920</v>
      </c>
      <c r="L1694">
        <f t="shared" si="211"/>
        <v>0</v>
      </c>
      <c r="M1694">
        <f t="shared" si="218"/>
        <v>0</v>
      </c>
    </row>
    <row r="1695" spans="1:13" x14ac:dyDescent="0.25">
      <c r="A1695" s="9">
        <f>Speed!A1695</f>
        <v>0</v>
      </c>
      <c r="B1695" s="9">
        <f t="shared" si="212"/>
        <v>0</v>
      </c>
      <c r="C1695" s="2">
        <f>Speed!B1695</f>
        <v>0</v>
      </c>
      <c r="D1695" s="9">
        <f>Odometer!A1695</f>
        <v>0</v>
      </c>
      <c r="E1695" s="9">
        <f t="shared" si="216"/>
        <v>0</v>
      </c>
      <c r="F1695" s="2">
        <f>Odometer!B1695</f>
        <v>0</v>
      </c>
      <c r="G1695" s="2">
        <f t="shared" si="213"/>
        <v>0</v>
      </c>
      <c r="H1695" s="2">
        <f>SUM($G$2:G1695)</f>
        <v>11920</v>
      </c>
      <c r="I1695" s="10">
        <f t="shared" si="217"/>
        <v>0</v>
      </c>
      <c r="J1695" s="10">
        <f t="shared" si="214"/>
        <v>0</v>
      </c>
      <c r="K1695" s="3">
        <f t="shared" si="215"/>
        <v>11920</v>
      </c>
      <c r="L1695">
        <f t="shared" si="211"/>
        <v>0</v>
      </c>
      <c r="M1695">
        <f t="shared" si="218"/>
        <v>0</v>
      </c>
    </row>
    <row r="1696" spans="1:13" x14ac:dyDescent="0.25">
      <c r="A1696" s="9">
        <f>Speed!A1696</f>
        <v>0</v>
      </c>
      <c r="B1696" s="9">
        <f t="shared" si="212"/>
        <v>0</v>
      </c>
      <c r="C1696" s="2">
        <f>Speed!B1696</f>
        <v>0</v>
      </c>
      <c r="D1696" s="9">
        <f>Odometer!A1696</f>
        <v>0</v>
      </c>
      <c r="E1696" s="9">
        <f t="shared" si="216"/>
        <v>0</v>
      </c>
      <c r="F1696" s="2">
        <f>Odometer!B1696</f>
        <v>0</v>
      </c>
      <c r="G1696" s="2">
        <f t="shared" si="213"/>
        <v>0</v>
      </c>
      <c r="H1696" s="2">
        <f>SUM($G$2:G1696)</f>
        <v>11920</v>
      </c>
      <c r="I1696" s="10">
        <f t="shared" si="217"/>
        <v>0</v>
      </c>
      <c r="J1696" s="10">
        <f t="shared" si="214"/>
        <v>0</v>
      </c>
      <c r="K1696" s="3">
        <f t="shared" si="215"/>
        <v>11920</v>
      </c>
      <c r="L1696">
        <f t="shared" si="211"/>
        <v>0</v>
      </c>
      <c r="M1696">
        <f t="shared" si="218"/>
        <v>0</v>
      </c>
    </row>
    <row r="1697" spans="1:13" x14ac:dyDescent="0.25">
      <c r="A1697" s="9">
        <f>Speed!A1697</f>
        <v>0</v>
      </c>
      <c r="B1697" s="9">
        <f t="shared" si="212"/>
        <v>0</v>
      </c>
      <c r="C1697" s="2">
        <f>Speed!B1697</f>
        <v>0</v>
      </c>
      <c r="D1697" s="9">
        <f>Odometer!A1697</f>
        <v>0</v>
      </c>
      <c r="E1697" s="9">
        <f t="shared" si="216"/>
        <v>0</v>
      </c>
      <c r="F1697" s="2">
        <f>Odometer!B1697</f>
        <v>0</v>
      </c>
      <c r="G1697" s="2">
        <f t="shared" si="213"/>
        <v>0</v>
      </c>
      <c r="H1697" s="2">
        <f>SUM($G$2:G1697)</f>
        <v>11920</v>
      </c>
      <c r="I1697" s="10">
        <f t="shared" si="217"/>
        <v>0</v>
      </c>
      <c r="J1697" s="10">
        <f t="shared" si="214"/>
        <v>0</v>
      </c>
      <c r="K1697" s="3">
        <f t="shared" si="215"/>
        <v>11920</v>
      </c>
      <c r="L1697">
        <f t="shared" si="211"/>
        <v>0</v>
      </c>
      <c r="M1697">
        <f t="shared" si="218"/>
        <v>0</v>
      </c>
    </row>
    <row r="1698" spans="1:13" x14ac:dyDescent="0.25">
      <c r="A1698" s="9">
        <f>Speed!A1698</f>
        <v>0</v>
      </c>
      <c r="B1698" s="9">
        <f t="shared" si="212"/>
        <v>0</v>
      </c>
      <c r="C1698" s="2">
        <f>Speed!B1698</f>
        <v>0</v>
      </c>
      <c r="D1698" s="9">
        <f>Odometer!A1698</f>
        <v>0</v>
      </c>
      <c r="E1698" s="9">
        <f t="shared" si="216"/>
        <v>0</v>
      </c>
      <c r="F1698" s="2">
        <f>Odometer!B1698</f>
        <v>0</v>
      </c>
      <c r="G1698" s="2">
        <f t="shared" si="213"/>
        <v>0</v>
      </c>
      <c r="H1698" s="2">
        <f>SUM($G$2:G1698)</f>
        <v>11920</v>
      </c>
      <c r="I1698" s="10">
        <f t="shared" si="217"/>
        <v>0</v>
      </c>
      <c r="J1698" s="10">
        <f t="shared" si="214"/>
        <v>0</v>
      </c>
      <c r="K1698" s="3">
        <f t="shared" si="215"/>
        <v>11920</v>
      </c>
      <c r="L1698">
        <f t="shared" si="211"/>
        <v>0</v>
      </c>
      <c r="M1698">
        <f t="shared" si="218"/>
        <v>0</v>
      </c>
    </row>
    <row r="1699" spans="1:13" x14ac:dyDescent="0.25">
      <c r="A1699" s="9">
        <f>Speed!A1699</f>
        <v>0</v>
      </c>
      <c r="B1699" s="9">
        <f t="shared" si="212"/>
        <v>0</v>
      </c>
      <c r="C1699" s="2">
        <f>Speed!B1699</f>
        <v>0</v>
      </c>
      <c r="D1699" s="9">
        <f>Odometer!A1699</f>
        <v>0</v>
      </c>
      <c r="E1699" s="9">
        <f t="shared" si="216"/>
        <v>0</v>
      </c>
      <c r="F1699" s="2">
        <f>Odometer!B1699</f>
        <v>0</v>
      </c>
      <c r="G1699" s="2">
        <f t="shared" si="213"/>
        <v>0</v>
      </c>
      <c r="H1699" s="2">
        <f>SUM($G$2:G1699)</f>
        <v>11920</v>
      </c>
      <c r="I1699" s="10">
        <f t="shared" si="217"/>
        <v>0</v>
      </c>
      <c r="J1699" s="10">
        <f t="shared" si="214"/>
        <v>0</v>
      </c>
      <c r="K1699" s="3">
        <f t="shared" si="215"/>
        <v>11920</v>
      </c>
      <c r="L1699">
        <f t="shared" si="211"/>
        <v>0</v>
      </c>
      <c r="M1699">
        <f t="shared" si="218"/>
        <v>0</v>
      </c>
    </row>
    <row r="1700" spans="1:13" x14ac:dyDescent="0.25">
      <c r="A1700" s="9">
        <f>Speed!A1700</f>
        <v>0</v>
      </c>
      <c r="B1700" s="9">
        <f t="shared" si="212"/>
        <v>0</v>
      </c>
      <c r="C1700" s="2">
        <f>Speed!B1700</f>
        <v>0</v>
      </c>
      <c r="D1700" s="9">
        <f>Odometer!A1700</f>
        <v>0</v>
      </c>
      <c r="E1700" s="9">
        <f t="shared" si="216"/>
        <v>0</v>
      </c>
      <c r="F1700" s="2">
        <f>Odometer!B1700</f>
        <v>0</v>
      </c>
      <c r="G1700" s="2">
        <f t="shared" si="213"/>
        <v>0</v>
      </c>
      <c r="H1700" s="2">
        <f>SUM($G$2:G1700)</f>
        <v>11920</v>
      </c>
      <c r="I1700" s="10">
        <f t="shared" si="217"/>
        <v>0</v>
      </c>
      <c r="J1700" s="10">
        <f t="shared" si="214"/>
        <v>0</v>
      </c>
      <c r="K1700" s="3">
        <f t="shared" si="215"/>
        <v>11920</v>
      </c>
      <c r="L1700">
        <f t="shared" si="211"/>
        <v>0</v>
      </c>
      <c r="M1700">
        <f t="shared" si="218"/>
        <v>0</v>
      </c>
    </row>
    <row r="1701" spans="1:13" x14ac:dyDescent="0.25">
      <c r="A1701" s="9">
        <f>Speed!A1701</f>
        <v>0</v>
      </c>
      <c r="B1701" s="9">
        <f t="shared" si="212"/>
        <v>0</v>
      </c>
      <c r="C1701" s="2">
        <f>Speed!B1701</f>
        <v>0</v>
      </c>
      <c r="D1701" s="9">
        <f>Odometer!A1701</f>
        <v>0</v>
      </c>
      <c r="E1701" s="9">
        <f t="shared" si="216"/>
        <v>0</v>
      </c>
      <c r="F1701" s="2">
        <f>Odometer!B1701</f>
        <v>0</v>
      </c>
      <c r="G1701" s="2">
        <f t="shared" si="213"/>
        <v>0</v>
      </c>
      <c r="H1701" s="2">
        <f>SUM($G$2:G1701)</f>
        <v>11920</v>
      </c>
      <c r="I1701" s="10">
        <f t="shared" si="217"/>
        <v>0</v>
      </c>
      <c r="J1701" s="10">
        <f t="shared" si="214"/>
        <v>0</v>
      </c>
      <c r="K1701" s="3">
        <f t="shared" si="215"/>
        <v>11920</v>
      </c>
      <c r="L1701">
        <f t="shared" si="211"/>
        <v>0</v>
      </c>
      <c r="M1701">
        <f t="shared" si="218"/>
        <v>0</v>
      </c>
    </row>
    <row r="1702" spans="1:13" x14ac:dyDescent="0.25">
      <c r="A1702" s="9">
        <f>Speed!A1702</f>
        <v>0</v>
      </c>
      <c r="B1702" s="9">
        <f t="shared" si="212"/>
        <v>0</v>
      </c>
      <c r="C1702" s="2">
        <f>Speed!B1702</f>
        <v>0</v>
      </c>
      <c r="D1702" s="9">
        <f>Odometer!A1702</f>
        <v>0</v>
      </c>
      <c r="E1702" s="9">
        <f t="shared" si="216"/>
        <v>0</v>
      </c>
      <c r="F1702" s="2">
        <f>Odometer!B1702</f>
        <v>0</v>
      </c>
      <c r="G1702" s="2">
        <f t="shared" si="213"/>
        <v>0</v>
      </c>
      <c r="H1702" s="2">
        <f>SUM($G$2:G1702)</f>
        <v>11920</v>
      </c>
      <c r="I1702" s="10">
        <f t="shared" si="217"/>
        <v>0</v>
      </c>
      <c r="J1702" s="10">
        <f t="shared" si="214"/>
        <v>0</v>
      </c>
      <c r="K1702" s="3">
        <f t="shared" si="215"/>
        <v>11920</v>
      </c>
      <c r="L1702">
        <f t="shared" si="211"/>
        <v>0</v>
      </c>
      <c r="M1702">
        <f t="shared" si="218"/>
        <v>0</v>
      </c>
    </row>
    <row r="1703" spans="1:13" x14ac:dyDescent="0.25">
      <c r="A1703" s="9">
        <f>Speed!A1703</f>
        <v>0</v>
      </c>
      <c r="B1703" s="9">
        <f t="shared" si="212"/>
        <v>0</v>
      </c>
      <c r="C1703" s="2">
        <f>Speed!B1703</f>
        <v>0</v>
      </c>
      <c r="D1703" s="9">
        <f>Odometer!A1703</f>
        <v>0</v>
      </c>
      <c r="E1703" s="9">
        <f t="shared" si="216"/>
        <v>0</v>
      </c>
      <c r="F1703" s="2">
        <f>Odometer!B1703</f>
        <v>0</v>
      </c>
      <c r="G1703" s="2">
        <f t="shared" si="213"/>
        <v>0</v>
      </c>
      <c r="H1703" s="2">
        <f>SUM($G$2:G1703)</f>
        <v>11920</v>
      </c>
      <c r="I1703" s="10">
        <f t="shared" si="217"/>
        <v>0</v>
      </c>
      <c r="J1703" s="10">
        <f t="shared" si="214"/>
        <v>0</v>
      </c>
      <c r="K1703" s="3">
        <f t="shared" si="215"/>
        <v>11920</v>
      </c>
      <c r="L1703">
        <f t="shared" si="211"/>
        <v>0</v>
      </c>
      <c r="M1703">
        <f t="shared" si="218"/>
        <v>0</v>
      </c>
    </row>
    <row r="1704" spans="1:13" x14ac:dyDescent="0.25">
      <c r="A1704" s="9">
        <f>Speed!A1704</f>
        <v>0</v>
      </c>
      <c r="B1704" s="9">
        <f t="shared" si="212"/>
        <v>0</v>
      </c>
      <c r="C1704" s="2">
        <f>Speed!B1704</f>
        <v>0</v>
      </c>
      <c r="D1704" s="9">
        <f>Odometer!A1704</f>
        <v>0</v>
      </c>
      <c r="E1704" s="9">
        <f t="shared" si="216"/>
        <v>0</v>
      </c>
      <c r="F1704" s="2">
        <f>Odometer!B1704</f>
        <v>0</v>
      </c>
      <c r="G1704" s="2">
        <f t="shared" si="213"/>
        <v>0</v>
      </c>
      <c r="H1704" s="2">
        <f>SUM($G$2:G1704)</f>
        <v>11920</v>
      </c>
      <c r="I1704" s="10">
        <f t="shared" si="217"/>
        <v>0</v>
      </c>
      <c r="J1704" s="10">
        <f t="shared" si="214"/>
        <v>0</v>
      </c>
      <c r="K1704" s="3">
        <f t="shared" si="215"/>
        <v>11920</v>
      </c>
      <c r="L1704">
        <f t="shared" si="211"/>
        <v>0</v>
      </c>
      <c r="M1704">
        <f t="shared" si="218"/>
        <v>0</v>
      </c>
    </row>
    <row r="1705" spans="1:13" x14ac:dyDescent="0.25">
      <c r="A1705" s="9">
        <f>Speed!A1705</f>
        <v>0</v>
      </c>
      <c r="B1705" s="9">
        <f t="shared" si="212"/>
        <v>0</v>
      </c>
      <c r="C1705" s="2">
        <f>Speed!B1705</f>
        <v>0</v>
      </c>
      <c r="D1705" s="9">
        <f>Odometer!A1705</f>
        <v>0</v>
      </c>
      <c r="E1705" s="9">
        <f t="shared" si="216"/>
        <v>0</v>
      </c>
      <c r="F1705" s="2">
        <f>Odometer!B1705</f>
        <v>0</v>
      </c>
      <c r="G1705" s="2">
        <f t="shared" si="213"/>
        <v>0</v>
      </c>
      <c r="H1705" s="2">
        <f>SUM($G$2:G1705)</f>
        <v>11920</v>
      </c>
      <c r="I1705" s="10">
        <f t="shared" si="217"/>
        <v>0</v>
      </c>
      <c r="J1705" s="10">
        <f t="shared" si="214"/>
        <v>0</v>
      </c>
      <c r="K1705" s="3">
        <f t="shared" si="215"/>
        <v>11920</v>
      </c>
      <c r="L1705">
        <f t="shared" si="211"/>
        <v>0</v>
      </c>
      <c r="M1705">
        <f t="shared" si="218"/>
        <v>0</v>
      </c>
    </row>
    <row r="1706" spans="1:13" x14ac:dyDescent="0.25">
      <c r="A1706" s="9">
        <f>Speed!A1706</f>
        <v>0</v>
      </c>
      <c r="B1706" s="9">
        <f t="shared" si="212"/>
        <v>0</v>
      </c>
      <c r="C1706" s="2">
        <f>Speed!B1706</f>
        <v>0</v>
      </c>
      <c r="D1706" s="9">
        <f>Odometer!A1706</f>
        <v>0</v>
      </c>
      <c r="E1706" s="9">
        <f t="shared" si="216"/>
        <v>0</v>
      </c>
      <c r="F1706" s="2">
        <f>Odometer!B1706</f>
        <v>0</v>
      </c>
      <c r="G1706" s="2">
        <f t="shared" si="213"/>
        <v>0</v>
      </c>
      <c r="H1706" s="2">
        <f>SUM($G$2:G1706)</f>
        <v>11920</v>
      </c>
      <c r="I1706" s="10">
        <f t="shared" si="217"/>
        <v>0</v>
      </c>
      <c r="J1706" s="10">
        <f t="shared" si="214"/>
        <v>0</v>
      </c>
      <c r="K1706" s="3">
        <f t="shared" si="215"/>
        <v>11920</v>
      </c>
      <c r="L1706">
        <f t="shared" si="211"/>
        <v>0</v>
      </c>
      <c r="M1706">
        <f t="shared" si="218"/>
        <v>0</v>
      </c>
    </row>
    <row r="1707" spans="1:13" x14ac:dyDescent="0.25">
      <c r="A1707" s="9">
        <f>Speed!A1707</f>
        <v>0</v>
      </c>
      <c r="B1707" s="9">
        <f t="shared" si="212"/>
        <v>0</v>
      </c>
      <c r="C1707" s="2">
        <f>Speed!B1707</f>
        <v>0</v>
      </c>
      <c r="D1707" s="9">
        <f>Odometer!A1707</f>
        <v>0</v>
      </c>
      <c r="E1707" s="9">
        <f t="shared" si="216"/>
        <v>0</v>
      </c>
      <c r="F1707" s="2">
        <f>Odometer!B1707</f>
        <v>0</v>
      </c>
      <c r="G1707" s="2">
        <f t="shared" si="213"/>
        <v>0</v>
      </c>
      <c r="H1707" s="2">
        <f>SUM($G$2:G1707)</f>
        <v>11920</v>
      </c>
      <c r="I1707" s="10">
        <f t="shared" si="217"/>
        <v>0</v>
      </c>
      <c r="J1707" s="10">
        <f t="shared" si="214"/>
        <v>0</v>
      </c>
      <c r="K1707" s="3">
        <f t="shared" si="215"/>
        <v>11920</v>
      </c>
      <c r="L1707">
        <f t="shared" si="211"/>
        <v>0</v>
      </c>
      <c r="M1707">
        <f t="shared" si="218"/>
        <v>0</v>
      </c>
    </row>
    <row r="1708" spans="1:13" x14ac:dyDescent="0.25">
      <c r="A1708" s="9">
        <f>Speed!A1708</f>
        <v>0</v>
      </c>
      <c r="B1708" s="9">
        <f t="shared" si="212"/>
        <v>0</v>
      </c>
      <c r="C1708" s="2">
        <f>Speed!B1708</f>
        <v>0</v>
      </c>
      <c r="D1708" s="9">
        <f>Odometer!A1708</f>
        <v>0</v>
      </c>
      <c r="E1708" s="9">
        <f t="shared" si="216"/>
        <v>0</v>
      </c>
      <c r="F1708" s="2">
        <f>Odometer!B1708</f>
        <v>0</v>
      </c>
      <c r="G1708" s="2">
        <f t="shared" si="213"/>
        <v>0</v>
      </c>
      <c r="H1708" s="2">
        <f>SUM($G$2:G1708)</f>
        <v>11920</v>
      </c>
      <c r="I1708" s="10">
        <f t="shared" si="217"/>
        <v>0</v>
      </c>
      <c r="J1708" s="10">
        <f t="shared" si="214"/>
        <v>0</v>
      </c>
      <c r="K1708" s="3">
        <f t="shared" si="215"/>
        <v>11920</v>
      </c>
      <c r="L1708">
        <f t="shared" si="211"/>
        <v>0</v>
      </c>
      <c r="M1708">
        <f t="shared" si="218"/>
        <v>0</v>
      </c>
    </row>
    <row r="1709" spans="1:13" x14ac:dyDescent="0.25">
      <c r="A1709" s="9">
        <f>Speed!A1709</f>
        <v>0</v>
      </c>
      <c r="B1709" s="9">
        <f t="shared" si="212"/>
        <v>0</v>
      </c>
      <c r="C1709" s="2">
        <f>Speed!B1709</f>
        <v>0</v>
      </c>
      <c r="D1709" s="9">
        <f>Odometer!A1709</f>
        <v>0</v>
      </c>
      <c r="E1709" s="9">
        <f t="shared" si="216"/>
        <v>0</v>
      </c>
      <c r="F1709" s="2">
        <f>Odometer!B1709</f>
        <v>0</v>
      </c>
      <c r="G1709" s="2">
        <f t="shared" si="213"/>
        <v>0</v>
      </c>
      <c r="H1709" s="2">
        <f>SUM($G$2:G1709)</f>
        <v>11920</v>
      </c>
      <c r="I1709" s="10">
        <f t="shared" si="217"/>
        <v>0</v>
      </c>
      <c r="J1709" s="10">
        <f t="shared" si="214"/>
        <v>0</v>
      </c>
      <c r="K1709" s="3">
        <f t="shared" si="215"/>
        <v>11920</v>
      </c>
      <c r="L1709">
        <f t="shared" si="211"/>
        <v>0</v>
      </c>
      <c r="M1709">
        <f t="shared" si="218"/>
        <v>0</v>
      </c>
    </row>
    <row r="1710" spans="1:13" x14ac:dyDescent="0.25">
      <c r="A1710" s="9">
        <f>Speed!A1710</f>
        <v>0</v>
      </c>
      <c r="B1710" s="9">
        <f t="shared" si="212"/>
        <v>0</v>
      </c>
      <c r="C1710" s="2">
        <f>Speed!B1710</f>
        <v>0</v>
      </c>
      <c r="D1710" s="9">
        <f>Odometer!A1710</f>
        <v>0</v>
      </c>
      <c r="E1710" s="9">
        <f t="shared" si="216"/>
        <v>0</v>
      </c>
      <c r="F1710" s="2">
        <f>Odometer!B1710</f>
        <v>0</v>
      </c>
      <c r="G1710" s="2">
        <f t="shared" si="213"/>
        <v>0</v>
      </c>
      <c r="H1710" s="2">
        <f>SUM($G$2:G1710)</f>
        <v>11920</v>
      </c>
      <c r="I1710" s="10">
        <f t="shared" si="217"/>
        <v>0</v>
      </c>
      <c r="J1710" s="10">
        <f t="shared" si="214"/>
        <v>0</v>
      </c>
      <c r="K1710" s="3">
        <f t="shared" si="215"/>
        <v>11920</v>
      </c>
      <c r="L1710">
        <f t="shared" si="211"/>
        <v>0</v>
      </c>
      <c r="M1710">
        <f t="shared" si="218"/>
        <v>0</v>
      </c>
    </row>
    <row r="1711" spans="1:13" x14ac:dyDescent="0.25">
      <c r="A1711" s="9">
        <f>Speed!A1711</f>
        <v>0</v>
      </c>
      <c r="B1711" s="9">
        <f t="shared" si="212"/>
        <v>0</v>
      </c>
      <c r="C1711" s="2">
        <f>Speed!B1711</f>
        <v>0</v>
      </c>
      <c r="D1711" s="9">
        <f>Odometer!A1711</f>
        <v>0</v>
      </c>
      <c r="E1711" s="9">
        <f t="shared" si="216"/>
        <v>0</v>
      </c>
      <c r="F1711" s="2">
        <f>Odometer!B1711</f>
        <v>0</v>
      </c>
      <c r="G1711" s="2">
        <f t="shared" si="213"/>
        <v>0</v>
      </c>
      <c r="H1711" s="2">
        <f>SUM($G$2:G1711)</f>
        <v>11920</v>
      </c>
      <c r="I1711" s="10">
        <f t="shared" si="217"/>
        <v>0</v>
      </c>
      <c r="J1711" s="10">
        <f t="shared" si="214"/>
        <v>0</v>
      </c>
      <c r="K1711" s="3">
        <f t="shared" si="215"/>
        <v>11920</v>
      </c>
      <c r="L1711">
        <f t="shared" si="211"/>
        <v>0</v>
      </c>
      <c r="M1711">
        <f t="shared" si="218"/>
        <v>0</v>
      </c>
    </row>
    <row r="1712" spans="1:13" x14ac:dyDescent="0.25">
      <c r="A1712" s="9">
        <f>Speed!A1712</f>
        <v>0</v>
      </c>
      <c r="B1712" s="9">
        <f t="shared" si="212"/>
        <v>0</v>
      </c>
      <c r="C1712" s="2">
        <f>Speed!B1712</f>
        <v>0</v>
      </c>
      <c r="D1712" s="9">
        <f>Odometer!A1712</f>
        <v>0</v>
      </c>
      <c r="E1712" s="9">
        <f t="shared" si="216"/>
        <v>0</v>
      </c>
      <c r="F1712" s="2">
        <f>Odometer!B1712</f>
        <v>0</v>
      </c>
      <c r="G1712" s="2">
        <f t="shared" si="213"/>
        <v>0</v>
      </c>
      <c r="H1712" s="2">
        <f>SUM($G$2:G1712)</f>
        <v>11920</v>
      </c>
      <c r="I1712" s="10">
        <f t="shared" si="217"/>
        <v>0</v>
      </c>
      <c r="J1712" s="10">
        <f t="shared" si="214"/>
        <v>0</v>
      </c>
      <c r="K1712" s="3">
        <f t="shared" si="215"/>
        <v>11920</v>
      </c>
      <c r="L1712">
        <f t="shared" si="211"/>
        <v>0</v>
      </c>
      <c r="M1712">
        <f t="shared" si="218"/>
        <v>0</v>
      </c>
    </row>
    <row r="1713" spans="1:13" x14ac:dyDescent="0.25">
      <c r="A1713" s="9">
        <f>Speed!A1713</f>
        <v>0</v>
      </c>
      <c r="B1713" s="9">
        <f t="shared" si="212"/>
        <v>0</v>
      </c>
      <c r="C1713" s="2">
        <f>Speed!B1713</f>
        <v>0</v>
      </c>
      <c r="D1713" s="9">
        <f>Odometer!A1713</f>
        <v>0</v>
      </c>
      <c r="E1713" s="9">
        <f t="shared" si="216"/>
        <v>0</v>
      </c>
      <c r="F1713" s="2">
        <f>Odometer!B1713</f>
        <v>0</v>
      </c>
      <c r="G1713" s="2">
        <f t="shared" si="213"/>
        <v>0</v>
      </c>
      <c r="H1713" s="2">
        <f>SUM($G$2:G1713)</f>
        <v>11920</v>
      </c>
      <c r="I1713" s="10">
        <f t="shared" si="217"/>
        <v>0</v>
      </c>
      <c r="J1713" s="10">
        <f t="shared" si="214"/>
        <v>0</v>
      </c>
      <c r="K1713" s="3">
        <f t="shared" si="215"/>
        <v>11920</v>
      </c>
      <c r="L1713">
        <f t="shared" si="211"/>
        <v>0</v>
      </c>
      <c r="M1713">
        <f t="shared" si="218"/>
        <v>0</v>
      </c>
    </row>
    <row r="1714" spans="1:13" x14ac:dyDescent="0.25">
      <c r="A1714" s="9">
        <f>Speed!A1714</f>
        <v>0</v>
      </c>
      <c r="B1714" s="9">
        <f t="shared" si="212"/>
        <v>0</v>
      </c>
      <c r="C1714" s="2">
        <f>Speed!B1714</f>
        <v>0</v>
      </c>
      <c r="D1714" s="9">
        <f>Odometer!A1714</f>
        <v>0</v>
      </c>
      <c r="E1714" s="9">
        <f t="shared" si="216"/>
        <v>0</v>
      </c>
      <c r="F1714" s="2">
        <f>Odometer!B1714</f>
        <v>0</v>
      </c>
      <c r="G1714" s="2">
        <f t="shared" si="213"/>
        <v>0</v>
      </c>
      <c r="H1714" s="2">
        <f>SUM($G$2:G1714)</f>
        <v>11920</v>
      </c>
      <c r="I1714" s="10">
        <f t="shared" si="217"/>
        <v>0</v>
      </c>
      <c r="J1714" s="10">
        <f t="shared" si="214"/>
        <v>0</v>
      </c>
      <c r="K1714" s="3">
        <f t="shared" si="215"/>
        <v>11920</v>
      </c>
      <c r="L1714">
        <f t="shared" si="211"/>
        <v>0</v>
      </c>
      <c r="M1714">
        <f t="shared" si="218"/>
        <v>0</v>
      </c>
    </row>
    <row r="1715" spans="1:13" x14ac:dyDescent="0.25">
      <c r="A1715" s="9">
        <f>Speed!A1715</f>
        <v>0</v>
      </c>
      <c r="B1715" s="9">
        <f t="shared" si="212"/>
        <v>0</v>
      </c>
      <c r="C1715" s="2">
        <f>Speed!B1715</f>
        <v>0</v>
      </c>
      <c r="D1715" s="9">
        <f>Odometer!A1715</f>
        <v>0</v>
      </c>
      <c r="E1715" s="9">
        <f t="shared" si="216"/>
        <v>0</v>
      </c>
      <c r="F1715" s="2">
        <f>Odometer!B1715</f>
        <v>0</v>
      </c>
      <c r="G1715" s="2">
        <f t="shared" si="213"/>
        <v>0</v>
      </c>
      <c r="H1715" s="2">
        <f>SUM($G$2:G1715)</f>
        <v>11920</v>
      </c>
      <c r="I1715" s="10">
        <f t="shared" si="217"/>
        <v>0</v>
      </c>
      <c r="J1715" s="10">
        <f t="shared" si="214"/>
        <v>0</v>
      </c>
      <c r="K1715" s="3">
        <f t="shared" si="215"/>
        <v>11920</v>
      </c>
      <c r="L1715">
        <f t="shared" si="211"/>
        <v>0</v>
      </c>
      <c r="M1715">
        <f t="shared" si="218"/>
        <v>0</v>
      </c>
    </row>
    <row r="1716" spans="1:13" x14ac:dyDescent="0.25">
      <c r="A1716" s="9">
        <f>Speed!A1716</f>
        <v>0</v>
      </c>
      <c r="B1716" s="9">
        <f t="shared" si="212"/>
        <v>0</v>
      </c>
      <c r="C1716" s="2">
        <f>Speed!B1716</f>
        <v>0</v>
      </c>
      <c r="D1716" s="9">
        <f>Odometer!A1716</f>
        <v>0</v>
      </c>
      <c r="E1716" s="9">
        <f t="shared" si="216"/>
        <v>0</v>
      </c>
      <c r="F1716" s="2">
        <f>Odometer!B1716</f>
        <v>0</v>
      </c>
      <c r="G1716" s="2">
        <f t="shared" si="213"/>
        <v>0</v>
      </c>
      <c r="H1716" s="2">
        <f>SUM($G$2:G1716)</f>
        <v>11920</v>
      </c>
      <c r="I1716" s="10">
        <f t="shared" si="217"/>
        <v>0</v>
      </c>
      <c r="J1716" s="10">
        <f t="shared" si="214"/>
        <v>0</v>
      </c>
      <c r="K1716" s="3">
        <f t="shared" si="215"/>
        <v>11920</v>
      </c>
      <c r="L1716">
        <f t="shared" si="211"/>
        <v>0</v>
      </c>
      <c r="M1716">
        <f t="shared" si="218"/>
        <v>0</v>
      </c>
    </row>
    <row r="1717" spans="1:13" x14ac:dyDescent="0.25">
      <c r="A1717" s="9">
        <f>Speed!A1717</f>
        <v>0</v>
      </c>
      <c r="B1717" s="9">
        <f t="shared" si="212"/>
        <v>0</v>
      </c>
      <c r="C1717" s="2">
        <f>Speed!B1717</f>
        <v>0</v>
      </c>
      <c r="D1717" s="9">
        <f>Odometer!A1717</f>
        <v>0</v>
      </c>
      <c r="E1717" s="9">
        <f t="shared" si="216"/>
        <v>0</v>
      </c>
      <c r="F1717" s="2">
        <f>Odometer!B1717</f>
        <v>0</v>
      </c>
      <c r="G1717" s="2">
        <f t="shared" si="213"/>
        <v>0</v>
      </c>
      <c r="H1717" s="2">
        <f>SUM($G$2:G1717)</f>
        <v>11920</v>
      </c>
      <c r="I1717" s="10">
        <f t="shared" si="217"/>
        <v>0</v>
      </c>
      <c r="J1717" s="10">
        <f t="shared" si="214"/>
        <v>0</v>
      </c>
      <c r="K1717" s="3">
        <f t="shared" si="215"/>
        <v>11920</v>
      </c>
      <c r="L1717">
        <f t="shared" si="211"/>
        <v>0</v>
      </c>
      <c r="M1717">
        <f t="shared" si="218"/>
        <v>0</v>
      </c>
    </row>
    <row r="1718" spans="1:13" x14ac:dyDescent="0.25">
      <c r="A1718" s="9">
        <f>Speed!A1718</f>
        <v>0</v>
      </c>
      <c r="B1718" s="9">
        <f t="shared" si="212"/>
        <v>0</v>
      </c>
      <c r="C1718" s="2">
        <f>Speed!B1718</f>
        <v>0</v>
      </c>
      <c r="D1718" s="9">
        <f>Odometer!A1718</f>
        <v>0</v>
      </c>
      <c r="E1718" s="9">
        <f t="shared" si="216"/>
        <v>0</v>
      </c>
      <c r="F1718" s="2">
        <f>Odometer!B1718</f>
        <v>0</v>
      </c>
      <c r="G1718" s="2">
        <f t="shared" si="213"/>
        <v>0</v>
      </c>
      <c r="H1718" s="2">
        <f>SUM($G$2:G1718)</f>
        <v>11920</v>
      </c>
      <c r="I1718" s="10">
        <f t="shared" si="217"/>
        <v>0</v>
      </c>
      <c r="J1718" s="10">
        <f t="shared" si="214"/>
        <v>0</v>
      </c>
      <c r="K1718" s="3">
        <f t="shared" si="215"/>
        <v>11920</v>
      </c>
      <c r="L1718">
        <f t="shared" si="211"/>
        <v>0</v>
      </c>
      <c r="M1718">
        <f t="shared" si="218"/>
        <v>0</v>
      </c>
    </row>
    <row r="1719" spans="1:13" x14ac:dyDescent="0.25">
      <c r="A1719" s="9">
        <f>Speed!A1719</f>
        <v>0</v>
      </c>
      <c r="B1719" s="9">
        <f t="shared" si="212"/>
        <v>0</v>
      </c>
      <c r="C1719" s="2">
        <f>Speed!B1719</f>
        <v>0</v>
      </c>
      <c r="D1719" s="9">
        <f>Odometer!A1719</f>
        <v>0</v>
      </c>
      <c r="E1719" s="9">
        <f t="shared" si="216"/>
        <v>0</v>
      </c>
      <c r="F1719" s="2">
        <f>Odometer!B1719</f>
        <v>0</v>
      </c>
      <c r="G1719" s="2">
        <f t="shared" si="213"/>
        <v>0</v>
      </c>
      <c r="H1719" s="2">
        <f>SUM($G$2:G1719)</f>
        <v>11920</v>
      </c>
      <c r="I1719" s="10">
        <f t="shared" si="217"/>
        <v>0</v>
      </c>
      <c r="J1719" s="10">
        <f t="shared" si="214"/>
        <v>0</v>
      </c>
      <c r="K1719" s="3">
        <f t="shared" si="215"/>
        <v>11920</v>
      </c>
      <c r="L1719">
        <f t="shared" si="211"/>
        <v>0</v>
      </c>
      <c r="M1719">
        <f t="shared" si="218"/>
        <v>0</v>
      </c>
    </row>
    <row r="1720" spans="1:13" x14ac:dyDescent="0.25">
      <c r="A1720" s="9">
        <f>Speed!A1720</f>
        <v>0</v>
      </c>
      <c r="B1720" s="9">
        <f t="shared" si="212"/>
        <v>0</v>
      </c>
      <c r="C1720" s="2">
        <f>Speed!B1720</f>
        <v>0</v>
      </c>
      <c r="D1720" s="9">
        <f>Odometer!A1720</f>
        <v>0</v>
      </c>
      <c r="E1720" s="9">
        <f t="shared" si="216"/>
        <v>0</v>
      </c>
      <c r="F1720" s="2">
        <f>Odometer!B1720</f>
        <v>0</v>
      </c>
      <c r="G1720" s="2">
        <f t="shared" si="213"/>
        <v>0</v>
      </c>
      <c r="H1720" s="2">
        <f>SUM($G$2:G1720)</f>
        <v>11920</v>
      </c>
      <c r="I1720" s="10">
        <f t="shared" si="217"/>
        <v>0</v>
      </c>
      <c r="J1720" s="10">
        <f t="shared" si="214"/>
        <v>0</v>
      </c>
      <c r="K1720" s="3">
        <f t="shared" si="215"/>
        <v>11920</v>
      </c>
      <c r="L1720">
        <f t="shared" si="211"/>
        <v>0</v>
      </c>
      <c r="M1720">
        <f t="shared" si="218"/>
        <v>0</v>
      </c>
    </row>
    <row r="1721" spans="1:13" x14ac:dyDescent="0.25">
      <c r="A1721" s="9">
        <f>Speed!A1721</f>
        <v>0</v>
      </c>
      <c r="B1721" s="9">
        <f t="shared" si="212"/>
        <v>0</v>
      </c>
      <c r="C1721" s="2">
        <f>Speed!B1721</f>
        <v>0</v>
      </c>
      <c r="D1721" s="9">
        <f>Odometer!A1721</f>
        <v>0</v>
      </c>
      <c r="E1721" s="9">
        <f t="shared" si="216"/>
        <v>0</v>
      </c>
      <c r="F1721" s="2">
        <f>Odometer!B1721</f>
        <v>0</v>
      </c>
      <c r="G1721" s="2">
        <f t="shared" si="213"/>
        <v>0</v>
      </c>
      <c r="H1721" s="2">
        <f>SUM($G$2:G1721)</f>
        <v>11920</v>
      </c>
      <c r="I1721" s="10">
        <f t="shared" si="217"/>
        <v>0</v>
      </c>
      <c r="J1721" s="10">
        <f t="shared" si="214"/>
        <v>0</v>
      </c>
      <c r="K1721" s="3">
        <f t="shared" si="215"/>
        <v>11920</v>
      </c>
      <c r="L1721">
        <f t="shared" si="211"/>
        <v>0</v>
      </c>
      <c r="M1721">
        <f t="shared" si="218"/>
        <v>0</v>
      </c>
    </row>
    <row r="1722" spans="1:13" x14ac:dyDescent="0.25">
      <c r="A1722" s="9">
        <f>Speed!A1722</f>
        <v>0</v>
      </c>
      <c r="B1722" s="9">
        <f t="shared" si="212"/>
        <v>0</v>
      </c>
      <c r="C1722" s="2">
        <f>Speed!B1722</f>
        <v>0</v>
      </c>
      <c r="D1722" s="9">
        <f>Odometer!A1722</f>
        <v>0</v>
      </c>
      <c r="E1722" s="9">
        <f t="shared" si="216"/>
        <v>0</v>
      </c>
      <c r="F1722" s="2">
        <f>Odometer!B1722</f>
        <v>0</v>
      </c>
      <c r="G1722" s="2">
        <f t="shared" si="213"/>
        <v>0</v>
      </c>
      <c r="H1722" s="2">
        <f>SUM($G$2:G1722)</f>
        <v>11920</v>
      </c>
      <c r="I1722" s="10">
        <f t="shared" si="217"/>
        <v>0</v>
      </c>
      <c r="J1722" s="10">
        <f t="shared" si="214"/>
        <v>0</v>
      </c>
      <c r="K1722" s="3">
        <f t="shared" si="215"/>
        <v>11920</v>
      </c>
      <c r="L1722">
        <f t="shared" si="211"/>
        <v>0</v>
      </c>
      <c r="M1722">
        <f t="shared" si="218"/>
        <v>0</v>
      </c>
    </row>
    <row r="1723" spans="1:13" x14ac:dyDescent="0.25">
      <c r="A1723" s="9">
        <f>Speed!A1723</f>
        <v>0</v>
      </c>
      <c r="B1723" s="9">
        <f t="shared" si="212"/>
        <v>0</v>
      </c>
      <c r="C1723" s="2">
        <f>Speed!B1723</f>
        <v>0</v>
      </c>
      <c r="D1723" s="9">
        <f>Odometer!A1723</f>
        <v>0</v>
      </c>
      <c r="E1723" s="9">
        <f t="shared" si="216"/>
        <v>0</v>
      </c>
      <c r="F1723" s="2">
        <f>Odometer!B1723</f>
        <v>0</v>
      </c>
      <c r="G1723" s="2">
        <f t="shared" si="213"/>
        <v>0</v>
      </c>
      <c r="H1723" s="2">
        <f>SUM($G$2:G1723)</f>
        <v>11920</v>
      </c>
      <c r="I1723" s="10">
        <f t="shared" si="217"/>
        <v>0</v>
      </c>
      <c r="J1723" s="10">
        <f t="shared" si="214"/>
        <v>0</v>
      </c>
      <c r="K1723" s="3">
        <f t="shared" si="215"/>
        <v>11920</v>
      </c>
      <c r="L1723">
        <f t="shared" si="211"/>
        <v>0</v>
      </c>
      <c r="M1723">
        <f t="shared" si="218"/>
        <v>0</v>
      </c>
    </row>
    <row r="1724" spans="1:13" x14ac:dyDescent="0.25">
      <c r="A1724" s="9">
        <f>Speed!A1724</f>
        <v>0</v>
      </c>
      <c r="B1724" s="9">
        <f t="shared" si="212"/>
        <v>0</v>
      </c>
      <c r="C1724" s="2">
        <f>Speed!B1724</f>
        <v>0</v>
      </c>
      <c r="D1724" s="9">
        <f>Odometer!A1724</f>
        <v>0</v>
      </c>
      <c r="E1724" s="9">
        <f t="shared" si="216"/>
        <v>0</v>
      </c>
      <c r="F1724" s="2">
        <f>Odometer!B1724</f>
        <v>0</v>
      </c>
      <c r="G1724" s="2">
        <f t="shared" si="213"/>
        <v>0</v>
      </c>
      <c r="H1724" s="2">
        <f>SUM($G$2:G1724)</f>
        <v>11920</v>
      </c>
      <c r="I1724" s="10">
        <f t="shared" si="217"/>
        <v>0</v>
      </c>
      <c r="J1724" s="10">
        <f t="shared" si="214"/>
        <v>0</v>
      </c>
      <c r="K1724" s="3">
        <f t="shared" si="215"/>
        <v>11920</v>
      </c>
      <c r="L1724">
        <f t="shared" si="211"/>
        <v>0</v>
      </c>
      <c r="M1724">
        <f t="shared" si="218"/>
        <v>0</v>
      </c>
    </row>
    <row r="1725" spans="1:13" x14ac:dyDescent="0.25">
      <c r="A1725" s="9">
        <f>Speed!A1725</f>
        <v>0</v>
      </c>
      <c r="B1725" s="9">
        <f t="shared" si="212"/>
        <v>0</v>
      </c>
      <c r="C1725" s="2">
        <f>Speed!B1725</f>
        <v>0</v>
      </c>
      <c r="D1725" s="9">
        <f>Odometer!A1725</f>
        <v>0</v>
      </c>
      <c r="E1725" s="9">
        <f t="shared" si="216"/>
        <v>0</v>
      </c>
      <c r="F1725" s="2">
        <f>Odometer!B1725</f>
        <v>0</v>
      </c>
      <c r="G1725" s="2">
        <f t="shared" si="213"/>
        <v>0</v>
      </c>
      <c r="H1725" s="2">
        <f>SUM($G$2:G1725)</f>
        <v>11920</v>
      </c>
      <c r="I1725" s="10">
        <f t="shared" si="217"/>
        <v>0</v>
      </c>
      <c r="J1725" s="10">
        <f t="shared" si="214"/>
        <v>0</v>
      </c>
      <c r="K1725" s="3">
        <f t="shared" si="215"/>
        <v>11920</v>
      </c>
      <c r="L1725">
        <f t="shared" si="211"/>
        <v>0</v>
      </c>
      <c r="M1725">
        <f t="shared" si="218"/>
        <v>0</v>
      </c>
    </row>
    <row r="1726" spans="1:13" x14ac:dyDescent="0.25">
      <c r="A1726" s="9">
        <f>Speed!A1726</f>
        <v>0</v>
      </c>
      <c r="B1726" s="9">
        <f t="shared" si="212"/>
        <v>0</v>
      </c>
      <c r="C1726" s="2">
        <f>Speed!B1726</f>
        <v>0</v>
      </c>
      <c r="D1726" s="9">
        <f>Odometer!A1726</f>
        <v>0</v>
      </c>
      <c r="E1726" s="9">
        <f t="shared" si="216"/>
        <v>0</v>
      </c>
      <c r="F1726" s="2">
        <f>Odometer!B1726</f>
        <v>0</v>
      </c>
      <c r="G1726" s="2">
        <f t="shared" si="213"/>
        <v>0</v>
      </c>
      <c r="H1726" s="2">
        <f>SUM($G$2:G1726)</f>
        <v>11920</v>
      </c>
      <c r="I1726" s="10">
        <f t="shared" si="217"/>
        <v>0</v>
      </c>
      <c r="J1726" s="10">
        <f t="shared" si="214"/>
        <v>0</v>
      </c>
      <c r="K1726" s="3">
        <f t="shared" si="215"/>
        <v>11920</v>
      </c>
      <c r="L1726">
        <f t="shared" si="211"/>
        <v>0</v>
      </c>
      <c r="M1726">
        <f t="shared" si="218"/>
        <v>0</v>
      </c>
    </row>
    <row r="1727" spans="1:13" x14ac:dyDescent="0.25">
      <c r="A1727" s="9">
        <f>Speed!A1727</f>
        <v>0</v>
      </c>
      <c r="B1727" s="9">
        <f t="shared" si="212"/>
        <v>0</v>
      </c>
      <c r="C1727" s="2">
        <f>Speed!B1727</f>
        <v>0</v>
      </c>
      <c r="D1727" s="9">
        <f>Odometer!A1727</f>
        <v>0</v>
      </c>
      <c r="E1727" s="9">
        <f t="shared" si="216"/>
        <v>0</v>
      </c>
      <c r="F1727" s="2">
        <f>Odometer!B1727</f>
        <v>0</v>
      </c>
      <c r="G1727" s="2">
        <f t="shared" si="213"/>
        <v>0</v>
      </c>
      <c r="H1727" s="2">
        <f>SUM($G$2:G1727)</f>
        <v>11920</v>
      </c>
      <c r="I1727" s="10">
        <f t="shared" si="217"/>
        <v>0</v>
      </c>
      <c r="J1727" s="10">
        <f t="shared" si="214"/>
        <v>0</v>
      </c>
      <c r="K1727" s="3">
        <f t="shared" si="215"/>
        <v>11920</v>
      </c>
      <c r="L1727">
        <f t="shared" si="211"/>
        <v>0</v>
      </c>
      <c r="M1727">
        <f t="shared" si="218"/>
        <v>0</v>
      </c>
    </row>
    <row r="1728" spans="1:13" x14ac:dyDescent="0.25">
      <c r="A1728" s="9">
        <f>Speed!A1728</f>
        <v>0</v>
      </c>
      <c r="B1728" s="9">
        <f t="shared" si="212"/>
        <v>0</v>
      </c>
      <c r="C1728" s="2">
        <f>Speed!B1728</f>
        <v>0</v>
      </c>
      <c r="D1728" s="9">
        <f>Odometer!A1728</f>
        <v>0</v>
      </c>
      <c r="E1728" s="9">
        <f t="shared" si="216"/>
        <v>0</v>
      </c>
      <c r="F1728" s="2">
        <f>Odometer!B1728</f>
        <v>0</v>
      </c>
      <c r="G1728" s="2">
        <f t="shared" si="213"/>
        <v>0</v>
      </c>
      <c r="H1728" s="2">
        <f>SUM($G$2:G1728)</f>
        <v>11920</v>
      </c>
      <c r="I1728" s="10">
        <f t="shared" si="217"/>
        <v>0</v>
      </c>
      <c r="J1728" s="10">
        <f t="shared" si="214"/>
        <v>0</v>
      </c>
      <c r="K1728" s="3">
        <f t="shared" si="215"/>
        <v>11920</v>
      </c>
      <c r="L1728">
        <f t="shared" si="211"/>
        <v>0</v>
      </c>
      <c r="M1728">
        <f t="shared" si="218"/>
        <v>0</v>
      </c>
    </row>
    <row r="1729" spans="1:13" x14ac:dyDescent="0.25">
      <c r="A1729" s="9">
        <f>Speed!A1729</f>
        <v>0</v>
      </c>
      <c r="B1729" s="9">
        <f t="shared" si="212"/>
        <v>0</v>
      </c>
      <c r="C1729" s="2">
        <f>Speed!B1729</f>
        <v>0</v>
      </c>
      <c r="D1729" s="9">
        <f>Odometer!A1729</f>
        <v>0</v>
      </c>
      <c r="E1729" s="9">
        <f t="shared" si="216"/>
        <v>0</v>
      </c>
      <c r="F1729" s="2">
        <f>Odometer!B1729</f>
        <v>0</v>
      </c>
      <c r="G1729" s="2">
        <f t="shared" si="213"/>
        <v>0</v>
      </c>
      <c r="H1729" s="2">
        <f>SUM($G$2:G1729)</f>
        <v>11920</v>
      </c>
      <c r="I1729" s="10">
        <f t="shared" si="217"/>
        <v>0</v>
      </c>
      <c r="J1729" s="10">
        <f t="shared" si="214"/>
        <v>0</v>
      </c>
      <c r="K1729" s="3">
        <f t="shared" si="215"/>
        <v>11920</v>
      </c>
      <c r="L1729">
        <f t="shared" si="211"/>
        <v>0</v>
      </c>
      <c r="M1729">
        <f t="shared" si="218"/>
        <v>0</v>
      </c>
    </row>
    <row r="1730" spans="1:13" x14ac:dyDescent="0.25">
      <c r="A1730" s="9">
        <f>Speed!A1730</f>
        <v>0</v>
      </c>
      <c r="B1730" s="9">
        <f t="shared" si="212"/>
        <v>0</v>
      </c>
      <c r="C1730" s="2">
        <f>Speed!B1730</f>
        <v>0</v>
      </c>
      <c r="D1730" s="9">
        <f>Odometer!A1730</f>
        <v>0</v>
      </c>
      <c r="E1730" s="9">
        <f t="shared" si="216"/>
        <v>0</v>
      </c>
      <c r="F1730" s="2">
        <f>Odometer!B1730</f>
        <v>0</v>
      </c>
      <c r="G1730" s="2">
        <f t="shared" si="213"/>
        <v>0</v>
      </c>
      <c r="H1730" s="2">
        <f>SUM($G$2:G1730)</f>
        <v>11920</v>
      </c>
      <c r="I1730" s="10">
        <f t="shared" si="217"/>
        <v>0</v>
      </c>
      <c r="J1730" s="10">
        <f t="shared" si="214"/>
        <v>0</v>
      </c>
      <c r="K1730" s="3">
        <f t="shared" si="215"/>
        <v>11920</v>
      </c>
      <c r="L1730">
        <f t="shared" ref="L1730:L1793" si="219">INDEX($C$2:$C$2000, MATCH(I1730,$A$2:$A$2000,0))</f>
        <v>0</v>
      </c>
      <c r="M1730">
        <f t="shared" si="218"/>
        <v>0</v>
      </c>
    </row>
    <row r="1731" spans="1:13" x14ac:dyDescent="0.25">
      <c r="A1731" s="9">
        <f>Speed!A1731</f>
        <v>0</v>
      </c>
      <c r="B1731" s="9">
        <f t="shared" ref="B1731:B1794" si="220">MROUND(A1731,"00:00:01")</f>
        <v>0</v>
      </c>
      <c r="C1731" s="2">
        <f>Speed!B1731</f>
        <v>0</v>
      </c>
      <c r="D1731" s="9">
        <f>Odometer!A1731</f>
        <v>0</v>
      </c>
      <c r="E1731" s="9">
        <f t="shared" si="216"/>
        <v>0</v>
      </c>
      <c r="F1731" s="2">
        <f>Odometer!B1731</f>
        <v>0</v>
      </c>
      <c r="G1731" s="2">
        <f t="shared" ref="G1731:G1794" si="221">IF(F1732-F1731&lt;0,0,F1732-F1731)</f>
        <v>0</v>
      </c>
      <c r="H1731" s="2">
        <f>SUM($G$2:G1731)</f>
        <v>11920</v>
      </c>
      <c r="I1731" s="10">
        <f t="shared" si="217"/>
        <v>0</v>
      </c>
      <c r="J1731" s="10">
        <f t="shared" ref="J1731:J1794" si="222">MROUND(I1731,"0:00:01")</f>
        <v>0</v>
      </c>
      <c r="K1731" s="3">
        <f t="shared" si="215"/>
        <v>11920</v>
      </c>
      <c r="L1731">
        <f t="shared" si="219"/>
        <v>0</v>
      </c>
      <c r="M1731">
        <f t="shared" si="218"/>
        <v>0</v>
      </c>
    </row>
    <row r="1732" spans="1:13" x14ac:dyDescent="0.25">
      <c r="A1732" s="9">
        <f>Speed!A1732</f>
        <v>0</v>
      </c>
      <c r="B1732" s="9">
        <f t="shared" si="220"/>
        <v>0</v>
      </c>
      <c r="C1732" s="2">
        <f>Speed!B1732</f>
        <v>0</v>
      </c>
      <c r="D1732" s="9">
        <f>Odometer!A1732</f>
        <v>0</v>
      </c>
      <c r="E1732" s="9">
        <f t="shared" si="216"/>
        <v>0</v>
      </c>
      <c r="F1732" s="2">
        <f>Odometer!B1732</f>
        <v>0</v>
      </c>
      <c r="G1732" s="2">
        <f t="shared" si="221"/>
        <v>0</v>
      </c>
      <c r="H1732" s="2">
        <f>SUM($G$2:G1732)</f>
        <v>11920</v>
      </c>
      <c r="I1732" s="10">
        <f t="shared" si="217"/>
        <v>0</v>
      </c>
      <c r="J1732" s="10">
        <f t="shared" si="222"/>
        <v>0</v>
      </c>
      <c r="K1732" s="3">
        <f t="shared" ref="K1732:K1795" si="223">IFERROR(INDEX($H$2:$H$2000,MATCH(J1732,$E$2:$E$2000,0)),NA())</f>
        <v>11920</v>
      </c>
      <c r="L1732">
        <f t="shared" si="219"/>
        <v>0</v>
      </c>
      <c r="M1732">
        <f t="shared" si="218"/>
        <v>0</v>
      </c>
    </row>
    <row r="1733" spans="1:13" x14ac:dyDescent="0.25">
      <c r="A1733" s="9">
        <f>Speed!A1733</f>
        <v>0</v>
      </c>
      <c r="B1733" s="9">
        <f t="shared" si="220"/>
        <v>0</v>
      </c>
      <c r="C1733" s="2">
        <f>Speed!B1733</f>
        <v>0</v>
      </c>
      <c r="D1733" s="9">
        <f>Odometer!A1733</f>
        <v>0</v>
      </c>
      <c r="E1733" s="9">
        <f t="shared" si="216"/>
        <v>0</v>
      </c>
      <c r="F1733" s="2">
        <f>Odometer!B1733</f>
        <v>0</v>
      </c>
      <c r="G1733" s="2">
        <f t="shared" si="221"/>
        <v>0</v>
      </c>
      <c r="H1733" s="2">
        <f>SUM($G$2:G1733)</f>
        <v>11920</v>
      </c>
      <c r="I1733" s="10">
        <f t="shared" si="217"/>
        <v>0</v>
      </c>
      <c r="J1733" s="10">
        <f t="shared" si="222"/>
        <v>0</v>
      </c>
      <c r="K1733" s="3">
        <f t="shared" si="223"/>
        <v>11920</v>
      </c>
      <c r="L1733">
        <f t="shared" si="219"/>
        <v>0</v>
      </c>
      <c r="M1733">
        <f t="shared" si="218"/>
        <v>0</v>
      </c>
    </row>
    <row r="1734" spans="1:13" x14ac:dyDescent="0.25">
      <c r="A1734" s="9">
        <f>Speed!A1734</f>
        <v>0</v>
      </c>
      <c r="B1734" s="9">
        <f t="shared" si="220"/>
        <v>0</v>
      </c>
      <c r="C1734" s="2">
        <f>Speed!B1734</f>
        <v>0</v>
      </c>
      <c r="D1734" s="9">
        <f>Odometer!A1734</f>
        <v>0</v>
      </c>
      <c r="E1734" s="9">
        <f t="shared" si="216"/>
        <v>0</v>
      </c>
      <c r="F1734" s="2">
        <f>Odometer!B1734</f>
        <v>0</v>
      </c>
      <c r="G1734" s="2">
        <f t="shared" si="221"/>
        <v>0</v>
      </c>
      <c r="H1734" s="2">
        <f>SUM($G$2:G1734)</f>
        <v>11920</v>
      </c>
      <c r="I1734" s="10">
        <f t="shared" si="217"/>
        <v>0</v>
      </c>
      <c r="J1734" s="10">
        <f t="shared" si="222"/>
        <v>0</v>
      </c>
      <c r="K1734" s="3">
        <f t="shared" si="223"/>
        <v>11920</v>
      </c>
      <c r="L1734">
        <f t="shared" si="219"/>
        <v>0</v>
      </c>
      <c r="M1734">
        <f t="shared" si="218"/>
        <v>0</v>
      </c>
    </row>
    <row r="1735" spans="1:13" x14ac:dyDescent="0.25">
      <c r="A1735" s="9">
        <f>Speed!A1735</f>
        <v>0</v>
      </c>
      <c r="B1735" s="9">
        <f t="shared" si="220"/>
        <v>0</v>
      </c>
      <c r="C1735" s="2">
        <f>Speed!B1735</f>
        <v>0</v>
      </c>
      <c r="D1735" s="9">
        <f>Odometer!A1735</f>
        <v>0</v>
      </c>
      <c r="E1735" s="9">
        <f t="shared" si="216"/>
        <v>0</v>
      </c>
      <c r="F1735" s="2">
        <f>Odometer!B1735</f>
        <v>0</v>
      </c>
      <c r="G1735" s="2">
        <f t="shared" si="221"/>
        <v>0</v>
      </c>
      <c r="H1735" s="2">
        <f>SUM($G$2:G1735)</f>
        <v>11920</v>
      </c>
      <c r="I1735" s="10">
        <f t="shared" si="217"/>
        <v>0</v>
      </c>
      <c r="J1735" s="10">
        <f t="shared" si="222"/>
        <v>0</v>
      </c>
      <c r="K1735" s="3">
        <f t="shared" si="223"/>
        <v>11920</v>
      </c>
      <c r="L1735">
        <f t="shared" si="219"/>
        <v>0</v>
      </c>
      <c r="M1735">
        <f t="shared" si="218"/>
        <v>0</v>
      </c>
    </row>
    <row r="1736" spans="1:13" x14ac:dyDescent="0.25">
      <c r="A1736" s="9">
        <f>Speed!A1736</f>
        <v>0</v>
      </c>
      <c r="B1736" s="9">
        <f t="shared" si="220"/>
        <v>0</v>
      </c>
      <c r="C1736" s="2">
        <f>Speed!B1736</f>
        <v>0</v>
      </c>
      <c r="D1736" s="9">
        <f>Odometer!A1736</f>
        <v>0</v>
      </c>
      <c r="E1736" s="9">
        <f t="shared" si="216"/>
        <v>0</v>
      </c>
      <c r="F1736" s="2">
        <f>Odometer!B1736</f>
        <v>0</v>
      </c>
      <c r="G1736" s="2">
        <f t="shared" si="221"/>
        <v>0</v>
      </c>
      <c r="H1736" s="2">
        <f>SUM($G$2:G1736)</f>
        <v>11920</v>
      </c>
      <c r="I1736" s="10">
        <f t="shared" si="217"/>
        <v>0</v>
      </c>
      <c r="J1736" s="10">
        <f t="shared" si="222"/>
        <v>0</v>
      </c>
      <c r="K1736" s="3">
        <f t="shared" si="223"/>
        <v>11920</v>
      </c>
      <c r="L1736">
        <f t="shared" si="219"/>
        <v>0</v>
      </c>
      <c r="M1736">
        <f t="shared" si="218"/>
        <v>0</v>
      </c>
    </row>
    <row r="1737" spans="1:13" x14ac:dyDescent="0.25">
      <c r="A1737" s="9">
        <f>Speed!A1737</f>
        <v>0</v>
      </c>
      <c r="B1737" s="9">
        <f t="shared" si="220"/>
        <v>0</v>
      </c>
      <c r="C1737" s="2">
        <f>Speed!B1737</f>
        <v>0</v>
      </c>
      <c r="D1737" s="9">
        <f>Odometer!A1737</f>
        <v>0</v>
      </c>
      <c r="E1737" s="9">
        <f t="shared" si="216"/>
        <v>0</v>
      </c>
      <c r="F1737" s="2">
        <f>Odometer!B1737</f>
        <v>0</v>
      </c>
      <c r="G1737" s="2">
        <f t="shared" si="221"/>
        <v>0</v>
      </c>
      <c r="H1737" s="2">
        <f>SUM($G$2:G1737)</f>
        <v>11920</v>
      </c>
      <c r="I1737" s="10">
        <f t="shared" si="217"/>
        <v>0</v>
      </c>
      <c r="J1737" s="10">
        <f t="shared" si="222"/>
        <v>0</v>
      </c>
      <c r="K1737" s="3">
        <f t="shared" si="223"/>
        <v>11920</v>
      </c>
      <c r="L1737">
        <f t="shared" si="219"/>
        <v>0</v>
      </c>
      <c r="M1737">
        <f t="shared" si="218"/>
        <v>0</v>
      </c>
    </row>
    <row r="1738" spans="1:13" x14ac:dyDescent="0.25">
      <c r="A1738" s="9">
        <f>Speed!A1738</f>
        <v>0</v>
      </c>
      <c r="B1738" s="9">
        <f t="shared" si="220"/>
        <v>0</v>
      </c>
      <c r="C1738" s="2">
        <f>Speed!B1738</f>
        <v>0</v>
      </c>
      <c r="D1738" s="9">
        <f>Odometer!A1738</f>
        <v>0</v>
      </c>
      <c r="E1738" s="9">
        <f t="shared" si="216"/>
        <v>0</v>
      </c>
      <c r="F1738" s="2">
        <f>Odometer!B1738</f>
        <v>0</v>
      </c>
      <c r="G1738" s="2">
        <f t="shared" si="221"/>
        <v>0</v>
      </c>
      <c r="H1738" s="2">
        <f>SUM($G$2:G1738)</f>
        <v>11920</v>
      </c>
      <c r="I1738" s="10">
        <f t="shared" si="217"/>
        <v>0</v>
      </c>
      <c r="J1738" s="10">
        <f t="shared" si="222"/>
        <v>0</v>
      </c>
      <c r="K1738" s="3">
        <f t="shared" si="223"/>
        <v>11920</v>
      </c>
      <c r="L1738">
        <f t="shared" si="219"/>
        <v>0</v>
      </c>
      <c r="M1738">
        <f t="shared" si="218"/>
        <v>0</v>
      </c>
    </row>
    <row r="1739" spans="1:13" x14ac:dyDescent="0.25">
      <c r="A1739" s="9">
        <f>Speed!A1739</f>
        <v>0</v>
      </c>
      <c r="B1739" s="9">
        <f t="shared" si="220"/>
        <v>0</v>
      </c>
      <c r="C1739" s="2">
        <f>Speed!B1739</f>
        <v>0</v>
      </c>
      <c r="D1739" s="9">
        <f>Odometer!A1739</f>
        <v>0</v>
      </c>
      <c r="E1739" s="9">
        <f t="shared" si="216"/>
        <v>0</v>
      </c>
      <c r="F1739" s="2">
        <f>Odometer!B1739</f>
        <v>0</v>
      </c>
      <c r="G1739" s="2">
        <f t="shared" si="221"/>
        <v>0</v>
      </c>
      <c r="H1739" s="2">
        <f>SUM($G$2:G1739)</f>
        <v>11920</v>
      </c>
      <c r="I1739" s="10">
        <f t="shared" si="217"/>
        <v>0</v>
      </c>
      <c r="J1739" s="10">
        <f t="shared" si="222"/>
        <v>0</v>
      </c>
      <c r="K1739" s="3">
        <f t="shared" si="223"/>
        <v>11920</v>
      </c>
      <c r="L1739">
        <f t="shared" si="219"/>
        <v>0</v>
      </c>
      <c r="M1739">
        <f t="shared" si="218"/>
        <v>0</v>
      </c>
    </row>
    <row r="1740" spans="1:13" x14ac:dyDescent="0.25">
      <c r="A1740" s="9">
        <f>Speed!A1740</f>
        <v>0</v>
      </c>
      <c r="B1740" s="9">
        <f t="shared" si="220"/>
        <v>0</v>
      </c>
      <c r="C1740" s="2">
        <f>Speed!B1740</f>
        <v>0</v>
      </c>
      <c r="D1740" s="9">
        <f>Odometer!A1740</f>
        <v>0</v>
      </c>
      <c r="E1740" s="9">
        <f t="shared" si="216"/>
        <v>0</v>
      </c>
      <c r="F1740" s="2">
        <f>Odometer!B1740</f>
        <v>0</v>
      </c>
      <c r="G1740" s="2">
        <f t="shared" si="221"/>
        <v>0</v>
      </c>
      <c r="H1740" s="2">
        <f>SUM($G$2:G1740)</f>
        <v>11920</v>
      </c>
      <c r="I1740" s="10">
        <f t="shared" si="217"/>
        <v>0</v>
      </c>
      <c r="J1740" s="10">
        <f t="shared" si="222"/>
        <v>0</v>
      </c>
      <c r="K1740" s="3">
        <f t="shared" si="223"/>
        <v>11920</v>
      </c>
      <c r="L1740">
        <f t="shared" si="219"/>
        <v>0</v>
      </c>
      <c r="M1740">
        <f t="shared" si="218"/>
        <v>0</v>
      </c>
    </row>
    <row r="1741" spans="1:13" x14ac:dyDescent="0.25">
      <c r="A1741" s="9">
        <f>Speed!A1741</f>
        <v>0</v>
      </c>
      <c r="B1741" s="9">
        <f t="shared" si="220"/>
        <v>0</v>
      </c>
      <c r="C1741" s="2">
        <f>Speed!B1741</f>
        <v>0</v>
      </c>
      <c r="D1741" s="9">
        <f>Odometer!A1741</f>
        <v>0</v>
      </c>
      <c r="E1741" s="9">
        <f t="shared" si="216"/>
        <v>0</v>
      </c>
      <c r="F1741" s="2">
        <f>Odometer!B1741</f>
        <v>0</v>
      </c>
      <c r="G1741" s="2">
        <f t="shared" si="221"/>
        <v>0</v>
      </c>
      <c r="H1741" s="2">
        <f>SUM($G$2:G1741)</f>
        <v>11920</v>
      </c>
      <c r="I1741" s="10">
        <f t="shared" si="217"/>
        <v>0</v>
      </c>
      <c r="J1741" s="10">
        <f t="shared" si="222"/>
        <v>0</v>
      </c>
      <c r="K1741" s="3">
        <f t="shared" si="223"/>
        <v>11920</v>
      </c>
      <c r="L1741">
        <f t="shared" si="219"/>
        <v>0</v>
      </c>
      <c r="M1741">
        <f t="shared" si="218"/>
        <v>0</v>
      </c>
    </row>
    <row r="1742" spans="1:13" x14ac:dyDescent="0.25">
      <c r="A1742" s="9">
        <f>Speed!A1742</f>
        <v>0</v>
      </c>
      <c r="B1742" s="9">
        <f t="shared" si="220"/>
        <v>0</v>
      </c>
      <c r="C1742" s="2">
        <f>Speed!B1742</f>
        <v>0</v>
      </c>
      <c r="D1742" s="9">
        <f>Odometer!A1742</f>
        <v>0</v>
      </c>
      <c r="E1742" s="9">
        <f t="shared" si="216"/>
        <v>0</v>
      </c>
      <c r="F1742" s="2">
        <f>Odometer!B1742</f>
        <v>0</v>
      </c>
      <c r="G1742" s="2">
        <f t="shared" si="221"/>
        <v>0</v>
      </c>
      <c r="H1742" s="2">
        <f>SUM($G$2:G1742)</f>
        <v>11920</v>
      </c>
      <c r="I1742" s="10">
        <f t="shared" si="217"/>
        <v>0</v>
      </c>
      <c r="J1742" s="10">
        <f t="shared" si="222"/>
        <v>0</v>
      </c>
      <c r="K1742" s="3">
        <f t="shared" si="223"/>
        <v>11920</v>
      </c>
      <c r="L1742">
        <f t="shared" si="219"/>
        <v>0</v>
      </c>
      <c r="M1742">
        <f t="shared" si="218"/>
        <v>0</v>
      </c>
    </row>
    <row r="1743" spans="1:13" x14ac:dyDescent="0.25">
      <c r="A1743" s="9">
        <f>Speed!A1743</f>
        <v>0</v>
      </c>
      <c r="B1743" s="9">
        <f t="shared" si="220"/>
        <v>0</v>
      </c>
      <c r="C1743" s="2">
        <f>Speed!B1743</f>
        <v>0</v>
      </c>
      <c r="D1743" s="9">
        <f>Odometer!A1743</f>
        <v>0</v>
      </c>
      <c r="E1743" s="9">
        <f t="shared" si="216"/>
        <v>0</v>
      </c>
      <c r="F1743" s="2">
        <f>Odometer!B1743</f>
        <v>0</v>
      </c>
      <c r="G1743" s="2">
        <f t="shared" si="221"/>
        <v>0</v>
      </c>
      <c r="H1743" s="2">
        <f>SUM($G$2:G1743)</f>
        <v>11920</v>
      </c>
      <c r="I1743" s="10">
        <f t="shared" si="217"/>
        <v>0</v>
      </c>
      <c r="J1743" s="10">
        <f t="shared" si="222"/>
        <v>0</v>
      </c>
      <c r="K1743" s="3">
        <f t="shared" si="223"/>
        <v>11920</v>
      </c>
      <c r="L1743">
        <f t="shared" si="219"/>
        <v>0</v>
      </c>
      <c r="M1743">
        <f t="shared" si="218"/>
        <v>0</v>
      </c>
    </row>
    <row r="1744" spans="1:13" x14ac:dyDescent="0.25">
      <c r="A1744" s="9">
        <f>Speed!A1744</f>
        <v>0</v>
      </c>
      <c r="B1744" s="9">
        <f t="shared" si="220"/>
        <v>0</v>
      </c>
      <c r="C1744" s="2">
        <f>Speed!B1744</f>
        <v>0</v>
      </c>
      <c r="D1744" s="9">
        <f>Odometer!A1744</f>
        <v>0</v>
      </c>
      <c r="E1744" s="9">
        <f t="shared" si="216"/>
        <v>0</v>
      </c>
      <c r="F1744" s="2">
        <f>Odometer!B1744</f>
        <v>0</v>
      </c>
      <c r="G1744" s="2">
        <f t="shared" si="221"/>
        <v>0</v>
      </c>
      <c r="H1744" s="2">
        <f>SUM($G$2:G1744)</f>
        <v>11920</v>
      </c>
      <c r="I1744" s="10">
        <f t="shared" si="217"/>
        <v>0</v>
      </c>
      <c r="J1744" s="10">
        <f t="shared" si="222"/>
        <v>0</v>
      </c>
      <c r="K1744" s="3">
        <f t="shared" si="223"/>
        <v>11920</v>
      </c>
      <c r="L1744">
        <f t="shared" si="219"/>
        <v>0</v>
      </c>
      <c r="M1744">
        <f t="shared" si="218"/>
        <v>0</v>
      </c>
    </row>
    <row r="1745" spans="1:13" x14ac:dyDescent="0.25">
      <c r="A1745" s="9">
        <f>Speed!A1745</f>
        <v>0</v>
      </c>
      <c r="B1745" s="9">
        <f t="shared" si="220"/>
        <v>0</v>
      </c>
      <c r="C1745" s="2">
        <f>Speed!B1745</f>
        <v>0</v>
      </c>
      <c r="D1745" s="9">
        <f>Odometer!A1745</f>
        <v>0</v>
      </c>
      <c r="E1745" s="9">
        <f t="shared" si="216"/>
        <v>0</v>
      </c>
      <c r="F1745" s="2">
        <f>Odometer!B1745</f>
        <v>0</v>
      </c>
      <c r="G1745" s="2">
        <f t="shared" si="221"/>
        <v>0</v>
      </c>
      <c r="H1745" s="2">
        <f>SUM($G$2:G1745)</f>
        <v>11920</v>
      </c>
      <c r="I1745" s="10">
        <f t="shared" si="217"/>
        <v>0</v>
      </c>
      <c r="J1745" s="10">
        <f t="shared" si="222"/>
        <v>0</v>
      </c>
      <c r="K1745" s="3">
        <f t="shared" si="223"/>
        <v>11920</v>
      </c>
      <c r="L1745">
        <f t="shared" si="219"/>
        <v>0</v>
      </c>
      <c r="M1745">
        <f t="shared" si="218"/>
        <v>0</v>
      </c>
    </row>
    <row r="1746" spans="1:13" x14ac:dyDescent="0.25">
      <c r="A1746" s="9">
        <f>Speed!A1746</f>
        <v>0</v>
      </c>
      <c r="B1746" s="9">
        <f t="shared" si="220"/>
        <v>0</v>
      </c>
      <c r="C1746" s="2">
        <f>Speed!B1746</f>
        <v>0</v>
      </c>
      <c r="D1746" s="9">
        <f>Odometer!A1746</f>
        <v>0</v>
      </c>
      <c r="E1746" s="9">
        <f t="shared" si="216"/>
        <v>0</v>
      </c>
      <c r="F1746" s="2">
        <f>Odometer!B1746</f>
        <v>0</v>
      </c>
      <c r="G1746" s="2">
        <f t="shared" si="221"/>
        <v>0</v>
      </c>
      <c r="H1746" s="2">
        <f>SUM($G$2:G1746)</f>
        <v>11920</v>
      </c>
      <c r="I1746" s="10">
        <f t="shared" si="217"/>
        <v>0</v>
      </c>
      <c r="J1746" s="10">
        <f t="shared" si="222"/>
        <v>0</v>
      </c>
      <c r="K1746" s="3">
        <f t="shared" si="223"/>
        <v>11920</v>
      </c>
      <c r="L1746">
        <f t="shared" si="219"/>
        <v>0</v>
      </c>
      <c r="M1746">
        <f t="shared" si="218"/>
        <v>0</v>
      </c>
    </row>
    <row r="1747" spans="1:13" x14ac:dyDescent="0.25">
      <c r="A1747" s="9">
        <f>Speed!A1747</f>
        <v>0</v>
      </c>
      <c r="B1747" s="9">
        <f t="shared" si="220"/>
        <v>0</v>
      </c>
      <c r="C1747" s="2">
        <f>Speed!B1747</f>
        <v>0</v>
      </c>
      <c r="D1747" s="9">
        <f>Odometer!A1747</f>
        <v>0</v>
      </c>
      <c r="E1747" s="9">
        <f t="shared" si="216"/>
        <v>0</v>
      </c>
      <c r="F1747" s="2">
        <f>Odometer!B1747</f>
        <v>0</v>
      </c>
      <c r="G1747" s="2">
        <f t="shared" si="221"/>
        <v>0</v>
      </c>
      <c r="H1747" s="2">
        <f>SUM($G$2:G1747)</f>
        <v>11920</v>
      </c>
      <c r="I1747" s="10">
        <f t="shared" si="217"/>
        <v>0</v>
      </c>
      <c r="J1747" s="10">
        <f t="shared" si="222"/>
        <v>0</v>
      </c>
      <c r="K1747" s="3">
        <f t="shared" si="223"/>
        <v>11920</v>
      </c>
      <c r="L1747">
        <f t="shared" si="219"/>
        <v>0</v>
      </c>
      <c r="M1747">
        <f t="shared" si="218"/>
        <v>0</v>
      </c>
    </row>
    <row r="1748" spans="1:13" x14ac:dyDescent="0.25">
      <c r="A1748" s="9">
        <f>Speed!A1748</f>
        <v>0</v>
      </c>
      <c r="B1748" s="9">
        <f t="shared" si="220"/>
        <v>0</v>
      </c>
      <c r="C1748" s="2">
        <f>Speed!B1748</f>
        <v>0</v>
      </c>
      <c r="D1748" s="9">
        <f>Odometer!A1748</f>
        <v>0</v>
      </c>
      <c r="E1748" s="9">
        <f t="shared" si="216"/>
        <v>0</v>
      </c>
      <c r="F1748" s="2">
        <f>Odometer!B1748</f>
        <v>0</v>
      </c>
      <c r="G1748" s="2">
        <f t="shared" si="221"/>
        <v>0</v>
      </c>
      <c r="H1748" s="2">
        <f>SUM($G$2:G1748)</f>
        <v>11920</v>
      </c>
      <c r="I1748" s="10">
        <f t="shared" si="217"/>
        <v>0</v>
      </c>
      <c r="J1748" s="10">
        <f t="shared" si="222"/>
        <v>0</v>
      </c>
      <c r="K1748" s="3">
        <f t="shared" si="223"/>
        <v>11920</v>
      </c>
      <c r="L1748">
        <f t="shared" si="219"/>
        <v>0</v>
      </c>
      <c r="M1748">
        <f t="shared" si="218"/>
        <v>0</v>
      </c>
    </row>
    <row r="1749" spans="1:13" x14ac:dyDescent="0.25">
      <c r="A1749" s="9">
        <f>Speed!A1749</f>
        <v>0</v>
      </c>
      <c r="B1749" s="9">
        <f t="shared" si="220"/>
        <v>0</v>
      </c>
      <c r="C1749" s="2">
        <f>Speed!B1749</f>
        <v>0</v>
      </c>
      <c r="D1749" s="9">
        <f>Odometer!A1749</f>
        <v>0</v>
      </c>
      <c r="E1749" s="9">
        <f t="shared" si="216"/>
        <v>0</v>
      </c>
      <c r="F1749" s="2">
        <f>Odometer!B1749</f>
        <v>0</v>
      </c>
      <c r="G1749" s="2">
        <f t="shared" si="221"/>
        <v>0</v>
      </c>
      <c r="H1749" s="2">
        <f>SUM($G$2:G1749)</f>
        <v>11920</v>
      </c>
      <c r="I1749" s="10">
        <f t="shared" si="217"/>
        <v>0</v>
      </c>
      <c r="J1749" s="10">
        <f t="shared" si="222"/>
        <v>0</v>
      </c>
      <c r="K1749" s="3">
        <f t="shared" si="223"/>
        <v>11920</v>
      </c>
      <c r="L1749">
        <f t="shared" si="219"/>
        <v>0</v>
      </c>
      <c r="M1749">
        <f t="shared" si="218"/>
        <v>0</v>
      </c>
    </row>
    <row r="1750" spans="1:13" x14ac:dyDescent="0.25">
      <c r="A1750" s="9">
        <f>Speed!A1750</f>
        <v>0</v>
      </c>
      <c r="B1750" s="9">
        <f t="shared" si="220"/>
        <v>0</v>
      </c>
      <c r="C1750" s="2">
        <f>Speed!B1750</f>
        <v>0</v>
      </c>
      <c r="D1750" s="9">
        <f>Odometer!A1750</f>
        <v>0</v>
      </c>
      <c r="E1750" s="9">
        <f t="shared" si="216"/>
        <v>0</v>
      </c>
      <c r="F1750" s="2">
        <f>Odometer!B1750</f>
        <v>0</v>
      </c>
      <c r="G1750" s="2">
        <f t="shared" si="221"/>
        <v>0</v>
      </c>
      <c r="H1750" s="2">
        <f>SUM($G$2:G1750)</f>
        <v>11920</v>
      </c>
      <c r="I1750" s="10">
        <f t="shared" si="217"/>
        <v>0</v>
      </c>
      <c r="J1750" s="10">
        <f t="shared" si="222"/>
        <v>0</v>
      </c>
      <c r="K1750" s="3">
        <f t="shared" si="223"/>
        <v>11920</v>
      </c>
      <c r="L1750">
        <f t="shared" si="219"/>
        <v>0</v>
      </c>
      <c r="M1750">
        <f t="shared" si="218"/>
        <v>0</v>
      </c>
    </row>
    <row r="1751" spans="1:13" x14ac:dyDescent="0.25">
      <c r="A1751" s="9">
        <f>Speed!A1751</f>
        <v>45391.725821759261</v>
      </c>
      <c r="B1751" s="9">
        <f t="shared" si="220"/>
        <v>45391.725821759253</v>
      </c>
      <c r="C1751" s="2">
        <f>Speed!B1751</f>
        <v>2.1555555559999999</v>
      </c>
      <c r="D1751" s="9">
        <f>Odometer!A1751</f>
        <v>0</v>
      </c>
      <c r="E1751" s="9">
        <f t="shared" si="216"/>
        <v>0</v>
      </c>
      <c r="F1751" s="2">
        <f>Odometer!B1751</f>
        <v>0</v>
      </c>
      <c r="G1751" s="2">
        <f t="shared" si="221"/>
        <v>0</v>
      </c>
      <c r="H1751" s="2">
        <f>SUM($G$2:G1751)</f>
        <v>11920</v>
      </c>
      <c r="I1751" s="10">
        <f t="shared" si="217"/>
        <v>45391.725821759261</v>
      </c>
      <c r="J1751" s="10">
        <f t="shared" si="222"/>
        <v>45391.725821759253</v>
      </c>
      <c r="K1751" s="3" t="e">
        <f t="shared" si="223"/>
        <v>#N/A</v>
      </c>
      <c r="L1751">
        <f t="shared" si="219"/>
        <v>2.1555555559999999</v>
      </c>
      <c r="M1751">
        <f t="shared" si="218"/>
        <v>7.7600000015999999</v>
      </c>
    </row>
    <row r="1752" spans="1:13" x14ac:dyDescent="0.25">
      <c r="A1752" s="9">
        <f>Speed!A1752</f>
        <v>45391.72583333333</v>
      </c>
      <c r="B1752" s="9">
        <f t="shared" si="220"/>
        <v>45391.72583333333</v>
      </c>
      <c r="C1752" s="2">
        <f>Speed!B1752</f>
        <v>3.136111111</v>
      </c>
      <c r="D1752" s="9">
        <f>Odometer!A1752</f>
        <v>0</v>
      </c>
      <c r="E1752" s="9">
        <f t="shared" si="216"/>
        <v>0</v>
      </c>
      <c r="F1752" s="2">
        <f>Odometer!B1752</f>
        <v>0</v>
      </c>
      <c r="G1752" s="2">
        <f t="shared" si="221"/>
        <v>0</v>
      </c>
      <c r="H1752" s="2">
        <f>SUM($G$2:G1752)</f>
        <v>11920</v>
      </c>
      <c r="I1752" s="10">
        <f t="shared" si="217"/>
        <v>45391.72583333333</v>
      </c>
      <c r="J1752" s="10">
        <f t="shared" si="222"/>
        <v>45391.72583333333</v>
      </c>
      <c r="K1752" s="3" t="e">
        <f t="shared" si="223"/>
        <v>#N/A</v>
      </c>
      <c r="L1752">
        <f t="shared" si="219"/>
        <v>3.136111111</v>
      </c>
      <c r="M1752">
        <f t="shared" si="218"/>
        <v>11.289999999600001</v>
      </c>
    </row>
    <row r="1753" spans="1:13" x14ac:dyDescent="0.25">
      <c r="A1753" s="9">
        <f>Speed!A1753</f>
        <v>45391.72583333333</v>
      </c>
      <c r="B1753" s="9">
        <f t="shared" si="220"/>
        <v>45391.72583333333</v>
      </c>
      <c r="C1753" s="2">
        <f>Speed!B1753</f>
        <v>3.0666666669999998</v>
      </c>
      <c r="D1753" s="9">
        <f>Odometer!A1753</f>
        <v>0</v>
      </c>
      <c r="E1753" s="9">
        <f t="shared" si="216"/>
        <v>0</v>
      </c>
      <c r="F1753" s="2">
        <f>Odometer!B1753</f>
        <v>0</v>
      </c>
      <c r="G1753" s="2">
        <f t="shared" si="221"/>
        <v>0</v>
      </c>
      <c r="H1753" s="2">
        <f>SUM($G$2:G1753)</f>
        <v>11920</v>
      </c>
      <c r="I1753" s="10">
        <f t="shared" si="217"/>
        <v>45391.72583333333</v>
      </c>
      <c r="J1753" s="10">
        <f t="shared" si="222"/>
        <v>45391.72583333333</v>
      </c>
      <c r="K1753" s="3" t="e">
        <f t="shared" si="223"/>
        <v>#N/A</v>
      </c>
      <c r="L1753">
        <f t="shared" si="219"/>
        <v>3.136111111</v>
      </c>
      <c r="M1753">
        <f t="shared" si="218"/>
        <v>11.289999999600001</v>
      </c>
    </row>
    <row r="1754" spans="1:13" x14ac:dyDescent="0.25">
      <c r="A1754" s="9">
        <f>Speed!A1754</f>
        <v>45391.725844907407</v>
      </c>
      <c r="B1754" s="9">
        <f t="shared" si="220"/>
        <v>45391.725844907407</v>
      </c>
      <c r="C1754" s="2">
        <f>Speed!B1754</f>
        <v>3.9722222220000001</v>
      </c>
      <c r="D1754" s="9">
        <f>Odometer!A1754</f>
        <v>0</v>
      </c>
      <c r="E1754" s="9">
        <f t="shared" si="216"/>
        <v>0</v>
      </c>
      <c r="F1754" s="2">
        <f>Odometer!B1754</f>
        <v>0</v>
      </c>
      <c r="G1754" s="2">
        <f t="shared" si="221"/>
        <v>0</v>
      </c>
      <c r="H1754" s="2">
        <f>SUM($G$2:G1754)</f>
        <v>11920</v>
      </c>
      <c r="I1754" s="10">
        <f t="shared" si="217"/>
        <v>45391.725844907407</v>
      </c>
      <c r="J1754" s="10">
        <f t="shared" si="222"/>
        <v>45391.725844907407</v>
      </c>
      <c r="K1754" s="3" t="e">
        <f t="shared" si="223"/>
        <v>#N/A</v>
      </c>
      <c r="L1754">
        <f t="shared" si="219"/>
        <v>3.9722222220000001</v>
      </c>
      <c r="M1754">
        <f t="shared" si="218"/>
        <v>14.299999999200001</v>
      </c>
    </row>
    <row r="1755" spans="1:13" x14ac:dyDescent="0.25">
      <c r="A1755" s="9">
        <f>Speed!A1755</f>
        <v>45391.725856481484</v>
      </c>
      <c r="B1755" s="9">
        <f t="shared" si="220"/>
        <v>45391.725856481477</v>
      </c>
      <c r="C1755" s="2">
        <f>Speed!B1755</f>
        <v>4.8388888889999997</v>
      </c>
      <c r="D1755" s="9">
        <f>Odometer!A1755</f>
        <v>0</v>
      </c>
      <c r="E1755" s="9">
        <f t="shared" si="216"/>
        <v>0</v>
      </c>
      <c r="F1755" s="2">
        <f>Odometer!B1755</f>
        <v>0</v>
      </c>
      <c r="G1755" s="2">
        <f t="shared" si="221"/>
        <v>0</v>
      </c>
      <c r="H1755" s="2">
        <f>SUM($G$2:G1755)</f>
        <v>11920</v>
      </c>
      <c r="I1755" s="10">
        <f t="shared" si="217"/>
        <v>45391.725856481484</v>
      </c>
      <c r="J1755" s="10">
        <f t="shared" si="222"/>
        <v>45391.725856481477</v>
      </c>
      <c r="K1755" s="3" t="e">
        <f t="shared" si="223"/>
        <v>#N/A</v>
      </c>
      <c r="L1755">
        <f t="shared" si="219"/>
        <v>4.8388888889999997</v>
      </c>
      <c r="M1755">
        <f t="shared" si="218"/>
        <v>17.420000000399998</v>
      </c>
    </row>
    <row r="1756" spans="1:13" x14ac:dyDescent="0.25">
      <c r="A1756" s="9">
        <f>Speed!A1756</f>
        <v>45391.725856481484</v>
      </c>
      <c r="B1756" s="9">
        <f t="shared" si="220"/>
        <v>45391.725856481477</v>
      </c>
      <c r="C1756" s="2">
        <f>Speed!B1756</f>
        <v>5.141666667</v>
      </c>
      <c r="D1756" s="9">
        <f>Odometer!A1756</f>
        <v>0</v>
      </c>
      <c r="E1756" s="9">
        <f t="shared" si="216"/>
        <v>0</v>
      </c>
      <c r="F1756" s="2">
        <f>Odometer!B1756</f>
        <v>0</v>
      </c>
      <c r="G1756" s="2">
        <f t="shared" si="221"/>
        <v>0</v>
      </c>
      <c r="H1756" s="2">
        <f>SUM($G$2:G1756)</f>
        <v>11920</v>
      </c>
      <c r="I1756" s="10">
        <f t="shared" si="217"/>
        <v>45391.725856481484</v>
      </c>
      <c r="J1756" s="10">
        <f t="shared" si="222"/>
        <v>45391.725856481477</v>
      </c>
      <c r="K1756" s="3" t="e">
        <f t="shared" si="223"/>
        <v>#N/A</v>
      </c>
      <c r="L1756">
        <f t="shared" si="219"/>
        <v>4.8388888889999997</v>
      </c>
      <c r="M1756">
        <f t="shared" si="218"/>
        <v>17.420000000399998</v>
      </c>
    </row>
    <row r="1757" spans="1:13" x14ac:dyDescent="0.25">
      <c r="A1757" s="9">
        <f>Speed!A1757</f>
        <v>45391.725868055553</v>
      </c>
      <c r="B1757" s="9">
        <f t="shared" si="220"/>
        <v>45391.725868055553</v>
      </c>
      <c r="C1757" s="2">
        <f>Speed!B1757</f>
        <v>5.391666667</v>
      </c>
      <c r="D1757" s="9">
        <f>Odometer!A1757</f>
        <v>0</v>
      </c>
      <c r="E1757" s="9">
        <f t="shared" ref="E1757:E1820" si="224">MROUND(D1757,"00:00:01")</f>
        <v>0</v>
      </c>
      <c r="F1757" s="2">
        <f>Odometer!B1757</f>
        <v>0</v>
      </c>
      <c r="G1757" s="2">
        <f t="shared" si="221"/>
        <v>0</v>
      </c>
      <c r="H1757" s="2">
        <f>SUM($G$2:G1757)</f>
        <v>11920</v>
      </c>
      <c r="I1757" s="10">
        <f t="shared" ref="I1757:I1820" si="225">A1757</f>
        <v>45391.725868055553</v>
      </c>
      <c r="J1757" s="10">
        <f t="shared" si="222"/>
        <v>45391.725868055553</v>
      </c>
      <c r="K1757" s="3" t="e">
        <f t="shared" si="223"/>
        <v>#N/A</v>
      </c>
      <c r="L1757">
        <f t="shared" si="219"/>
        <v>5.391666667</v>
      </c>
      <c r="M1757">
        <f t="shared" ref="M1757:M1820" si="226">L1757*3.6</f>
        <v>19.4100000012</v>
      </c>
    </row>
    <row r="1758" spans="1:13" x14ac:dyDescent="0.25">
      <c r="A1758" s="9">
        <f>Speed!A1758</f>
        <v>45391.725868055553</v>
      </c>
      <c r="B1758" s="9">
        <f t="shared" si="220"/>
        <v>45391.725868055553</v>
      </c>
      <c r="C1758" s="2">
        <f>Speed!B1758</f>
        <v>5.5194444440000003</v>
      </c>
      <c r="D1758" s="9">
        <f>Odometer!A1758</f>
        <v>0</v>
      </c>
      <c r="E1758" s="9">
        <f t="shared" si="224"/>
        <v>0</v>
      </c>
      <c r="F1758" s="2">
        <f>Odometer!B1758</f>
        <v>0</v>
      </c>
      <c r="G1758" s="2">
        <f t="shared" si="221"/>
        <v>0</v>
      </c>
      <c r="H1758" s="2">
        <f>SUM($G$2:G1758)</f>
        <v>11920</v>
      </c>
      <c r="I1758" s="10">
        <f t="shared" si="225"/>
        <v>45391.725868055553</v>
      </c>
      <c r="J1758" s="10">
        <f t="shared" si="222"/>
        <v>45391.725868055553</v>
      </c>
      <c r="K1758" s="3" t="e">
        <f t="shared" si="223"/>
        <v>#N/A</v>
      </c>
      <c r="L1758">
        <f t="shared" si="219"/>
        <v>5.391666667</v>
      </c>
      <c r="M1758">
        <f t="shared" si="226"/>
        <v>19.4100000012</v>
      </c>
    </row>
    <row r="1759" spans="1:13" x14ac:dyDescent="0.25">
      <c r="A1759" s="9">
        <f>Speed!A1759</f>
        <v>45391.72587962963</v>
      </c>
      <c r="B1759" s="9">
        <f t="shared" si="220"/>
        <v>45391.72587962963</v>
      </c>
      <c r="C1759" s="2">
        <f>Speed!B1759</f>
        <v>5.5138888890000004</v>
      </c>
      <c r="D1759" s="9">
        <f>Odometer!A1759</f>
        <v>0</v>
      </c>
      <c r="E1759" s="9">
        <f t="shared" si="224"/>
        <v>0</v>
      </c>
      <c r="F1759" s="2">
        <f>Odometer!B1759</f>
        <v>0</v>
      </c>
      <c r="G1759" s="2">
        <f t="shared" si="221"/>
        <v>0</v>
      </c>
      <c r="H1759" s="2">
        <f>SUM($G$2:G1759)</f>
        <v>11920</v>
      </c>
      <c r="I1759" s="10">
        <f t="shared" si="225"/>
        <v>45391.72587962963</v>
      </c>
      <c r="J1759" s="10">
        <f t="shared" si="222"/>
        <v>45391.72587962963</v>
      </c>
      <c r="K1759" s="3" t="e">
        <f t="shared" si="223"/>
        <v>#N/A</v>
      </c>
      <c r="L1759">
        <f t="shared" si="219"/>
        <v>5.5138888890000004</v>
      </c>
      <c r="M1759">
        <f t="shared" si="226"/>
        <v>19.850000000400001</v>
      </c>
    </row>
    <row r="1760" spans="1:13" x14ac:dyDescent="0.25">
      <c r="A1760" s="9">
        <f>Speed!A1760</f>
        <v>45391.72587962963</v>
      </c>
      <c r="B1760" s="9">
        <f t="shared" si="220"/>
        <v>45391.72587962963</v>
      </c>
      <c r="C1760" s="2">
        <f>Speed!B1760</f>
        <v>5.6055555559999997</v>
      </c>
      <c r="D1760" s="9">
        <f>Odometer!A1760</f>
        <v>0</v>
      </c>
      <c r="E1760" s="9">
        <f t="shared" si="224"/>
        <v>0</v>
      </c>
      <c r="F1760" s="2">
        <f>Odometer!B1760</f>
        <v>0</v>
      </c>
      <c r="G1760" s="2">
        <f t="shared" si="221"/>
        <v>0</v>
      </c>
      <c r="H1760" s="2">
        <f>SUM($G$2:G1760)</f>
        <v>11920</v>
      </c>
      <c r="I1760" s="10">
        <f t="shared" si="225"/>
        <v>45391.72587962963</v>
      </c>
      <c r="J1760" s="10">
        <f t="shared" si="222"/>
        <v>45391.72587962963</v>
      </c>
      <c r="K1760" s="3" t="e">
        <f t="shared" si="223"/>
        <v>#N/A</v>
      </c>
      <c r="L1760">
        <f t="shared" si="219"/>
        <v>5.5138888890000004</v>
      </c>
      <c r="M1760">
        <f t="shared" si="226"/>
        <v>19.850000000400001</v>
      </c>
    </row>
    <row r="1761" spans="1:13" x14ac:dyDescent="0.25">
      <c r="A1761" s="9">
        <f>Speed!A1761</f>
        <v>45391.725891203707</v>
      </c>
      <c r="B1761" s="9">
        <f t="shared" si="220"/>
        <v>45391.7258912037</v>
      </c>
      <c r="C1761" s="2">
        <f>Speed!B1761</f>
        <v>5.6111111109999996</v>
      </c>
      <c r="D1761" s="9">
        <f>Odometer!A1761</f>
        <v>0</v>
      </c>
      <c r="E1761" s="9">
        <f t="shared" si="224"/>
        <v>0</v>
      </c>
      <c r="F1761" s="2">
        <f>Odometer!B1761</f>
        <v>0</v>
      </c>
      <c r="G1761" s="2">
        <f t="shared" si="221"/>
        <v>0</v>
      </c>
      <c r="H1761" s="2">
        <f>SUM($G$2:G1761)</f>
        <v>11920</v>
      </c>
      <c r="I1761" s="10">
        <f t="shared" si="225"/>
        <v>45391.725891203707</v>
      </c>
      <c r="J1761" s="10">
        <f t="shared" si="222"/>
        <v>45391.7258912037</v>
      </c>
      <c r="K1761" s="3" t="e">
        <f t="shared" si="223"/>
        <v>#N/A</v>
      </c>
      <c r="L1761">
        <f t="shared" si="219"/>
        <v>5.6111111109999996</v>
      </c>
      <c r="M1761">
        <f t="shared" si="226"/>
        <v>20.199999999599999</v>
      </c>
    </row>
    <row r="1762" spans="1:13" x14ac:dyDescent="0.25">
      <c r="A1762" s="9">
        <f>Speed!A1762</f>
        <v>45391.725891203707</v>
      </c>
      <c r="B1762" s="9">
        <f t="shared" si="220"/>
        <v>45391.7258912037</v>
      </c>
      <c r="C1762" s="2">
        <f>Speed!B1762</f>
        <v>5.6833333330000002</v>
      </c>
      <c r="D1762" s="9">
        <f>Odometer!A1762</f>
        <v>0</v>
      </c>
      <c r="E1762" s="9">
        <f t="shared" si="224"/>
        <v>0</v>
      </c>
      <c r="F1762" s="2">
        <f>Odometer!B1762</f>
        <v>0</v>
      </c>
      <c r="G1762" s="2">
        <f t="shared" si="221"/>
        <v>0</v>
      </c>
      <c r="H1762" s="2">
        <f>SUM($G$2:G1762)</f>
        <v>11920</v>
      </c>
      <c r="I1762" s="10">
        <f t="shared" si="225"/>
        <v>45391.725891203707</v>
      </c>
      <c r="J1762" s="10">
        <f t="shared" si="222"/>
        <v>45391.7258912037</v>
      </c>
      <c r="K1762" s="3" t="e">
        <f t="shared" si="223"/>
        <v>#N/A</v>
      </c>
      <c r="L1762">
        <f t="shared" si="219"/>
        <v>5.6111111109999996</v>
      </c>
      <c r="M1762">
        <f t="shared" si="226"/>
        <v>20.199999999599999</v>
      </c>
    </row>
    <row r="1763" spans="1:13" x14ac:dyDescent="0.25">
      <c r="A1763" s="9">
        <f>Speed!A1763</f>
        <v>45391.725902777776</v>
      </c>
      <c r="B1763" s="9">
        <f t="shared" si="220"/>
        <v>45391.725902777776</v>
      </c>
      <c r="C1763" s="2">
        <f>Speed!B1763</f>
        <v>5.761111111</v>
      </c>
      <c r="D1763" s="9">
        <f>Odometer!A1763</f>
        <v>0</v>
      </c>
      <c r="E1763" s="9">
        <f t="shared" si="224"/>
        <v>0</v>
      </c>
      <c r="F1763" s="2">
        <f>Odometer!B1763</f>
        <v>0</v>
      </c>
      <c r="G1763" s="2">
        <f t="shared" si="221"/>
        <v>0</v>
      </c>
      <c r="H1763" s="2">
        <f>SUM($G$2:G1763)</f>
        <v>11920</v>
      </c>
      <c r="I1763" s="10">
        <f t="shared" si="225"/>
        <v>45391.725902777776</v>
      </c>
      <c r="J1763" s="10">
        <f t="shared" si="222"/>
        <v>45391.725902777776</v>
      </c>
      <c r="K1763" s="3" t="e">
        <f t="shared" si="223"/>
        <v>#N/A</v>
      </c>
      <c r="L1763">
        <f t="shared" si="219"/>
        <v>5.761111111</v>
      </c>
      <c r="M1763">
        <f t="shared" si="226"/>
        <v>20.739999999600002</v>
      </c>
    </row>
    <row r="1764" spans="1:13" x14ac:dyDescent="0.25">
      <c r="A1764" s="9">
        <f>Speed!A1764</f>
        <v>45391.725914351853</v>
      </c>
      <c r="B1764" s="9">
        <f t="shared" si="220"/>
        <v>45391.725914351853</v>
      </c>
      <c r="C1764" s="2">
        <f>Speed!B1764</f>
        <v>5.7861111110000003</v>
      </c>
      <c r="D1764" s="9">
        <f>Odometer!A1764</f>
        <v>0</v>
      </c>
      <c r="E1764" s="9">
        <f t="shared" si="224"/>
        <v>0</v>
      </c>
      <c r="F1764" s="2">
        <f>Odometer!B1764</f>
        <v>0</v>
      </c>
      <c r="G1764" s="2">
        <f t="shared" si="221"/>
        <v>0</v>
      </c>
      <c r="H1764" s="2">
        <f>SUM($G$2:G1764)</f>
        <v>11920</v>
      </c>
      <c r="I1764" s="10">
        <f t="shared" si="225"/>
        <v>45391.725914351853</v>
      </c>
      <c r="J1764" s="10">
        <f t="shared" si="222"/>
        <v>45391.725914351853</v>
      </c>
      <c r="K1764" s="3" t="e">
        <f t="shared" si="223"/>
        <v>#N/A</v>
      </c>
      <c r="L1764">
        <f t="shared" si="219"/>
        <v>5.7861111110000003</v>
      </c>
      <c r="M1764">
        <f t="shared" si="226"/>
        <v>20.829999999600002</v>
      </c>
    </row>
    <row r="1765" spans="1:13" x14ac:dyDescent="0.25">
      <c r="A1765" s="9">
        <f>Speed!A1765</f>
        <v>45391.725914351853</v>
      </c>
      <c r="B1765" s="9">
        <f t="shared" si="220"/>
        <v>45391.725914351853</v>
      </c>
      <c r="C1765" s="2">
        <f>Speed!B1765</f>
        <v>5.8055555559999998</v>
      </c>
      <c r="D1765" s="9">
        <f>Odometer!A1765</f>
        <v>0</v>
      </c>
      <c r="E1765" s="9">
        <f t="shared" si="224"/>
        <v>0</v>
      </c>
      <c r="F1765" s="2">
        <f>Odometer!B1765</f>
        <v>0</v>
      </c>
      <c r="G1765" s="2">
        <f t="shared" si="221"/>
        <v>0</v>
      </c>
      <c r="H1765" s="2">
        <f>SUM($G$2:G1765)</f>
        <v>11920</v>
      </c>
      <c r="I1765" s="10">
        <f t="shared" si="225"/>
        <v>45391.725914351853</v>
      </c>
      <c r="J1765" s="10">
        <f t="shared" si="222"/>
        <v>45391.725914351853</v>
      </c>
      <c r="K1765" s="3" t="e">
        <f t="shared" si="223"/>
        <v>#N/A</v>
      </c>
      <c r="L1765">
        <f t="shared" si="219"/>
        <v>5.7861111110000003</v>
      </c>
      <c r="M1765">
        <f t="shared" si="226"/>
        <v>20.829999999600002</v>
      </c>
    </row>
    <row r="1766" spans="1:13" x14ac:dyDescent="0.25">
      <c r="A1766" s="9">
        <f>Speed!A1766</f>
        <v>45391.725925925923</v>
      </c>
      <c r="B1766" s="9">
        <f t="shared" si="220"/>
        <v>45391.725925925923</v>
      </c>
      <c r="C1766" s="2">
        <f>Speed!B1766</f>
        <v>5.766666667</v>
      </c>
      <c r="D1766" s="9">
        <f>Odometer!A1766</f>
        <v>0</v>
      </c>
      <c r="E1766" s="9">
        <f t="shared" si="224"/>
        <v>0</v>
      </c>
      <c r="F1766" s="2">
        <f>Odometer!B1766</f>
        <v>0</v>
      </c>
      <c r="G1766" s="2">
        <f t="shared" si="221"/>
        <v>0</v>
      </c>
      <c r="H1766" s="2">
        <f>SUM($G$2:G1766)</f>
        <v>11920</v>
      </c>
      <c r="I1766" s="10">
        <f t="shared" si="225"/>
        <v>45391.725925925923</v>
      </c>
      <c r="J1766" s="10">
        <f t="shared" si="222"/>
        <v>45391.725925925923</v>
      </c>
      <c r="K1766" s="3" t="e">
        <f t="shared" si="223"/>
        <v>#N/A</v>
      </c>
      <c r="L1766">
        <f t="shared" si="219"/>
        <v>5.766666667</v>
      </c>
      <c r="M1766">
        <f t="shared" si="226"/>
        <v>20.760000001200002</v>
      </c>
    </row>
    <row r="1767" spans="1:13" x14ac:dyDescent="0.25">
      <c r="A1767" s="9">
        <f>Speed!A1767</f>
        <v>45391.725925925923</v>
      </c>
      <c r="B1767" s="9">
        <f t="shared" si="220"/>
        <v>45391.725925925923</v>
      </c>
      <c r="C1767" s="2">
        <f>Speed!B1767</f>
        <v>5.7277777780000001</v>
      </c>
      <c r="D1767" s="9">
        <f>Odometer!A1767</f>
        <v>0</v>
      </c>
      <c r="E1767" s="9">
        <f t="shared" si="224"/>
        <v>0</v>
      </c>
      <c r="F1767" s="2">
        <f>Odometer!B1767</f>
        <v>0</v>
      </c>
      <c r="G1767" s="2">
        <f t="shared" si="221"/>
        <v>0</v>
      </c>
      <c r="H1767" s="2">
        <f>SUM($G$2:G1767)</f>
        <v>11920</v>
      </c>
      <c r="I1767" s="10">
        <f t="shared" si="225"/>
        <v>45391.725925925923</v>
      </c>
      <c r="J1767" s="10">
        <f t="shared" si="222"/>
        <v>45391.725925925923</v>
      </c>
      <c r="K1767" s="3" t="e">
        <f t="shared" si="223"/>
        <v>#N/A</v>
      </c>
      <c r="L1767">
        <f t="shared" si="219"/>
        <v>5.766666667</v>
      </c>
      <c r="M1767">
        <f t="shared" si="226"/>
        <v>20.760000001200002</v>
      </c>
    </row>
    <row r="1768" spans="1:13" x14ac:dyDescent="0.25">
      <c r="A1768" s="9">
        <f>Speed!A1768</f>
        <v>45391.725949074076</v>
      </c>
      <c r="B1768" s="9">
        <f t="shared" si="220"/>
        <v>45391.725949074069</v>
      </c>
      <c r="C1768" s="2">
        <f>Speed!B1768</f>
        <v>5.5361111110000003</v>
      </c>
      <c r="D1768" s="9">
        <f>Odometer!A1768</f>
        <v>0</v>
      </c>
      <c r="E1768" s="9">
        <f t="shared" si="224"/>
        <v>0</v>
      </c>
      <c r="F1768" s="2">
        <f>Odometer!B1768</f>
        <v>0</v>
      </c>
      <c r="G1768" s="2">
        <f t="shared" si="221"/>
        <v>0</v>
      </c>
      <c r="H1768" s="2">
        <f>SUM($G$2:G1768)</f>
        <v>11920</v>
      </c>
      <c r="I1768" s="10">
        <f t="shared" si="225"/>
        <v>45391.725949074076</v>
      </c>
      <c r="J1768" s="10">
        <f t="shared" si="222"/>
        <v>45391.725949074069</v>
      </c>
      <c r="K1768" s="3" t="e">
        <f t="shared" si="223"/>
        <v>#N/A</v>
      </c>
      <c r="L1768">
        <f t="shared" si="219"/>
        <v>5.5361111110000003</v>
      </c>
      <c r="M1768">
        <f t="shared" si="226"/>
        <v>19.929999999600003</v>
      </c>
    </row>
    <row r="1769" spans="1:13" x14ac:dyDescent="0.25">
      <c r="A1769" s="9">
        <f>Speed!A1769</f>
        <v>45391.725949074076</v>
      </c>
      <c r="B1769" s="9">
        <f t="shared" si="220"/>
        <v>45391.725949074069</v>
      </c>
      <c r="C1769" s="2">
        <f>Speed!B1769</f>
        <v>5.516666667</v>
      </c>
      <c r="D1769" s="9">
        <f>Odometer!A1769</f>
        <v>0</v>
      </c>
      <c r="E1769" s="9">
        <f t="shared" si="224"/>
        <v>0</v>
      </c>
      <c r="F1769" s="2">
        <f>Odometer!B1769</f>
        <v>0</v>
      </c>
      <c r="G1769" s="2">
        <f t="shared" si="221"/>
        <v>0</v>
      </c>
      <c r="H1769" s="2">
        <f>SUM($G$2:G1769)</f>
        <v>11920</v>
      </c>
      <c r="I1769" s="10">
        <f t="shared" si="225"/>
        <v>45391.725949074076</v>
      </c>
      <c r="J1769" s="10">
        <f t="shared" si="222"/>
        <v>45391.725949074069</v>
      </c>
      <c r="K1769" s="3" t="e">
        <f t="shared" si="223"/>
        <v>#N/A</v>
      </c>
      <c r="L1769">
        <f t="shared" si="219"/>
        <v>5.5361111110000003</v>
      </c>
      <c r="M1769">
        <f t="shared" si="226"/>
        <v>19.929999999600003</v>
      </c>
    </row>
    <row r="1770" spans="1:13" x14ac:dyDescent="0.25">
      <c r="A1770" s="9">
        <f>Speed!A1770</f>
        <v>45391.725960648146</v>
      </c>
      <c r="B1770" s="9">
        <f t="shared" si="220"/>
        <v>45391.725960648146</v>
      </c>
      <c r="C1770" s="2">
        <f>Speed!B1770</f>
        <v>5.0638888890000002</v>
      </c>
      <c r="D1770" s="9">
        <f>Odometer!A1770</f>
        <v>0</v>
      </c>
      <c r="E1770" s="9">
        <f t="shared" si="224"/>
        <v>0</v>
      </c>
      <c r="F1770" s="2">
        <f>Odometer!B1770</f>
        <v>0</v>
      </c>
      <c r="G1770" s="2">
        <f t="shared" si="221"/>
        <v>0</v>
      </c>
      <c r="H1770" s="2">
        <f>SUM($G$2:G1770)</f>
        <v>11920</v>
      </c>
      <c r="I1770" s="10">
        <f t="shared" si="225"/>
        <v>45391.725960648146</v>
      </c>
      <c r="J1770" s="10">
        <f t="shared" si="222"/>
        <v>45391.725960648146</v>
      </c>
      <c r="K1770" s="3" t="e">
        <f t="shared" si="223"/>
        <v>#N/A</v>
      </c>
      <c r="L1770">
        <f t="shared" si="219"/>
        <v>5.0638888890000002</v>
      </c>
      <c r="M1770">
        <f t="shared" si="226"/>
        <v>18.2300000004</v>
      </c>
    </row>
    <row r="1771" spans="1:13" x14ac:dyDescent="0.25">
      <c r="A1771" s="9">
        <f>Speed!A1771</f>
        <v>45391.725960648146</v>
      </c>
      <c r="B1771" s="9">
        <f t="shared" si="220"/>
        <v>45391.725960648146</v>
      </c>
      <c r="C1771" s="2">
        <f>Speed!B1771</f>
        <v>4.5611111109999998</v>
      </c>
      <c r="D1771" s="9">
        <f>Odometer!A1771</f>
        <v>0</v>
      </c>
      <c r="E1771" s="9">
        <f t="shared" si="224"/>
        <v>0</v>
      </c>
      <c r="F1771" s="2">
        <f>Odometer!B1771</f>
        <v>0</v>
      </c>
      <c r="G1771" s="2">
        <f t="shared" si="221"/>
        <v>0</v>
      </c>
      <c r="H1771" s="2">
        <f>SUM($G$2:G1771)</f>
        <v>11920</v>
      </c>
      <c r="I1771" s="10">
        <f t="shared" si="225"/>
        <v>45391.725960648146</v>
      </c>
      <c r="J1771" s="10">
        <f t="shared" si="222"/>
        <v>45391.725960648146</v>
      </c>
      <c r="K1771" s="3" t="e">
        <f t="shared" si="223"/>
        <v>#N/A</v>
      </c>
      <c r="L1771">
        <f t="shared" si="219"/>
        <v>5.0638888890000002</v>
      </c>
      <c r="M1771">
        <f t="shared" si="226"/>
        <v>18.2300000004</v>
      </c>
    </row>
    <row r="1772" spans="1:13" x14ac:dyDescent="0.25">
      <c r="A1772" s="9">
        <f>Speed!A1772</f>
        <v>45391.725983796299</v>
      </c>
      <c r="B1772" s="9">
        <f t="shared" si="220"/>
        <v>45391.725983796292</v>
      </c>
      <c r="C1772" s="2">
        <f>Speed!B1772</f>
        <v>4.0527777780000003</v>
      </c>
      <c r="D1772" s="9">
        <f>Odometer!A1772</f>
        <v>0</v>
      </c>
      <c r="E1772" s="9">
        <f t="shared" si="224"/>
        <v>0</v>
      </c>
      <c r="F1772" s="2">
        <f>Odometer!B1772</f>
        <v>0</v>
      </c>
      <c r="G1772" s="2">
        <f t="shared" si="221"/>
        <v>0</v>
      </c>
      <c r="H1772" s="2">
        <f>SUM($G$2:G1772)</f>
        <v>11920</v>
      </c>
      <c r="I1772" s="10">
        <f t="shared" si="225"/>
        <v>45391.725983796299</v>
      </c>
      <c r="J1772" s="10">
        <f t="shared" si="222"/>
        <v>45391.725983796292</v>
      </c>
      <c r="K1772" s="3" t="e">
        <f t="shared" si="223"/>
        <v>#N/A</v>
      </c>
      <c r="L1772">
        <f t="shared" si="219"/>
        <v>4.0527777780000003</v>
      </c>
      <c r="M1772">
        <f t="shared" si="226"/>
        <v>14.590000000800002</v>
      </c>
    </row>
    <row r="1773" spans="1:13" x14ac:dyDescent="0.25">
      <c r="A1773" s="9">
        <f>Speed!A1773</f>
        <v>45391.725983796299</v>
      </c>
      <c r="B1773" s="9">
        <f t="shared" si="220"/>
        <v>45391.725983796292</v>
      </c>
      <c r="C1773" s="2">
        <f>Speed!B1773</f>
        <v>3.85</v>
      </c>
      <c r="D1773" s="9">
        <f>Odometer!A1773</f>
        <v>0</v>
      </c>
      <c r="E1773" s="9">
        <f t="shared" si="224"/>
        <v>0</v>
      </c>
      <c r="F1773" s="2">
        <f>Odometer!B1773</f>
        <v>0</v>
      </c>
      <c r="G1773" s="2">
        <f t="shared" si="221"/>
        <v>0</v>
      </c>
      <c r="H1773" s="2">
        <f>SUM($G$2:G1773)</f>
        <v>11920</v>
      </c>
      <c r="I1773" s="10">
        <f t="shared" si="225"/>
        <v>45391.725983796299</v>
      </c>
      <c r="J1773" s="10">
        <f t="shared" si="222"/>
        <v>45391.725983796292</v>
      </c>
      <c r="K1773" s="3" t="e">
        <f t="shared" si="223"/>
        <v>#N/A</v>
      </c>
      <c r="L1773">
        <f t="shared" si="219"/>
        <v>4.0527777780000003</v>
      </c>
      <c r="M1773">
        <f t="shared" si="226"/>
        <v>14.590000000800002</v>
      </c>
    </row>
    <row r="1774" spans="1:13" x14ac:dyDescent="0.25">
      <c r="A1774" s="9">
        <f>Speed!A1774</f>
        <v>45391.725995370369</v>
      </c>
      <c r="B1774" s="9">
        <f t="shared" si="220"/>
        <v>45391.725995370369</v>
      </c>
      <c r="C1774" s="2">
        <f>Speed!B1774</f>
        <v>3.8333333330000001</v>
      </c>
      <c r="D1774" s="9">
        <f>Odometer!A1774</f>
        <v>0</v>
      </c>
      <c r="E1774" s="9">
        <f t="shared" si="224"/>
        <v>0</v>
      </c>
      <c r="F1774" s="2">
        <f>Odometer!B1774</f>
        <v>0</v>
      </c>
      <c r="G1774" s="2">
        <f t="shared" si="221"/>
        <v>0</v>
      </c>
      <c r="H1774" s="2">
        <f>SUM($G$2:G1774)</f>
        <v>11920</v>
      </c>
      <c r="I1774" s="10">
        <f t="shared" si="225"/>
        <v>45391.725995370369</v>
      </c>
      <c r="J1774" s="10">
        <f t="shared" si="222"/>
        <v>45391.725995370369</v>
      </c>
      <c r="K1774" s="3" t="e">
        <f t="shared" si="223"/>
        <v>#N/A</v>
      </c>
      <c r="L1774">
        <f t="shared" si="219"/>
        <v>3.8333333330000001</v>
      </c>
      <c r="M1774">
        <f t="shared" si="226"/>
        <v>13.799999998800001</v>
      </c>
    </row>
    <row r="1775" spans="1:13" x14ac:dyDescent="0.25">
      <c r="A1775" s="9">
        <f>Speed!A1775</f>
        <v>45391.725995370369</v>
      </c>
      <c r="B1775" s="9">
        <f t="shared" si="220"/>
        <v>45391.725995370369</v>
      </c>
      <c r="C1775" s="2">
        <f>Speed!B1775</f>
        <v>3.8194444440000002</v>
      </c>
      <c r="D1775" s="9">
        <f>Odometer!A1775</f>
        <v>0</v>
      </c>
      <c r="E1775" s="9">
        <f t="shared" si="224"/>
        <v>0</v>
      </c>
      <c r="F1775" s="2">
        <f>Odometer!B1775</f>
        <v>0</v>
      </c>
      <c r="G1775" s="2">
        <f t="shared" si="221"/>
        <v>0</v>
      </c>
      <c r="H1775" s="2">
        <f>SUM($G$2:G1775)</f>
        <v>11920</v>
      </c>
      <c r="I1775" s="10">
        <f t="shared" si="225"/>
        <v>45391.725995370369</v>
      </c>
      <c r="J1775" s="10">
        <f t="shared" si="222"/>
        <v>45391.725995370369</v>
      </c>
      <c r="K1775" s="3" t="e">
        <f t="shared" si="223"/>
        <v>#N/A</v>
      </c>
      <c r="L1775">
        <f t="shared" si="219"/>
        <v>3.8333333330000001</v>
      </c>
      <c r="M1775">
        <f t="shared" si="226"/>
        <v>13.799999998800001</v>
      </c>
    </row>
    <row r="1776" spans="1:13" x14ac:dyDescent="0.25">
      <c r="A1776" s="9">
        <f>Speed!A1776</f>
        <v>45391.726006944446</v>
      </c>
      <c r="B1776" s="9">
        <f t="shared" si="220"/>
        <v>45391.726006944446</v>
      </c>
      <c r="C1776" s="2">
        <f>Speed!B1776</f>
        <v>3.8222222220000002</v>
      </c>
      <c r="D1776" s="9">
        <f>Odometer!A1776</f>
        <v>0</v>
      </c>
      <c r="E1776" s="9">
        <f t="shared" si="224"/>
        <v>0</v>
      </c>
      <c r="F1776" s="2">
        <f>Odometer!B1776</f>
        <v>0</v>
      </c>
      <c r="G1776" s="2">
        <f t="shared" si="221"/>
        <v>0</v>
      </c>
      <c r="H1776" s="2">
        <f>SUM($G$2:G1776)</f>
        <v>11920</v>
      </c>
      <c r="I1776" s="10">
        <f t="shared" si="225"/>
        <v>45391.726006944446</v>
      </c>
      <c r="J1776" s="10">
        <f t="shared" si="222"/>
        <v>45391.726006944446</v>
      </c>
      <c r="K1776" s="3" t="e">
        <f t="shared" si="223"/>
        <v>#N/A</v>
      </c>
      <c r="L1776">
        <f t="shared" si="219"/>
        <v>3.8222222220000002</v>
      </c>
      <c r="M1776">
        <f t="shared" si="226"/>
        <v>13.759999999200001</v>
      </c>
    </row>
    <row r="1777" spans="1:13" x14ac:dyDescent="0.25">
      <c r="A1777" s="9">
        <f>Speed!A1777</f>
        <v>45391.726018518515</v>
      </c>
      <c r="B1777" s="9">
        <f t="shared" si="220"/>
        <v>45391.726018518515</v>
      </c>
      <c r="C1777" s="2">
        <f>Speed!B1777</f>
        <v>3.8111111110000002</v>
      </c>
      <c r="D1777" s="9">
        <f>Odometer!A1777</f>
        <v>0</v>
      </c>
      <c r="E1777" s="9">
        <f t="shared" si="224"/>
        <v>0</v>
      </c>
      <c r="F1777" s="2">
        <f>Odometer!B1777</f>
        <v>0</v>
      </c>
      <c r="G1777" s="2">
        <f t="shared" si="221"/>
        <v>0</v>
      </c>
      <c r="H1777" s="2">
        <f>SUM($G$2:G1777)</f>
        <v>11920</v>
      </c>
      <c r="I1777" s="10">
        <f t="shared" si="225"/>
        <v>45391.726018518515</v>
      </c>
      <c r="J1777" s="10">
        <f t="shared" si="222"/>
        <v>45391.726018518515</v>
      </c>
      <c r="K1777" s="3" t="e">
        <f t="shared" si="223"/>
        <v>#N/A</v>
      </c>
      <c r="L1777">
        <f t="shared" si="219"/>
        <v>3.8111111110000002</v>
      </c>
      <c r="M1777">
        <f t="shared" si="226"/>
        <v>13.719999999600001</v>
      </c>
    </row>
    <row r="1778" spans="1:13" x14ac:dyDescent="0.25">
      <c r="A1778" s="9">
        <f>Speed!A1778</f>
        <v>45391.726030092592</v>
      </c>
      <c r="B1778" s="9">
        <f t="shared" si="220"/>
        <v>45391.726030092592</v>
      </c>
      <c r="C1778" s="2">
        <f>Speed!B1778</f>
        <v>3.8</v>
      </c>
      <c r="D1778" s="9">
        <f>Odometer!A1778</f>
        <v>0</v>
      </c>
      <c r="E1778" s="9">
        <f t="shared" si="224"/>
        <v>0</v>
      </c>
      <c r="F1778" s="2">
        <f>Odometer!B1778</f>
        <v>0</v>
      </c>
      <c r="G1778" s="2">
        <f t="shared" si="221"/>
        <v>0</v>
      </c>
      <c r="H1778" s="2">
        <f>SUM($G$2:G1778)</f>
        <v>11920</v>
      </c>
      <c r="I1778" s="10">
        <f t="shared" si="225"/>
        <v>45391.726030092592</v>
      </c>
      <c r="J1778" s="10">
        <f t="shared" si="222"/>
        <v>45391.726030092592</v>
      </c>
      <c r="K1778" s="3" t="e">
        <f t="shared" si="223"/>
        <v>#N/A</v>
      </c>
      <c r="L1778">
        <f t="shared" si="219"/>
        <v>3.8</v>
      </c>
      <c r="M1778">
        <f t="shared" si="226"/>
        <v>13.68</v>
      </c>
    </row>
    <row r="1779" spans="1:13" x14ac:dyDescent="0.25">
      <c r="A1779" s="9">
        <f>Speed!A1779</f>
        <v>45391.726041666669</v>
      </c>
      <c r="B1779" s="9">
        <f t="shared" si="220"/>
        <v>45391.726041666661</v>
      </c>
      <c r="C1779" s="2">
        <f>Speed!B1779</f>
        <v>3.763888889</v>
      </c>
      <c r="D1779" s="9">
        <f>Odometer!A1779</f>
        <v>0</v>
      </c>
      <c r="E1779" s="9">
        <f t="shared" si="224"/>
        <v>0</v>
      </c>
      <c r="F1779" s="2">
        <f>Odometer!B1779</f>
        <v>0</v>
      </c>
      <c r="G1779" s="2">
        <f t="shared" si="221"/>
        <v>0</v>
      </c>
      <c r="H1779" s="2">
        <f>SUM($G$2:G1779)</f>
        <v>11920</v>
      </c>
      <c r="I1779" s="10">
        <f t="shared" si="225"/>
        <v>45391.726041666669</v>
      </c>
      <c r="J1779" s="10">
        <f t="shared" si="222"/>
        <v>45391.726041666661</v>
      </c>
      <c r="K1779" s="3" t="e">
        <f t="shared" si="223"/>
        <v>#N/A</v>
      </c>
      <c r="L1779">
        <f t="shared" si="219"/>
        <v>3.763888889</v>
      </c>
      <c r="M1779">
        <f t="shared" si="226"/>
        <v>13.550000000400001</v>
      </c>
    </row>
    <row r="1780" spans="1:13" x14ac:dyDescent="0.25">
      <c r="A1780" s="9">
        <f>Speed!A1780</f>
        <v>45391.726041666669</v>
      </c>
      <c r="B1780" s="9">
        <f t="shared" si="220"/>
        <v>45391.726041666661</v>
      </c>
      <c r="C1780" s="2">
        <f>Speed!B1780</f>
        <v>3.761111111</v>
      </c>
      <c r="D1780" s="9">
        <f>Odometer!A1780</f>
        <v>0</v>
      </c>
      <c r="E1780" s="9">
        <f t="shared" si="224"/>
        <v>0</v>
      </c>
      <c r="F1780" s="2">
        <f>Odometer!B1780</f>
        <v>0</v>
      </c>
      <c r="G1780" s="2">
        <f t="shared" si="221"/>
        <v>0</v>
      </c>
      <c r="H1780" s="2">
        <f>SUM($G$2:G1780)</f>
        <v>11920</v>
      </c>
      <c r="I1780" s="10">
        <f t="shared" si="225"/>
        <v>45391.726041666669</v>
      </c>
      <c r="J1780" s="10">
        <f t="shared" si="222"/>
        <v>45391.726041666661</v>
      </c>
      <c r="K1780" s="3" t="e">
        <f t="shared" si="223"/>
        <v>#N/A</v>
      </c>
      <c r="L1780">
        <f t="shared" si="219"/>
        <v>3.763888889</v>
      </c>
      <c r="M1780">
        <f t="shared" si="226"/>
        <v>13.550000000400001</v>
      </c>
    </row>
    <row r="1781" spans="1:13" x14ac:dyDescent="0.25">
      <c r="A1781" s="9">
        <f>Speed!A1781</f>
        <v>45391.726041666669</v>
      </c>
      <c r="B1781" s="9">
        <f t="shared" si="220"/>
        <v>45391.726041666661</v>
      </c>
      <c r="C1781" s="2">
        <f>Speed!B1781</f>
        <v>3.85</v>
      </c>
      <c r="D1781" s="9">
        <f>Odometer!A1781</f>
        <v>0</v>
      </c>
      <c r="E1781" s="9">
        <f t="shared" si="224"/>
        <v>0</v>
      </c>
      <c r="F1781" s="2">
        <f>Odometer!B1781</f>
        <v>0</v>
      </c>
      <c r="G1781" s="2">
        <f t="shared" si="221"/>
        <v>0</v>
      </c>
      <c r="H1781" s="2">
        <f>SUM($G$2:G1781)</f>
        <v>11920</v>
      </c>
      <c r="I1781" s="10">
        <f t="shared" si="225"/>
        <v>45391.726041666669</v>
      </c>
      <c r="J1781" s="10">
        <f t="shared" si="222"/>
        <v>45391.726041666661</v>
      </c>
      <c r="K1781" s="3" t="e">
        <f t="shared" si="223"/>
        <v>#N/A</v>
      </c>
      <c r="L1781">
        <f t="shared" si="219"/>
        <v>3.763888889</v>
      </c>
      <c r="M1781">
        <f t="shared" si="226"/>
        <v>13.550000000400001</v>
      </c>
    </row>
    <row r="1782" spans="1:13" x14ac:dyDescent="0.25">
      <c r="A1782" s="9">
        <f>Speed!A1782</f>
        <v>45391.726064814815</v>
      </c>
      <c r="B1782" s="9">
        <f t="shared" si="220"/>
        <v>45391.726064814815</v>
      </c>
      <c r="C1782" s="2">
        <f>Speed!B1782</f>
        <v>4.0472222220000003</v>
      </c>
      <c r="D1782" s="9">
        <f>Odometer!A1782</f>
        <v>0</v>
      </c>
      <c r="E1782" s="9">
        <f t="shared" si="224"/>
        <v>0</v>
      </c>
      <c r="F1782" s="2">
        <f>Odometer!B1782</f>
        <v>0</v>
      </c>
      <c r="G1782" s="2">
        <f t="shared" si="221"/>
        <v>0</v>
      </c>
      <c r="H1782" s="2">
        <f>SUM($G$2:G1782)</f>
        <v>11920</v>
      </c>
      <c r="I1782" s="10">
        <f t="shared" si="225"/>
        <v>45391.726064814815</v>
      </c>
      <c r="J1782" s="10">
        <f t="shared" si="222"/>
        <v>45391.726064814815</v>
      </c>
      <c r="K1782" s="3" t="e">
        <f t="shared" si="223"/>
        <v>#N/A</v>
      </c>
      <c r="L1782">
        <f t="shared" si="219"/>
        <v>4.0472222220000003</v>
      </c>
      <c r="M1782">
        <f t="shared" si="226"/>
        <v>14.569999999200002</v>
      </c>
    </row>
    <row r="1783" spans="1:13" x14ac:dyDescent="0.25">
      <c r="A1783" s="9">
        <f>Speed!A1783</f>
        <v>45391.726076388892</v>
      </c>
      <c r="B1783" s="9">
        <f t="shared" si="220"/>
        <v>45391.726076388884</v>
      </c>
      <c r="C1783" s="2">
        <f>Speed!B1783</f>
        <v>4.136111111</v>
      </c>
      <c r="D1783" s="9">
        <f>Odometer!A1783</f>
        <v>0</v>
      </c>
      <c r="E1783" s="9">
        <f t="shared" si="224"/>
        <v>0</v>
      </c>
      <c r="F1783" s="2">
        <f>Odometer!B1783</f>
        <v>0</v>
      </c>
      <c r="G1783" s="2">
        <f t="shared" si="221"/>
        <v>0</v>
      </c>
      <c r="H1783" s="2">
        <f>SUM($G$2:G1783)</f>
        <v>11920</v>
      </c>
      <c r="I1783" s="10">
        <f t="shared" si="225"/>
        <v>45391.726076388892</v>
      </c>
      <c r="J1783" s="10">
        <f t="shared" si="222"/>
        <v>45391.726076388884</v>
      </c>
      <c r="K1783" s="3" t="e">
        <f t="shared" si="223"/>
        <v>#N/A</v>
      </c>
      <c r="L1783">
        <f t="shared" si="219"/>
        <v>4.136111111</v>
      </c>
      <c r="M1783">
        <f t="shared" si="226"/>
        <v>14.889999999600001</v>
      </c>
    </row>
    <row r="1784" spans="1:13" x14ac:dyDescent="0.25">
      <c r="A1784" s="9">
        <f>Speed!A1784</f>
        <v>45391.726087962961</v>
      </c>
      <c r="B1784" s="9">
        <f t="shared" si="220"/>
        <v>45391.726087962961</v>
      </c>
      <c r="C1784" s="2">
        <f>Speed!B1784</f>
        <v>4.0666666669999998</v>
      </c>
      <c r="D1784" s="9">
        <f>Odometer!A1784</f>
        <v>0</v>
      </c>
      <c r="E1784" s="9">
        <f t="shared" si="224"/>
        <v>0</v>
      </c>
      <c r="F1784" s="2">
        <f>Odometer!B1784</f>
        <v>0</v>
      </c>
      <c r="G1784" s="2">
        <f t="shared" si="221"/>
        <v>0</v>
      </c>
      <c r="H1784" s="2">
        <f>SUM($G$2:G1784)</f>
        <v>11920</v>
      </c>
      <c r="I1784" s="10">
        <f t="shared" si="225"/>
        <v>45391.726087962961</v>
      </c>
      <c r="J1784" s="10">
        <f t="shared" si="222"/>
        <v>45391.726087962961</v>
      </c>
      <c r="K1784" s="3" t="e">
        <f t="shared" si="223"/>
        <v>#N/A</v>
      </c>
      <c r="L1784">
        <f t="shared" si="219"/>
        <v>4.0666666669999998</v>
      </c>
      <c r="M1784">
        <f t="shared" si="226"/>
        <v>14.640000001199999</v>
      </c>
    </row>
    <row r="1785" spans="1:13" x14ac:dyDescent="0.25">
      <c r="A1785" s="9">
        <f>Speed!A1785</f>
        <v>45391.726087962961</v>
      </c>
      <c r="B1785" s="9">
        <f t="shared" si="220"/>
        <v>45391.726087962961</v>
      </c>
      <c r="C1785" s="2">
        <f>Speed!B1785</f>
        <v>4.0555555559999998</v>
      </c>
      <c r="D1785" s="9">
        <f>Odometer!A1785</f>
        <v>0</v>
      </c>
      <c r="E1785" s="9">
        <f t="shared" si="224"/>
        <v>0</v>
      </c>
      <c r="F1785" s="2">
        <f>Odometer!B1785</f>
        <v>0</v>
      </c>
      <c r="G1785" s="2">
        <f t="shared" si="221"/>
        <v>0</v>
      </c>
      <c r="H1785" s="2">
        <f>SUM($G$2:G1785)</f>
        <v>11920</v>
      </c>
      <c r="I1785" s="10">
        <f t="shared" si="225"/>
        <v>45391.726087962961</v>
      </c>
      <c r="J1785" s="10">
        <f t="shared" si="222"/>
        <v>45391.726087962961</v>
      </c>
      <c r="K1785" s="3" t="e">
        <f t="shared" si="223"/>
        <v>#N/A</v>
      </c>
      <c r="L1785">
        <f t="shared" si="219"/>
        <v>4.0666666669999998</v>
      </c>
      <c r="M1785">
        <f t="shared" si="226"/>
        <v>14.640000001199999</v>
      </c>
    </row>
    <row r="1786" spans="1:13" x14ac:dyDescent="0.25">
      <c r="A1786" s="9">
        <f>Speed!A1786</f>
        <v>45391.726111111115</v>
      </c>
      <c r="B1786" s="9">
        <f t="shared" si="220"/>
        <v>45391.726111111107</v>
      </c>
      <c r="C1786" s="2">
        <f>Speed!B1786</f>
        <v>4.0416666670000003</v>
      </c>
      <c r="D1786" s="9">
        <f>Odometer!A1786</f>
        <v>0</v>
      </c>
      <c r="E1786" s="9">
        <f t="shared" si="224"/>
        <v>0</v>
      </c>
      <c r="F1786" s="2">
        <f>Odometer!B1786</f>
        <v>0</v>
      </c>
      <c r="G1786" s="2">
        <f t="shared" si="221"/>
        <v>0</v>
      </c>
      <c r="H1786" s="2">
        <f>SUM($G$2:G1786)</f>
        <v>11920</v>
      </c>
      <c r="I1786" s="10">
        <f t="shared" si="225"/>
        <v>45391.726111111115</v>
      </c>
      <c r="J1786" s="10">
        <f t="shared" si="222"/>
        <v>45391.726111111107</v>
      </c>
      <c r="K1786" s="3" t="e">
        <f t="shared" si="223"/>
        <v>#N/A</v>
      </c>
      <c r="L1786">
        <f t="shared" si="219"/>
        <v>4.0416666670000003</v>
      </c>
      <c r="M1786">
        <f t="shared" si="226"/>
        <v>14.550000001200001</v>
      </c>
    </row>
    <row r="1787" spans="1:13" x14ac:dyDescent="0.25">
      <c r="A1787" s="9">
        <f>Speed!A1787</f>
        <v>45391.726122685184</v>
      </c>
      <c r="B1787" s="9">
        <f t="shared" si="220"/>
        <v>45391.726122685184</v>
      </c>
      <c r="C1787" s="2">
        <f>Speed!B1787</f>
        <v>4.0833333329999997</v>
      </c>
      <c r="D1787" s="9">
        <f>Odometer!A1787</f>
        <v>0</v>
      </c>
      <c r="E1787" s="9">
        <f t="shared" si="224"/>
        <v>0</v>
      </c>
      <c r="F1787" s="2">
        <f>Odometer!B1787</f>
        <v>0</v>
      </c>
      <c r="G1787" s="2">
        <f t="shared" si="221"/>
        <v>0</v>
      </c>
      <c r="H1787" s="2">
        <f>SUM($G$2:G1787)</f>
        <v>11920</v>
      </c>
      <c r="I1787" s="10">
        <f t="shared" si="225"/>
        <v>45391.726122685184</v>
      </c>
      <c r="J1787" s="10">
        <f t="shared" si="222"/>
        <v>45391.726122685184</v>
      </c>
      <c r="K1787" s="3" t="e">
        <f t="shared" si="223"/>
        <v>#N/A</v>
      </c>
      <c r="L1787">
        <f t="shared" si="219"/>
        <v>4.0833333329999997</v>
      </c>
      <c r="M1787">
        <f t="shared" si="226"/>
        <v>14.699999998799999</v>
      </c>
    </row>
    <row r="1788" spans="1:13" x14ac:dyDescent="0.25">
      <c r="A1788" s="9">
        <f>Speed!A1788</f>
        <v>45391.726122685184</v>
      </c>
      <c r="B1788" s="9">
        <f t="shared" si="220"/>
        <v>45391.726122685184</v>
      </c>
      <c r="C1788" s="2">
        <f>Speed!B1788</f>
        <v>4.1833333330000002</v>
      </c>
      <c r="D1788" s="9">
        <f>Odometer!A1788</f>
        <v>0</v>
      </c>
      <c r="E1788" s="9">
        <f t="shared" si="224"/>
        <v>0</v>
      </c>
      <c r="F1788" s="2">
        <f>Odometer!B1788</f>
        <v>0</v>
      </c>
      <c r="G1788" s="2">
        <f t="shared" si="221"/>
        <v>0</v>
      </c>
      <c r="H1788" s="2">
        <f>SUM($G$2:G1788)</f>
        <v>11920</v>
      </c>
      <c r="I1788" s="10">
        <f t="shared" si="225"/>
        <v>45391.726122685184</v>
      </c>
      <c r="J1788" s="10">
        <f t="shared" si="222"/>
        <v>45391.726122685184</v>
      </c>
      <c r="K1788" s="3" t="e">
        <f t="shared" si="223"/>
        <v>#N/A</v>
      </c>
      <c r="L1788">
        <f t="shared" si="219"/>
        <v>4.0833333329999997</v>
      </c>
      <c r="M1788">
        <f t="shared" si="226"/>
        <v>14.699999998799999</v>
      </c>
    </row>
    <row r="1789" spans="1:13" x14ac:dyDescent="0.25">
      <c r="A1789" s="9">
        <f>Speed!A1789</f>
        <v>45391.726134259261</v>
      </c>
      <c r="B1789" s="9">
        <f t="shared" si="220"/>
        <v>45391.726134259254</v>
      </c>
      <c r="C1789" s="2">
        <f>Speed!B1789</f>
        <v>4.1944444440000002</v>
      </c>
      <c r="D1789" s="9">
        <f>Odometer!A1789</f>
        <v>0</v>
      </c>
      <c r="E1789" s="9">
        <f t="shared" si="224"/>
        <v>0</v>
      </c>
      <c r="F1789" s="2">
        <f>Odometer!B1789</f>
        <v>0</v>
      </c>
      <c r="G1789" s="2">
        <f t="shared" si="221"/>
        <v>0</v>
      </c>
      <c r="H1789" s="2">
        <f>SUM($G$2:G1789)</f>
        <v>11920</v>
      </c>
      <c r="I1789" s="10">
        <f t="shared" si="225"/>
        <v>45391.726134259261</v>
      </c>
      <c r="J1789" s="10">
        <f t="shared" si="222"/>
        <v>45391.726134259254</v>
      </c>
      <c r="K1789" s="3" t="e">
        <f t="shared" si="223"/>
        <v>#N/A</v>
      </c>
      <c r="L1789">
        <f t="shared" si="219"/>
        <v>4.1944444440000002</v>
      </c>
      <c r="M1789">
        <f t="shared" si="226"/>
        <v>15.099999998400001</v>
      </c>
    </row>
    <row r="1790" spans="1:13" x14ac:dyDescent="0.25">
      <c r="A1790" s="9">
        <f>Speed!A1790</f>
        <v>45391.726134259261</v>
      </c>
      <c r="B1790" s="9">
        <f t="shared" si="220"/>
        <v>45391.726134259254</v>
      </c>
      <c r="C1790" s="2">
        <f>Speed!B1790</f>
        <v>4.2638888890000004</v>
      </c>
      <c r="D1790" s="9">
        <f>Odometer!A1790</f>
        <v>0</v>
      </c>
      <c r="E1790" s="9">
        <f t="shared" si="224"/>
        <v>0</v>
      </c>
      <c r="F1790" s="2">
        <f>Odometer!B1790</f>
        <v>0</v>
      </c>
      <c r="G1790" s="2">
        <f t="shared" si="221"/>
        <v>0</v>
      </c>
      <c r="H1790" s="2">
        <f>SUM($G$2:G1790)</f>
        <v>11920</v>
      </c>
      <c r="I1790" s="10">
        <f t="shared" si="225"/>
        <v>45391.726134259261</v>
      </c>
      <c r="J1790" s="10">
        <f t="shared" si="222"/>
        <v>45391.726134259254</v>
      </c>
      <c r="K1790" s="3" t="e">
        <f t="shared" si="223"/>
        <v>#N/A</v>
      </c>
      <c r="L1790">
        <f t="shared" si="219"/>
        <v>4.1944444440000002</v>
      </c>
      <c r="M1790">
        <f t="shared" si="226"/>
        <v>15.099999998400001</v>
      </c>
    </row>
    <row r="1791" spans="1:13" x14ac:dyDescent="0.25">
      <c r="A1791" s="9">
        <f>Speed!A1791</f>
        <v>45391.726134259261</v>
      </c>
      <c r="B1791" s="9">
        <f t="shared" si="220"/>
        <v>45391.726134259254</v>
      </c>
      <c r="C1791" s="2">
        <f>Speed!B1791</f>
        <v>4.2583333330000004</v>
      </c>
      <c r="D1791" s="9">
        <f>Odometer!A1791</f>
        <v>0</v>
      </c>
      <c r="E1791" s="9">
        <f t="shared" si="224"/>
        <v>0</v>
      </c>
      <c r="F1791" s="2">
        <f>Odometer!B1791</f>
        <v>0</v>
      </c>
      <c r="G1791" s="2">
        <f t="shared" si="221"/>
        <v>0</v>
      </c>
      <c r="H1791" s="2">
        <f>SUM($G$2:G1791)</f>
        <v>11920</v>
      </c>
      <c r="I1791" s="10">
        <f t="shared" si="225"/>
        <v>45391.726134259261</v>
      </c>
      <c r="J1791" s="10">
        <f t="shared" si="222"/>
        <v>45391.726134259254</v>
      </c>
      <c r="K1791" s="3" t="e">
        <f t="shared" si="223"/>
        <v>#N/A</v>
      </c>
      <c r="L1791">
        <f t="shared" si="219"/>
        <v>4.1944444440000002</v>
      </c>
      <c r="M1791">
        <f t="shared" si="226"/>
        <v>15.099999998400001</v>
      </c>
    </row>
    <row r="1792" spans="1:13" x14ac:dyDescent="0.25">
      <c r="A1792" s="9">
        <f>Speed!A1792</f>
        <v>45391.726145833331</v>
      </c>
      <c r="B1792" s="9">
        <f t="shared" si="220"/>
        <v>45391.726145833331</v>
      </c>
      <c r="C1792" s="2">
        <f>Speed!B1792</f>
        <v>4.2638888890000004</v>
      </c>
      <c r="D1792" s="9">
        <f>Odometer!A1792</f>
        <v>0</v>
      </c>
      <c r="E1792" s="9">
        <f t="shared" si="224"/>
        <v>0</v>
      </c>
      <c r="F1792" s="2">
        <f>Odometer!B1792</f>
        <v>0</v>
      </c>
      <c r="G1792" s="2">
        <f t="shared" si="221"/>
        <v>0</v>
      </c>
      <c r="H1792" s="2">
        <f>SUM($G$2:G1792)</f>
        <v>11920</v>
      </c>
      <c r="I1792" s="10">
        <f t="shared" si="225"/>
        <v>45391.726145833331</v>
      </c>
      <c r="J1792" s="10">
        <f t="shared" si="222"/>
        <v>45391.726145833331</v>
      </c>
      <c r="K1792" s="3" t="e">
        <f t="shared" si="223"/>
        <v>#N/A</v>
      </c>
      <c r="L1792">
        <f t="shared" si="219"/>
        <v>4.2638888890000004</v>
      </c>
      <c r="M1792">
        <f t="shared" si="226"/>
        <v>15.350000000400001</v>
      </c>
    </row>
    <row r="1793" spans="1:13" x14ac:dyDescent="0.25">
      <c r="A1793" s="9">
        <f>Speed!A1793</f>
        <v>45391.726157407407</v>
      </c>
      <c r="B1793" s="9">
        <f t="shared" si="220"/>
        <v>45391.726157407407</v>
      </c>
      <c r="C1793" s="2">
        <f>Speed!B1793</f>
        <v>4.2527777779999996</v>
      </c>
      <c r="D1793" s="9">
        <f>Odometer!A1793</f>
        <v>0</v>
      </c>
      <c r="E1793" s="9">
        <f t="shared" si="224"/>
        <v>0</v>
      </c>
      <c r="F1793" s="2">
        <f>Odometer!B1793</f>
        <v>0</v>
      </c>
      <c r="G1793" s="2">
        <f t="shared" si="221"/>
        <v>0</v>
      </c>
      <c r="H1793" s="2">
        <f>SUM($G$2:G1793)</f>
        <v>11920</v>
      </c>
      <c r="I1793" s="10">
        <f t="shared" si="225"/>
        <v>45391.726157407407</v>
      </c>
      <c r="J1793" s="10">
        <f t="shared" si="222"/>
        <v>45391.726157407407</v>
      </c>
      <c r="K1793" s="3" t="e">
        <f t="shared" si="223"/>
        <v>#N/A</v>
      </c>
      <c r="L1793">
        <f t="shared" si="219"/>
        <v>4.2527777779999996</v>
      </c>
      <c r="M1793">
        <f t="shared" si="226"/>
        <v>15.310000000799999</v>
      </c>
    </row>
    <row r="1794" spans="1:13" x14ac:dyDescent="0.25">
      <c r="A1794" s="9">
        <f>Speed!A1794</f>
        <v>45391.726168981484</v>
      </c>
      <c r="B1794" s="9">
        <f t="shared" si="220"/>
        <v>45391.726168981477</v>
      </c>
      <c r="C1794" s="2">
        <f>Speed!B1794</f>
        <v>4.2361111109999996</v>
      </c>
      <c r="D1794" s="9">
        <f>Odometer!A1794</f>
        <v>0</v>
      </c>
      <c r="E1794" s="9">
        <f t="shared" si="224"/>
        <v>0</v>
      </c>
      <c r="F1794" s="2">
        <f>Odometer!B1794</f>
        <v>0</v>
      </c>
      <c r="G1794" s="2">
        <f t="shared" si="221"/>
        <v>0</v>
      </c>
      <c r="H1794" s="2">
        <f>SUM($G$2:G1794)</f>
        <v>11920</v>
      </c>
      <c r="I1794" s="10">
        <f t="shared" si="225"/>
        <v>45391.726168981484</v>
      </c>
      <c r="J1794" s="10">
        <f t="shared" si="222"/>
        <v>45391.726168981477</v>
      </c>
      <c r="K1794" s="3" t="e">
        <f t="shared" si="223"/>
        <v>#N/A</v>
      </c>
      <c r="L1794">
        <f t="shared" ref="L1794:L1857" si="227">INDEX($C$2:$C$2000, MATCH(I1794,$A$2:$A$2000,0))</f>
        <v>4.2361111109999996</v>
      </c>
      <c r="M1794">
        <f t="shared" si="226"/>
        <v>15.249999999599998</v>
      </c>
    </row>
    <row r="1795" spans="1:13" x14ac:dyDescent="0.25">
      <c r="A1795" s="9">
        <f>Speed!A1795</f>
        <v>45391.726168981484</v>
      </c>
      <c r="B1795" s="9">
        <f t="shared" ref="B1795:B1858" si="228">MROUND(A1795,"00:00:01")</f>
        <v>45391.726168981477</v>
      </c>
      <c r="C1795" s="2">
        <f>Speed!B1795</f>
        <v>4.2055555560000002</v>
      </c>
      <c r="D1795" s="9">
        <f>Odometer!A1795</f>
        <v>0</v>
      </c>
      <c r="E1795" s="9">
        <f t="shared" si="224"/>
        <v>0</v>
      </c>
      <c r="F1795" s="2">
        <f>Odometer!B1795</f>
        <v>0</v>
      </c>
      <c r="G1795" s="2">
        <f t="shared" ref="G1795:G1858" si="229">IF(F1796-F1795&lt;0,0,F1796-F1795)</f>
        <v>0</v>
      </c>
      <c r="H1795" s="2">
        <f>SUM($G$2:G1795)</f>
        <v>11920</v>
      </c>
      <c r="I1795" s="10">
        <f t="shared" si="225"/>
        <v>45391.726168981484</v>
      </c>
      <c r="J1795" s="10">
        <f t="shared" ref="J1795:J1858" si="230">MROUND(I1795,"0:00:01")</f>
        <v>45391.726168981477</v>
      </c>
      <c r="K1795" s="3" t="e">
        <f t="shared" si="223"/>
        <v>#N/A</v>
      </c>
      <c r="L1795">
        <f t="shared" si="227"/>
        <v>4.2361111109999996</v>
      </c>
      <c r="M1795">
        <f t="shared" si="226"/>
        <v>15.249999999599998</v>
      </c>
    </row>
    <row r="1796" spans="1:13" x14ac:dyDescent="0.25">
      <c r="A1796" s="9">
        <f>Speed!A1796</f>
        <v>45391.72619212963</v>
      </c>
      <c r="B1796" s="9">
        <f t="shared" si="228"/>
        <v>45391.72619212963</v>
      </c>
      <c r="C1796" s="2">
        <f>Speed!B1796</f>
        <v>4.1833333330000002</v>
      </c>
      <c r="D1796" s="9">
        <f>Odometer!A1796</f>
        <v>0</v>
      </c>
      <c r="E1796" s="9">
        <f t="shared" si="224"/>
        <v>0</v>
      </c>
      <c r="F1796" s="2">
        <f>Odometer!B1796</f>
        <v>0</v>
      </c>
      <c r="G1796" s="2">
        <f t="shared" si="229"/>
        <v>0</v>
      </c>
      <c r="H1796" s="2">
        <f>SUM($G$2:G1796)</f>
        <v>11920</v>
      </c>
      <c r="I1796" s="10">
        <f t="shared" si="225"/>
        <v>45391.72619212963</v>
      </c>
      <c r="J1796" s="10">
        <f t="shared" si="230"/>
        <v>45391.72619212963</v>
      </c>
      <c r="K1796" s="3" t="e">
        <f t="shared" ref="K1796:K1859" si="231">IFERROR(INDEX($H$2:$H$2000,MATCH(J1796,$E$2:$E$2000,0)),NA())</f>
        <v>#N/A</v>
      </c>
      <c r="L1796">
        <f t="shared" si="227"/>
        <v>4.1833333330000002</v>
      </c>
      <c r="M1796">
        <f t="shared" si="226"/>
        <v>15.0599999988</v>
      </c>
    </row>
    <row r="1797" spans="1:13" x14ac:dyDescent="0.25">
      <c r="A1797" s="9">
        <f>Speed!A1797</f>
        <v>45391.72619212963</v>
      </c>
      <c r="B1797" s="9">
        <f t="shared" si="228"/>
        <v>45391.72619212963</v>
      </c>
      <c r="C1797" s="2">
        <f>Speed!B1797</f>
        <v>4.1583333329999999</v>
      </c>
      <c r="D1797" s="9">
        <f>Odometer!A1797</f>
        <v>0</v>
      </c>
      <c r="E1797" s="9">
        <f t="shared" si="224"/>
        <v>0</v>
      </c>
      <c r="F1797" s="2">
        <f>Odometer!B1797</f>
        <v>0</v>
      </c>
      <c r="G1797" s="2">
        <f t="shared" si="229"/>
        <v>0</v>
      </c>
      <c r="H1797" s="2">
        <f>SUM($G$2:G1797)</f>
        <v>11920</v>
      </c>
      <c r="I1797" s="10">
        <f t="shared" si="225"/>
        <v>45391.72619212963</v>
      </c>
      <c r="J1797" s="10">
        <f t="shared" si="230"/>
        <v>45391.72619212963</v>
      </c>
      <c r="K1797" s="3" t="e">
        <f t="shared" si="231"/>
        <v>#N/A</v>
      </c>
      <c r="L1797">
        <f t="shared" si="227"/>
        <v>4.1833333330000002</v>
      </c>
      <c r="M1797">
        <f t="shared" si="226"/>
        <v>15.0599999988</v>
      </c>
    </row>
    <row r="1798" spans="1:13" x14ac:dyDescent="0.25">
      <c r="A1798" s="9">
        <f>Speed!A1798</f>
        <v>45391.726203703707</v>
      </c>
      <c r="B1798" s="9">
        <f t="shared" si="228"/>
        <v>45391.7262037037</v>
      </c>
      <c r="C1798" s="2">
        <f>Speed!B1798</f>
        <v>4.1555555560000004</v>
      </c>
      <c r="D1798" s="9">
        <f>Odometer!A1798</f>
        <v>0</v>
      </c>
      <c r="E1798" s="9">
        <f t="shared" si="224"/>
        <v>0</v>
      </c>
      <c r="F1798" s="2">
        <f>Odometer!B1798</f>
        <v>0</v>
      </c>
      <c r="G1798" s="2">
        <f t="shared" si="229"/>
        <v>0</v>
      </c>
      <c r="H1798" s="2">
        <f>SUM($G$2:G1798)</f>
        <v>11920</v>
      </c>
      <c r="I1798" s="10">
        <f t="shared" si="225"/>
        <v>45391.726203703707</v>
      </c>
      <c r="J1798" s="10">
        <f t="shared" si="230"/>
        <v>45391.7262037037</v>
      </c>
      <c r="K1798" s="3" t="e">
        <f t="shared" si="231"/>
        <v>#N/A</v>
      </c>
      <c r="L1798">
        <f t="shared" si="227"/>
        <v>4.1555555560000004</v>
      </c>
      <c r="M1798">
        <f t="shared" si="226"/>
        <v>14.960000001600001</v>
      </c>
    </row>
    <row r="1799" spans="1:13" x14ac:dyDescent="0.25">
      <c r="A1799" s="9">
        <f>Speed!A1799</f>
        <v>45391.726215277777</v>
      </c>
      <c r="B1799" s="9">
        <f t="shared" si="228"/>
        <v>45391.726215277777</v>
      </c>
      <c r="C1799" s="2">
        <f>Speed!B1799</f>
        <v>4.1666666670000003</v>
      </c>
      <c r="D1799" s="9">
        <f>Odometer!A1799</f>
        <v>0</v>
      </c>
      <c r="E1799" s="9">
        <f t="shared" si="224"/>
        <v>0</v>
      </c>
      <c r="F1799" s="2">
        <f>Odometer!B1799</f>
        <v>0</v>
      </c>
      <c r="G1799" s="2">
        <f t="shared" si="229"/>
        <v>0</v>
      </c>
      <c r="H1799" s="2">
        <f>SUM($G$2:G1799)</f>
        <v>11920</v>
      </c>
      <c r="I1799" s="10">
        <f t="shared" si="225"/>
        <v>45391.726215277777</v>
      </c>
      <c r="J1799" s="10">
        <f t="shared" si="230"/>
        <v>45391.726215277777</v>
      </c>
      <c r="K1799" s="3" t="e">
        <f t="shared" si="231"/>
        <v>#N/A</v>
      </c>
      <c r="L1799">
        <f t="shared" si="227"/>
        <v>4.1666666670000003</v>
      </c>
      <c r="M1799">
        <f t="shared" si="226"/>
        <v>15.000000001200002</v>
      </c>
    </row>
    <row r="1800" spans="1:13" x14ac:dyDescent="0.25">
      <c r="A1800" s="9">
        <f>Speed!A1800</f>
        <v>45391.726226851853</v>
      </c>
      <c r="B1800" s="9">
        <f t="shared" si="228"/>
        <v>45391.726226851846</v>
      </c>
      <c r="C1800" s="2">
        <f>Speed!B1800</f>
        <v>4.0916666670000001</v>
      </c>
      <c r="D1800" s="9">
        <f>Odometer!A1800</f>
        <v>0</v>
      </c>
      <c r="E1800" s="9">
        <f t="shared" si="224"/>
        <v>0</v>
      </c>
      <c r="F1800" s="2">
        <f>Odometer!B1800</f>
        <v>0</v>
      </c>
      <c r="G1800" s="2">
        <f t="shared" si="229"/>
        <v>0</v>
      </c>
      <c r="H1800" s="2">
        <f>SUM($G$2:G1800)</f>
        <v>11920</v>
      </c>
      <c r="I1800" s="10">
        <f t="shared" si="225"/>
        <v>45391.726226851853</v>
      </c>
      <c r="J1800" s="10">
        <f t="shared" si="230"/>
        <v>45391.726226851846</v>
      </c>
      <c r="K1800" s="3" t="e">
        <f t="shared" si="231"/>
        <v>#N/A</v>
      </c>
      <c r="L1800">
        <f t="shared" si="227"/>
        <v>4.0916666670000001</v>
      </c>
      <c r="M1800">
        <f t="shared" si="226"/>
        <v>14.730000001200001</v>
      </c>
    </row>
    <row r="1801" spans="1:13" x14ac:dyDescent="0.25">
      <c r="A1801" s="9">
        <f>Speed!A1801</f>
        <v>45391.726226851853</v>
      </c>
      <c r="B1801" s="9">
        <f t="shared" si="228"/>
        <v>45391.726226851846</v>
      </c>
      <c r="C1801" s="2">
        <f>Speed!B1801</f>
        <v>4.0972222220000001</v>
      </c>
      <c r="D1801" s="9">
        <f>Odometer!A1801</f>
        <v>0</v>
      </c>
      <c r="E1801" s="9">
        <f t="shared" si="224"/>
        <v>0</v>
      </c>
      <c r="F1801" s="2">
        <f>Odometer!B1801</f>
        <v>0</v>
      </c>
      <c r="G1801" s="2">
        <f t="shared" si="229"/>
        <v>0</v>
      </c>
      <c r="H1801" s="2">
        <f>SUM($G$2:G1801)</f>
        <v>11920</v>
      </c>
      <c r="I1801" s="10">
        <f t="shared" si="225"/>
        <v>45391.726226851853</v>
      </c>
      <c r="J1801" s="10">
        <f t="shared" si="230"/>
        <v>45391.726226851846</v>
      </c>
      <c r="K1801" s="3" t="e">
        <f t="shared" si="231"/>
        <v>#N/A</v>
      </c>
      <c r="L1801">
        <f t="shared" si="227"/>
        <v>4.0916666670000001</v>
      </c>
      <c r="M1801">
        <f t="shared" si="226"/>
        <v>14.730000001200001</v>
      </c>
    </row>
    <row r="1802" spans="1:13" x14ac:dyDescent="0.25">
      <c r="A1802" s="9">
        <f>Speed!A1802</f>
        <v>45391.726226851853</v>
      </c>
      <c r="B1802" s="9">
        <f t="shared" si="228"/>
        <v>45391.726226851846</v>
      </c>
      <c r="C1802" s="2">
        <f>Speed!B1802</f>
        <v>3.9694444440000001</v>
      </c>
      <c r="D1802" s="9">
        <f>Odometer!A1802</f>
        <v>0</v>
      </c>
      <c r="E1802" s="9">
        <f t="shared" si="224"/>
        <v>0</v>
      </c>
      <c r="F1802" s="2">
        <f>Odometer!B1802</f>
        <v>0</v>
      </c>
      <c r="G1802" s="2">
        <f t="shared" si="229"/>
        <v>0</v>
      </c>
      <c r="H1802" s="2">
        <f>SUM($G$2:G1802)</f>
        <v>11920</v>
      </c>
      <c r="I1802" s="10">
        <f t="shared" si="225"/>
        <v>45391.726226851853</v>
      </c>
      <c r="J1802" s="10">
        <f t="shared" si="230"/>
        <v>45391.726226851846</v>
      </c>
      <c r="K1802" s="3" t="e">
        <f t="shared" si="231"/>
        <v>#N/A</v>
      </c>
      <c r="L1802">
        <f t="shared" si="227"/>
        <v>4.0916666670000001</v>
      </c>
      <c r="M1802">
        <f t="shared" si="226"/>
        <v>14.730000001200001</v>
      </c>
    </row>
    <row r="1803" spans="1:13" x14ac:dyDescent="0.25">
      <c r="A1803" s="9">
        <f>Speed!A1803</f>
        <v>45391.72625</v>
      </c>
      <c r="B1803" s="9">
        <f t="shared" si="228"/>
        <v>45391.72625</v>
      </c>
      <c r="C1803" s="2">
        <f>Speed!B1803</f>
        <v>3.8472222220000001</v>
      </c>
      <c r="D1803" s="9">
        <f>Odometer!A1803</f>
        <v>0</v>
      </c>
      <c r="E1803" s="9">
        <f t="shared" si="224"/>
        <v>0</v>
      </c>
      <c r="F1803" s="2">
        <f>Odometer!B1803</f>
        <v>0</v>
      </c>
      <c r="G1803" s="2">
        <f t="shared" si="229"/>
        <v>0</v>
      </c>
      <c r="H1803" s="2">
        <f>SUM($G$2:G1803)</f>
        <v>11920</v>
      </c>
      <c r="I1803" s="10">
        <f t="shared" si="225"/>
        <v>45391.72625</v>
      </c>
      <c r="J1803" s="10">
        <f t="shared" si="230"/>
        <v>45391.72625</v>
      </c>
      <c r="K1803" s="3" t="e">
        <f t="shared" si="231"/>
        <v>#N/A</v>
      </c>
      <c r="L1803">
        <f t="shared" si="227"/>
        <v>3.8472222220000001</v>
      </c>
      <c r="M1803">
        <f t="shared" si="226"/>
        <v>13.849999999200001</v>
      </c>
    </row>
    <row r="1804" spans="1:13" x14ac:dyDescent="0.25">
      <c r="A1804" s="9">
        <f>Speed!A1804</f>
        <v>45391.726261574076</v>
      </c>
      <c r="B1804" s="9">
        <f t="shared" si="228"/>
        <v>45391.726261574069</v>
      </c>
      <c r="C1804" s="2">
        <f>Speed!B1804</f>
        <v>3.7194444440000001</v>
      </c>
      <c r="D1804" s="9">
        <f>Odometer!A1804</f>
        <v>0</v>
      </c>
      <c r="E1804" s="9">
        <f t="shared" si="224"/>
        <v>0</v>
      </c>
      <c r="F1804" s="2">
        <f>Odometer!B1804</f>
        <v>0</v>
      </c>
      <c r="G1804" s="2">
        <f t="shared" si="229"/>
        <v>0</v>
      </c>
      <c r="H1804" s="2">
        <f>SUM($G$2:G1804)</f>
        <v>11920</v>
      </c>
      <c r="I1804" s="10">
        <f t="shared" si="225"/>
        <v>45391.726261574076</v>
      </c>
      <c r="J1804" s="10">
        <f t="shared" si="230"/>
        <v>45391.726261574069</v>
      </c>
      <c r="K1804" s="3" t="e">
        <f t="shared" si="231"/>
        <v>#N/A</v>
      </c>
      <c r="L1804">
        <f t="shared" si="227"/>
        <v>3.7194444440000001</v>
      </c>
      <c r="M1804">
        <f t="shared" si="226"/>
        <v>13.3899999984</v>
      </c>
    </row>
    <row r="1805" spans="1:13" x14ac:dyDescent="0.25">
      <c r="A1805" s="9">
        <f>Speed!A1805</f>
        <v>45391.726273148146</v>
      </c>
      <c r="B1805" s="9">
        <f t="shared" si="228"/>
        <v>45391.726273148146</v>
      </c>
      <c r="C1805" s="2">
        <f>Speed!B1805</f>
        <v>3.619444444</v>
      </c>
      <c r="D1805" s="9">
        <f>Odometer!A1805</f>
        <v>0</v>
      </c>
      <c r="E1805" s="9">
        <f t="shared" si="224"/>
        <v>0</v>
      </c>
      <c r="F1805" s="2">
        <f>Odometer!B1805</f>
        <v>0</v>
      </c>
      <c r="G1805" s="2">
        <f t="shared" si="229"/>
        <v>0</v>
      </c>
      <c r="H1805" s="2">
        <f>SUM($G$2:G1805)</f>
        <v>11920</v>
      </c>
      <c r="I1805" s="10">
        <f t="shared" si="225"/>
        <v>45391.726273148146</v>
      </c>
      <c r="J1805" s="10">
        <f t="shared" si="230"/>
        <v>45391.726273148146</v>
      </c>
      <c r="K1805" s="3" t="e">
        <f t="shared" si="231"/>
        <v>#N/A</v>
      </c>
      <c r="L1805">
        <f t="shared" si="227"/>
        <v>3.619444444</v>
      </c>
      <c r="M1805">
        <f t="shared" si="226"/>
        <v>13.029999998400001</v>
      </c>
    </row>
    <row r="1806" spans="1:13" x14ac:dyDescent="0.25">
      <c r="A1806" s="9">
        <f>Speed!A1806</f>
        <v>45391.726284722223</v>
      </c>
      <c r="B1806" s="9">
        <f t="shared" si="228"/>
        <v>45391.726284722223</v>
      </c>
      <c r="C1806" s="2">
        <f>Speed!B1806</f>
        <v>3.4222222219999998</v>
      </c>
      <c r="D1806" s="9">
        <f>Odometer!A1806</f>
        <v>0</v>
      </c>
      <c r="E1806" s="9">
        <f t="shared" si="224"/>
        <v>0</v>
      </c>
      <c r="F1806" s="2">
        <f>Odometer!B1806</f>
        <v>0</v>
      </c>
      <c r="G1806" s="2">
        <f t="shared" si="229"/>
        <v>0</v>
      </c>
      <c r="H1806" s="2">
        <f>SUM($G$2:G1806)</f>
        <v>11920</v>
      </c>
      <c r="I1806" s="10">
        <f t="shared" si="225"/>
        <v>45391.726284722223</v>
      </c>
      <c r="J1806" s="10">
        <f t="shared" si="230"/>
        <v>45391.726284722223</v>
      </c>
      <c r="K1806" s="3" t="e">
        <f t="shared" si="231"/>
        <v>#N/A</v>
      </c>
      <c r="L1806">
        <f t="shared" si="227"/>
        <v>3.4222222219999998</v>
      </c>
      <c r="M1806">
        <f t="shared" si="226"/>
        <v>12.3199999992</v>
      </c>
    </row>
    <row r="1807" spans="1:13" x14ac:dyDescent="0.25">
      <c r="A1807" s="9">
        <f>Speed!A1807</f>
        <v>45391.7262962963</v>
      </c>
      <c r="B1807" s="9">
        <f t="shared" si="228"/>
        <v>45391.726296296292</v>
      </c>
      <c r="C1807" s="2">
        <f>Speed!B1807</f>
        <v>3.1166666670000001</v>
      </c>
      <c r="D1807" s="9">
        <f>Odometer!A1807</f>
        <v>0</v>
      </c>
      <c r="E1807" s="9">
        <f t="shared" si="224"/>
        <v>0</v>
      </c>
      <c r="F1807" s="2">
        <f>Odometer!B1807</f>
        <v>0</v>
      </c>
      <c r="G1807" s="2">
        <f t="shared" si="229"/>
        <v>0</v>
      </c>
      <c r="H1807" s="2">
        <f>SUM($G$2:G1807)</f>
        <v>11920</v>
      </c>
      <c r="I1807" s="10">
        <f t="shared" si="225"/>
        <v>45391.7262962963</v>
      </c>
      <c r="J1807" s="10">
        <f t="shared" si="230"/>
        <v>45391.726296296292</v>
      </c>
      <c r="K1807" s="3" t="e">
        <f t="shared" si="231"/>
        <v>#N/A</v>
      </c>
      <c r="L1807">
        <f t="shared" si="227"/>
        <v>3.1166666670000001</v>
      </c>
      <c r="M1807">
        <f t="shared" si="226"/>
        <v>11.220000001200001</v>
      </c>
    </row>
    <row r="1808" spans="1:13" x14ac:dyDescent="0.25">
      <c r="A1808" s="9">
        <f>Speed!A1808</f>
        <v>45391.726307870369</v>
      </c>
      <c r="B1808" s="9">
        <f t="shared" si="228"/>
        <v>45391.726307870369</v>
      </c>
      <c r="C1808" s="2">
        <f>Speed!B1808</f>
        <v>2.7916666669999999</v>
      </c>
      <c r="D1808" s="9">
        <f>Odometer!A1808</f>
        <v>0</v>
      </c>
      <c r="E1808" s="9">
        <f t="shared" si="224"/>
        <v>0</v>
      </c>
      <c r="F1808" s="2">
        <f>Odometer!B1808</f>
        <v>0</v>
      </c>
      <c r="G1808" s="2">
        <f t="shared" si="229"/>
        <v>0</v>
      </c>
      <c r="H1808" s="2">
        <f>SUM($G$2:G1808)</f>
        <v>11920</v>
      </c>
      <c r="I1808" s="10">
        <f t="shared" si="225"/>
        <v>45391.726307870369</v>
      </c>
      <c r="J1808" s="10">
        <f t="shared" si="230"/>
        <v>45391.726307870369</v>
      </c>
      <c r="K1808" s="3" t="e">
        <f t="shared" si="231"/>
        <v>#N/A</v>
      </c>
      <c r="L1808">
        <f t="shared" si="227"/>
        <v>2.7916666669999999</v>
      </c>
      <c r="M1808">
        <f t="shared" si="226"/>
        <v>10.050000001199999</v>
      </c>
    </row>
    <row r="1809" spans="1:13" x14ac:dyDescent="0.25">
      <c r="A1809" s="9">
        <f>Speed!A1809</f>
        <v>45391.726307870369</v>
      </c>
      <c r="B1809" s="9">
        <f t="shared" si="228"/>
        <v>45391.726307870369</v>
      </c>
      <c r="C1809" s="2">
        <f>Speed!B1809</f>
        <v>2.3138888889999998</v>
      </c>
      <c r="D1809" s="9">
        <f>Odometer!A1809</f>
        <v>0</v>
      </c>
      <c r="E1809" s="9">
        <f t="shared" si="224"/>
        <v>0</v>
      </c>
      <c r="F1809" s="2">
        <f>Odometer!B1809</f>
        <v>0</v>
      </c>
      <c r="G1809" s="2">
        <f t="shared" si="229"/>
        <v>0</v>
      </c>
      <c r="H1809" s="2">
        <f>SUM($G$2:G1809)</f>
        <v>11920</v>
      </c>
      <c r="I1809" s="10">
        <f t="shared" si="225"/>
        <v>45391.726307870369</v>
      </c>
      <c r="J1809" s="10">
        <f t="shared" si="230"/>
        <v>45391.726307870369</v>
      </c>
      <c r="K1809" s="3" t="e">
        <f t="shared" si="231"/>
        <v>#N/A</v>
      </c>
      <c r="L1809">
        <f t="shared" si="227"/>
        <v>2.7916666669999999</v>
      </c>
      <c r="M1809">
        <f t="shared" si="226"/>
        <v>10.050000001199999</v>
      </c>
    </row>
    <row r="1810" spans="1:13" x14ac:dyDescent="0.25">
      <c r="A1810" s="9">
        <f>Speed!A1810</f>
        <v>45391.726331018515</v>
      </c>
      <c r="B1810" s="9">
        <f t="shared" si="228"/>
        <v>45391.726331018515</v>
      </c>
      <c r="C1810" s="2">
        <f>Speed!B1810</f>
        <v>1.8194444439999999</v>
      </c>
      <c r="D1810" s="9">
        <f>Odometer!A1810</f>
        <v>0</v>
      </c>
      <c r="E1810" s="9">
        <f t="shared" si="224"/>
        <v>0</v>
      </c>
      <c r="F1810" s="2">
        <f>Odometer!B1810</f>
        <v>0</v>
      </c>
      <c r="G1810" s="2">
        <f t="shared" si="229"/>
        <v>0</v>
      </c>
      <c r="H1810" s="2">
        <f>SUM($G$2:G1810)</f>
        <v>11920</v>
      </c>
      <c r="I1810" s="10">
        <f t="shared" si="225"/>
        <v>45391.726331018515</v>
      </c>
      <c r="J1810" s="10">
        <f t="shared" si="230"/>
        <v>45391.726331018515</v>
      </c>
      <c r="K1810" s="3" t="e">
        <f t="shared" si="231"/>
        <v>#N/A</v>
      </c>
      <c r="L1810">
        <f t="shared" si="227"/>
        <v>1.8194444439999999</v>
      </c>
      <c r="M1810">
        <f t="shared" si="226"/>
        <v>6.5499999983999997</v>
      </c>
    </row>
    <row r="1811" spans="1:13" x14ac:dyDescent="0.25">
      <c r="A1811" s="9">
        <f>Speed!A1811</f>
        <v>45391.726342592592</v>
      </c>
      <c r="B1811" s="9">
        <f t="shared" si="228"/>
        <v>45391.726342592592</v>
      </c>
      <c r="C1811" s="2">
        <f>Speed!B1811</f>
        <v>1.2222222220000001</v>
      </c>
      <c r="D1811" s="9">
        <f>Odometer!A1811</f>
        <v>0</v>
      </c>
      <c r="E1811" s="9">
        <f t="shared" si="224"/>
        <v>0</v>
      </c>
      <c r="F1811" s="2">
        <f>Odometer!B1811</f>
        <v>0</v>
      </c>
      <c r="G1811" s="2">
        <f t="shared" si="229"/>
        <v>0</v>
      </c>
      <c r="H1811" s="2">
        <f>SUM($G$2:G1811)</f>
        <v>11920</v>
      </c>
      <c r="I1811" s="10">
        <f t="shared" si="225"/>
        <v>45391.726342592592</v>
      </c>
      <c r="J1811" s="10">
        <f t="shared" si="230"/>
        <v>45391.726342592592</v>
      </c>
      <c r="K1811" s="3" t="e">
        <f t="shared" si="231"/>
        <v>#N/A</v>
      </c>
      <c r="L1811">
        <f t="shared" si="227"/>
        <v>1.2222222220000001</v>
      </c>
      <c r="M1811">
        <f t="shared" si="226"/>
        <v>4.3999999992000003</v>
      </c>
    </row>
    <row r="1812" spans="1:13" x14ac:dyDescent="0.25">
      <c r="A1812" s="9">
        <f>Speed!A1812</f>
        <v>45391.726342592592</v>
      </c>
      <c r="B1812" s="9">
        <f t="shared" si="228"/>
        <v>45391.726342592592</v>
      </c>
      <c r="C1812" s="2">
        <f>Speed!B1812</f>
        <v>0.56944444400000005</v>
      </c>
      <c r="D1812" s="9">
        <f>Odometer!A1812</f>
        <v>0</v>
      </c>
      <c r="E1812" s="9">
        <f t="shared" si="224"/>
        <v>0</v>
      </c>
      <c r="F1812" s="2">
        <f>Odometer!B1812</f>
        <v>0</v>
      </c>
      <c r="G1812" s="2">
        <f t="shared" si="229"/>
        <v>0</v>
      </c>
      <c r="H1812" s="2">
        <f>SUM($G$2:G1812)</f>
        <v>11920</v>
      </c>
      <c r="I1812" s="10">
        <f t="shared" si="225"/>
        <v>45391.726342592592</v>
      </c>
      <c r="J1812" s="10">
        <f t="shared" si="230"/>
        <v>45391.726342592592</v>
      </c>
      <c r="K1812" s="3" t="e">
        <f t="shared" si="231"/>
        <v>#N/A</v>
      </c>
      <c r="L1812">
        <f t="shared" si="227"/>
        <v>1.2222222220000001</v>
      </c>
      <c r="M1812">
        <f t="shared" si="226"/>
        <v>4.3999999992000003</v>
      </c>
    </row>
    <row r="1813" spans="1:13" x14ac:dyDescent="0.25">
      <c r="A1813" s="9">
        <f>Speed!A1813</f>
        <v>45391.726354166669</v>
      </c>
      <c r="B1813" s="9">
        <f t="shared" si="228"/>
        <v>45391.726354166662</v>
      </c>
      <c r="C1813" s="2">
        <f>Speed!B1813</f>
        <v>0.53611111099999997</v>
      </c>
      <c r="D1813" s="9">
        <f>Odometer!A1813</f>
        <v>0</v>
      </c>
      <c r="E1813" s="9">
        <f t="shared" si="224"/>
        <v>0</v>
      </c>
      <c r="F1813" s="2">
        <f>Odometer!B1813</f>
        <v>0</v>
      </c>
      <c r="G1813" s="2">
        <f t="shared" si="229"/>
        <v>0</v>
      </c>
      <c r="H1813" s="2">
        <f>SUM($G$2:G1813)</f>
        <v>11920</v>
      </c>
      <c r="I1813" s="10">
        <f t="shared" si="225"/>
        <v>45391.726354166669</v>
      </c>
      <c r="J1813" s="10">
        <f t="shared" si="230"/>
        <v>45391.726354166662</v>
      </c>
      <c r="K1813" s="3" t="e">
        <f t="shared" si="231"/>
        <v>#N/A</v>
      </c>
      <c r="L1813">
        <f t="shared" si="227"/>
        <v>0.53611111099999997</v>
      </c>
      <c r="M1813">
        <f t="shared" si="226"/>
        <v>1.9299999995999999</v>
      </c>
    </row>
    <row r="1814" spans="1:13" x14ac:dyDescent="0.25">
      <c r="A1814" s="9">
        <f>Speed!A1814</f>
        <v>45391.726365740738</v>
      </c>
      <c r="B1814" s="9">
        <f t="shared" si="228"/>
        <v>45391.726365740738</v>
      </c>
      <c r="C1814" s="2">
        <f>Speed!B1814</f>
        <v>0.24722222199999999</v>
      </c>
      <c r="D1814" s="9">
        <f>Odometer!A1814</f>
        <v>0</v>
      </c>
      <c r="E1814" s="9">
        <f t="shared" si="224"/>
        <v>0</v>
      </c>
      <c r="F1814" s="2">
        <f>Odometer!B1814</f>
        <v>0</v>
      </c>
      <c r="G1814" s="2">
        <f t="shared" si="229"/>
        <v>0</v>
      </c>
      <c r="H1814" s="2">
        <f>SUM($G$2:G1814)</f>
        <v>11920</v>
      </c>
      <c r="I1814" s="10">
        <f t="shared" si="225"/>
        <v>45391.726365740738</v>
      </c>
      <c r="J1814" s="10">
        <f t="shared" si="230"/>
        <v>45391.726365740738</v>
      </c>
      <c r="K1814" s="3" t="e">
        <f t="shared" si="231"/>
        <v>#N/A</v>
      </c>
      <c r="L1814">
        <f t="shared" si="227"/>
        <v>0.24722222199999999</v>
      </c>
      <c r="M1814">
        <f t="shared" si="226"/>
        <v>0.88999999919999995</v>
      </c>
    </row>
    <row r="1815" spans="1:13" x14ac:dyDescent="0.25">
      <c r="A1815" s="9">
        <f>Speed!A1815</f>
        <v>45391.726377314815</v>
      </c>
      <c r="B1815" s="9">
        <f t="shared" si="228"/>
        <v>45391.726377314815</v>
      </c>
      <c r="C1815" s="2">
        <f>Speed!B1815</f>
        <v>6.1111111000000003E-2</v>
      </c>
      <c r="D1815" s="9">
        <f>Odometer!A1815</f>
        <v>0</v>
      </c>
      <c r="E1815" s="9">
        <f t="shared" si="224"/>
        <v>0</v>
      </c>
      <c r="F1815" s="2">
        <f>Odometer!B1815</f>
        <v>0</v>
      </c>
      <c r="G1815" s="2">
        <f t="shared" si="229"/>
        <v>0</v>
      </c>
      <c r="H1815" s="2">
        <f>SUM($G$2:G1815)</f>
        <v>11920</v>
      </c>
      <c r="I1815" s="10">
        <f t="shared" si="225"/>
        <v>45391.726377314815</v>
      </c>
      <c r="J1815" s="10">
        <f t="shared" si="230"/>
        <v>45391.726377314815</v>
      </c>
      <c r="K1815" s="3" t="e">
        <f t="shared" si="231"/>
        <v>#N/A</v>
      </c>
      <c r="L1815">
        <f t="shared" si="227"/>
        <v>6.1111111000000003E-2</v>
      </c>
      <c r="M1815">
        <f t="shared" si="226"/>
        <v>0.21999999960000002</v>
      </c>
    </row>
    <row r="1816" spans="1:13" x14ac:dyDescent="0.25">
      <c r="A1816" s="9">
        <f>Speed!A1816</f>
        <v>45391.726377314815</v>
      </c>
      <c r="B1816" s="9">
        <f t="shared" si="228"/>
        <v>45391.726377314815</v>
      </c>
      <c r="C1816" s="2">
        <f>Speed!B1816</f>
        <v>5.5555555999999999E-2</v>
      </c>
      <c r="D1816" s="9">
        <f>Odometer!A1816</f>
        <v>0</v>
      </c>
      <c r="E1816" s="9">
        <f t="shared" si="224"/>
        <v>0</v>
      </c>
      <c r="F1816" s="2">
        <f>Odometer!B1816</f>
        <v>0</v>
      </c>
      <c r="G1816" s="2">
        <f t="shared" si="229"/>
        <v>0</v>
      </c>
      <c r="H1816" s="2">
        <f>SUM($G$2:G1816)</f>
        <v>11920</v>
      </c>
      <c r="I1816" s="10">
        <f t="shared" si="225"/>
        <v>45391.726377314815</v>
      </c>
      <c r="J1816" s="10">
        <f t="shared" si="230"/>
        <v>45391.726377314815</v>
      </c>
      <c r="K1816" s="3" t="e">
        <f t="shared" si="231"/>
        <v>#N/A</v>
      </c>
      <c r="L1816">
        <f t="shared" si="227"/>
        <v>6.1111111000000003E-2</v>
      </c>
      <c r="M1816">
        <f t="shared" si="226"/>
        <v>0.21999999960000002</v>
      </c>
    </row>
    <row r="1817" spans="1:13" x14ac:dyDescent="0.25">
      <c r="A1817" s="9">
        <f>Speed!A1817</f>
        <v>45391.726388888892</v>
      </c>
      <c r="B1817" s="9">
        <f t="shared" si="228"/>
        <v>45391.726388888885</v>
      </c>
      <c r="C1817" s="2">
        <f>Speed!B1817</f>
        <v>3.6111111000000001E-2</v>
      </c>
      <c r="D1817" s="9">
        <f>Odometer!A1817</f>
        <v>0</v>
      </c>
      <c r="E1817" s="9">
        <f t="shared" si="224"/>
        <v>0</v>
      </c>
      <c r="F1817" s="2">
        <f>Odometer!B1817</f>
        <v>0</v>
      </c>
      <c r="G1817" s="2">
        <f t="shared" si="229"/>
        <v>0</v>
      </c>
      <c r="H1817" s="2">
        <f>SUM($G$2:G1817)</f>
        <v>11920</v>
      </c>
      <c r="I1817" s="10">
        <f t="shared" si="225"/>
        <v>45391.726388888892</v>
      </c>
      <c r="J1817" s="10">
        <f t="shared" si="230"/>
        <v>45391.726388888885</v>
      </c>
      <c r="K1817" s="3" t="e">
        <f t="shared" si="231"/>
        <v>#N/A</v>
      </c>
      <c r="L1817">
        <f t="shared" si="227"/>
        <v>3.6111111000000001E-2</v>
      </c>
      <c r="M1817">
        <f t="shared" si="226"/>
        <v>0.1299999996</v>
      </c>
    </row>
    <row r="1818" spans="1:13" x14ac:dyDescent="0.25">
      <c r="A1818" s="9">
        <f>Speed!A1818</f>
        <v>45391.726388888892</v>
      </c>
      <c r="B1818" s="9">
        <f t="shared" si="228"/>
        <v>45391.726388888885</v>
      </c>
      <c r="C1818" s="2">
        <f>Speed!B1818</f>
        <v>0</v>
      </c>
      <c r="D1818" s="9">
        <f>Odometer!A1818</f>
        <v>0</v>
      </c>
      <c r="E1818" s="9">
        <f t="shared" si="224"/>
        <v>0</v>
      </c>
      <c r="F1818" s="2">
        <f>Odometer!B1818</f>
        <v>0</v>
      </c>
      <c r="G1818" s="2">
        <f t="shared" si="229"/>
        <v>0</v>
      </c>
      <c r="H1818" s="2">
        <f>SUM($G$2:G1818)</f>
        <v>11920</v>
      </c>
      <c r="I1818" s="10">
        <f t="shared" si="225"/>
        <v>45391.726388888892</v>
      </c>
      <c r="J1818" s="10">
        <f t="shared" si="230"/>
        <v>45391.726388888885</v>
      </c>
      <c r="K1818" s="3" t="e">
        <f t="shared" si="231"/>
        <v>#N/A</v>
      </c>
      <c r="L1818">
        <f t="shared" si="227"/>
        <v>3.6111111000000001E-2</v>
      </c>
      <c r="M1818">
        <f t="shared" si="226"/>
        <v>0.1299999996</v>
      </c>
    </row>
    <row r="1819" spans="1:13" x14ac:dyDescent="0.25">
      <c r="A1819" s="9">
        <f>Speed!A1819</f>
        <v>0</v>
      </c>
      <c r="B1819" s="9">
        <f t="shared" si="228"/>
        <v>0</v>
      </c>
      <c r="C1819" s="2">
        <f>Speed!B1819</f>
        <v>0</v>
      </c>
      <c r="D1819" s="9">
        <f>Odometer!A1819</f>
        <v>0</v>
      </c>
      <c r="E1819" s="9">
        <f t="shared" si="224"/>
        <v>0</v>
      </c>
      <c r="F1819" s="2">
        <f>Odometer!B1819</f>
        <v>0</v>
      </c>
      <c r="G1819" s="2">
        <f t="shared" si="229"/>
        <v>0</v>
      </c>
      <c r="H1819" s="2">
        <f>SUM($G$2:G1819)</f>
        <v>11920</v>
      </c>
      <c r="I1819" s="10">
        <f t="shared" si="225"/>
        <v>0</v>
      </c>
      <c r="J1819" s="10">
        <f t="shared" si="230"/>
        <v>0</v>
      </c>
      <c r="K1819" s="3">
        <f t="shared" si="231"/>
        <v>11920</v>
      </c>
      <c r="L1819">
        <f t="shared" si="227"/>
        <v>0</v>
      </c>
      <c r="M1819">
        <f t="shared" si="226"/>
        <v>0</v>
      </c>
    </row>
    <row r="1820" spans="1:13" x14ac:dyDescent="0.25">
      <c r="A1820" s="9">
        <f>Speed!A1820</f>
        <v>0</v>
      </c>
      <c r="B1820" s="9">
        <f t="shared" si="228"/>
        <v>0</v>
      </c>
      <c r="C1820" s="2">
        <f>Speed!B1820</f>
        <v>0</v>
      </c>
      <c r="D1820" s="9">
        <f>Odometer!A1820</f>
        <v>0</v>
      </c>
      <c r="E1820" s="9">
        <f t="shared" si="224"/>
        <v>0</v>
      </c>
      <c r="F1820" s="2">
        <f>Odometer!B1820</f>
        <v>0</v>
      </c>
      <c r="G1820" s="2">
        <f t="shared" si="229"/>
        <v>0</v>
      </c>
      <c r="H1820" s="2">
        <f>SUM($G$2:G1820)</f>
        <v>11920</v>
      </c>
      <c r="I1820" s="10">
        <f t="shared" si="225"/>
        <v>0</v>
      </c>
      <c r="J1820" s="10">
        <f t="shared" si="230"/>
        <v>0</v>
      </c>
      <c r="K1820" s="3">
        <f t="shared" si="231"/>
        <v>11920</v>
      </c>
      <c r="L1820">
        <f t="shared" si="227"/>
        <v>0</v>
      </c>
      <c r="M1820">
        <f t="shared" si="226"/>
        <v>0</v>
      </c>
    </row>
    <row r="1821" spans="1:13" x14ac:dyDescent="0.25">
      <c r="A1821" s="9">
        <f>Speed!A1821</f>
        <v>0</v>
      </c>
      <c r="B1821" s="9">
        <f t="shared" si="228"/>
        <v>0</v>
      </c>
      <c r="C1821" s="2">
        <f>Speed!B1821</f>
        <v>0</v>
      </c>
      <c r="D1821" s="9">
        <f>Odometer!A1821</f>
        <v>0</v>
      </c>
      <c r="E1821" s="9">
        <f t="shared" ref="E1821:E1884" si="232">MROUND(D1821,"00:00:01")</f>
        <v>0</v>
      </c>
      <c r="F1821" s="2">
        <f>Odometer!B1821</f>
        <v>0</v>
      </c>
      <c r="G1821" s="2">
        <f t="shared" si="229"/>
        <v>0</v>
      </c>
      <c r="H1821" s="2">
        <f>SUM($G$2:G1821)</f>
        <v>11920</v>
      </c>
      <c r="I1821" s="10">
        <f t="shared" ref="I1821:I1884" si="233">A1821</f>
        <v>0</v>
      </c>
      <c r="J1821" s="10">
        <f t="shared" si="230"/>
        <v>0</v>
      </c>
      <c r="K1821" s="3">
        <f t="shared" si="231"/>
        <v>11920</v>
      </c>
      <c r="L1821">
        <f t="shared" si="227"/>
        <v>0</v>
      </c>
      <c r="M1821">
        <f t="shared" ref="M1821:M1884" si="234">L1821*3.6</f>
        <v>0</v>
      </c>
    </row>
    <row r="1822" spans="1:13" x14ac:dyDescent="0.25">
      <c r="A1822" s="9">
        <f>Speed!A1822</f>
        <v>0</v>
      </c>
      <c r="B1822" s="9">
        <f t="shared" si="228"/>
        <v>0</v>
      </c>
      <c r="C1822" s="2">
        <f>Speed!B1822</f>
        <v>0</v>
      </c>
      <c r="D1822" s="9">
        <f>Odometer!A1822</f>
        <v>0</v>
      </c>
      <c r="E1822" s="9">
        <f t="shared" si="232"/>
        <v>0</v>
      </c>
      <c r="F1822" s="2">
        <f>Odometer!B1822</f>
        <v>0</v>
      </c>
      <c r="G1822" s="2">
        <f t="shared" si="229"/>
        <v>0</v>
      </c>
      <c r="H1822" s="2">
        <f>SUM($G$2:G1822)</f>
        <v>11920</v>
      </c>
      <c r="I1822" s="10">
        <f t="shared" si="233"/>
        <v>0</v>
      </c>
      <c r="J1822" s="10">
        <f t="shared" si="230"/>
        <v>0</v>
      </c>
      <c r="K1822" s="3">
        <f t="shared" si="231"/>
        <v>11920</v>
      </c>
      <c r="L1822">
        <f t="shared" si="227"/>
        <v>0</v>
      </c>
      <c r="M1822">
        <f t="shared" si="234"/>
        <v>0</v>
      </c>
    </row>
    <row r="1823" spans="1:13" x14ac:dyDescent="0.25">
      <c r="A1823" s="9">
        <f>Speed!A1823</f>
        <v>0</v>
      </c>
      <c r="B1823" s="9">
        <f t="shared" si="228"/>
        <v>0</v>
      </c>
      <c r="C1823" s="2">
        <f>Speed!B1823</f>
        <v>0</v>
      </c>
      <c r="D1823" s="9">
        <f>Odometer!A1823</f>
        <v>0</v>
      </c>
      <c r="E1823" s="9">
        <f t="shared" si="232"/>
        <v>0</v>
      </c>
      <c r="F1823" s="2">
        <f>Odometer!B1823</f>
        <v>0</v>
      </c>
      <c r="G1823" s="2">
        <f t="shared" si="229"/>
        <v>0</v>
      </c>
      <c r="H1823" s="2">
        <f>SUM($G$2:G1823)</f>
        <v>11920</v>
      </c>
      <c r="I1823" s="10">
        <f t="shared" si="233"/>
        <v>0</v>
      </c>
      <c r="J1823" s="10">
        <f t="shared" si="230"/>
        <v>0</v>
      </c>
      <c r="K1823" s="3">
        <f t="shared" si="231"/>
        <v>11920</v>
      </c>
      <c r="L1823">
        <f t="shared" si="227"/>
        <v>0</v>
      </c>
      <c r="M1823">
        <f t="shared" si="234"/>
        <v>0</v>
      </c>
    </row>
    <row r="1824" spans="1:13" x14ac:dyDescent="0.25">
      <c r="A1824" s="9">
        <f>Speed!A1824</f>
        <v>0</v>
      </c>
      <c r="B1824" s="9">
        <f t="shared" si="228"/>
        <v>0</v>
      </c>
      <c r="C1824" s="2">
        <f>Speed!B1824</f>
        <v>0</v>
      </c>
      <c r="D1824" s="9">
        <f>Odometer!A1824</f>
        <v>0</v>
      </c>
      <c r="E1824" s="9">
        <f t="shared" si="232"/>
        <v>0</v>
      </c>
      <c r="F1824" s="2">
        <f>Odometer!B1824</f>
        <v>0</v>
      </c>
      <c r="G1824" s="2">
        <f t="shared" si="229"/>
        <v>0</v>
      </c>
      <c r="H1824" s="2">
        <f>SUM($G$2:G1824)</f>
        <v>11920</v>
      </c>
      <c r="I1824" s="10">
        <f t="shared" si="233"/>
        <v>0</v>
      </c>
      <c r="J1824" s="10">
        <f t="shared" si="230"/>
        <v>0</v>
      </c>
      <c r="K1824" s="3">
        <f t="shared" si="231"/>
        <v>11920</v>
      </c>
      <c r="L1824">
        <f t="shared" si="227"/>
        <v>0</v>
      </c>
      <c r="M1824">
        <f t="shared" si="234"/>
        <v>0</v>
      </c>
    </row>
    <row r="1825" spans="1:13" x14ac:dyDescent="0.25">
      <c r="A1825" s="9">
        <f>Speed!A1825</f>
        <v>0</v>
      </c>
      <c r="B1825" s="9">
        <f t="shared" si="228"/>
        <v>0</v>
      </c>
      <c r="C1825" s="2">
        <f>Speed!B1825</f>
        <v>0</v>
      </c>
      <c r="D1825" s="9">
        <f>Odometer!A1825</f>
        <v>0</v>
      </c>
      <c r="E1825" s="9">
        <f t="shared" si="232"/>
        <v>0</v>
      </c>
      <c r="F1825" s="2">
        <f>Odometer!B1825</f>
        <v>0</v>
      </c>
      <c r="G1825" s="2">
        <f t="shared" si="229"/>
        <v>0</v>
      </c>
      <c r="H1825" s="2">
        <f>SUM($G$2:G1825)</f>
        <v>11920</v>
      </c>
      <c r="I1825" s="10">
        <f t="shared" si="233"/>
        <v>0</v>
      </c>
      <c r="J1825" s="10">
        <f t="shared" si="230"/>
        <v>0</v>
      </c>
      <c r="K1825" s="3">
        <f t="shared" si="231"/>
        <v>11920</v>
      </c>
      <c r="L1825">
        <f t="shared" si="227"/>
        <v>0</v>
      </c>
      <c r="M1825">
        <f t="shared" si="234"/>
        <v>0</v>
      </c>
    </row>
    <row r="1826" spans="1:13" x14ac:dyDescent="0.25">
      <c r="A1826" s="9">
        <f>Speed!A1826</f>
        <v>0</v>
      </c>
      <c r="B1826" s="9">
        <f t="shared" si="228"/>
        <v>0</v>
      </c>
      <c r="C1826" s="2">
        <f>Speed!B1826</f>
        <v>0</v>
      </c>
      <c r="D1826" s="9">
        <f>Odometer!A1826</f>
        <v>0</v>
      </c>
      <c r="E1826" s="9">
        <f t="shared" si="232"/>
        <v>0</v>
      </c>
      <c r="F1826" s="2">
        <f>Odometer!B1826</f>
        <v>0</v>
      </c>
      <c r="G1826" s="2">
        <f t="shared" si="229"/>
        <v>0</v>
      </c>
      <c r="H1826" s="2">
        <f>SUM($G$2:G1826)</f>
        <v>11920</v>
      </c>
      <c r="I1826" s="10">
        <f t="shared" si="233"/>
        <v>0</v>
      </c>
      <c r="J1826" s="10">
        <f t="shared" si="230"/>
        <v>0</v>
      </c>
      <c r="K1826" s="3">
        <f t="shared" si="231"/>
        <v>11920</v>
      </c>
      <c r="L1826">
        <f t="shared" si="227"/>
        <v>0</v>
      </c>
      <c r="M1826">
        <f t="shared" si="234"/>
        <v>0</v>
      </c>
    </row>
    <row r="1827" spans="1:13" x14ac:dyDescent="0.25">
      <c r="A1827" s="9">
        <f>Speed!A1827</f>
        <v>0</v>
      </c>
      <c r="B1827" s="9">
        <f t="shared" si="228"/>
        <v>0</v>
      </c>
      <c r="C1827" s="2">
        <f>Speed!B1827</f>
        <v>0</v>
      </c>
      <c r="D1827" s="9">
        <f>Odometer!A1827</f>
        <v>0</v>
      </c>
      <c r="E1827" s="9">
        <f t="shared" si="232"/>
        <v>0</v>
      </c>
      <c r="F1827" s="2">
        <f>Odometer!B1827</f>
        <v>0</v>
      </c>
      <c r="G1827" s="2">
        <f t="shared" si="229"/>
        <v>0</v>
      </c>
      <c r="H1827" s="2">
        <f>SUM($G$2:G1827)</f>
        <v>11920</v>
      </c>
      <c r="I1827" s="10">
        <f t="shared" si="233"/>
        <v>0</v>
      </c>
      <c r="J1827" s="10">
        <f t="shared" si="230"/>
        <v>0</v>
      </c>
      <c r="K1827" s="3">
        <f t="shared" si="231"/>
        <v>11920</v>
      </c>
      <c r="L1827">
        <f t="shared" si="227"/>
        <v>0</v>
      </c>
      <c r="M1827">
        <f t="shared" si="234"/>
        <v>0</v>
      </c>
    </row>
    <row r="1828" spans="1:13" x14ac:dyDescent="0.25">
      <c r="A1828" s="9">
        <f>Speed!A1828</f>
        <v>0</v>
      </c>
      <c r="B1828" s="9">
        <f t="shared" si="228"/>
        <v>0</v>
      </c>
      <c r="C1828" s="2">
        <f>Speed!B1828</f>
        <v>0</v>
      </c>
      <c r="D1828" s="9">
        <f>Odometer!A1828</f>
        <v>0</v>
      </c>
      <c r="E1828" s="9">
        <f t="shared" si="232"/>
        <v>0</v>
      </c>
      <c r="F1828" s="2">
        <f>Odometer!B1828</f>
        <v>0</v>
      </c>
      <c r="G1828" s="2">
        <f t="shared" si="229"/>
        <v>0</v>
      </c>
      <c r="H1828" s="2">
        <f>SUM($G$2:G1828)</f>
        <v>11920</v>
      </c>
      <c r="I1828" s="10">
        <f t="shared" si="233"/>
        <v>0</v>
      </c>
      <c r="J1828" s="10">
        <f t="shared" si="230"/>
        <v>0</v>
      </c>
      <c r="K1828" s="3">
        <f t="shared" si="231"/>
        <v>11920</v>
      </c>
      <c r="L1828">
        <f t="shared" si="227"/>
        <v>0</v>
      </c>
      <c r="M1828">
        <f t="shared" si="234"/>
        <v>0</v>
      </c>
    </row>
    <row r="1829" spans="1:13" x14ac:dyDescent="0.25">
      <c r="A1829" s="9">
        <f>Speed!A1829</f>
        <v>0</v>
      </c>
      <c r="B1829" s="9">
        <f t="shared" si="228"/>
        <v>0</v>
      </c>
      <c r="C1829" s="2">
        <f>Speed!B1829</f>
        <v>0</v>
      </c>
      <c r="D1829" s="9">
        <f>Odometer!A1829</f>
        <v>0</v>
      </c>
      <c r="E1829" s="9">
        <f t="shared" si="232"/>
        <v>0</v>
      </c>
      <c r="F1829" s="2">
        <f>Odometer!B1829</f>
        <v>0</v>
      </c>
      <c r="G1829" s="2">
        <f t="shared" si="229"/>
        <v>0</v>
      </c>
      <c r="H1829" s="2">
        <f>SUM($G$2:G1829)</f>
        <v>11920</v>
      </c>
      <c r="I1829" s="10">
        <f t="shared" si="233"/>
        <v>0</v>
      </c>
      <c r="J1829" s="10">
        <f t="shared" si="230"/>
        <v>0</v>
      </c>
      <c r="K1829" s="3">
        <f t="shared" si="231"/>
        <v>11920</v>
      </c>
      <c r="L1829">
        <f t="shared" si="227"/>
        <v>0</v>
      </c>
      <c r="M1829">
        <f t="shared" si="234"/>
        <v>0</v>
      </c>
    </row>
    <row r="1830" spans="1:13" x14ac:dyDescent="0.25">
      <c r="A1830" s="9">
        <f>Speed!A1830</f>
        <v>0</v>
      </c>
      <c r="B1830" s="9">
        <f t="shared" si="228"/>
        <v>0</v>
      </c>
      <c r="C1830" s="2">
        <f>Speed!B1830</f>
        <v>0</v>
      </c>
      <c r="D1830" s="9">
        <f>Odometer!A1830</f>
        <v>0</v>
      </c>
      <c r="E1830" s="9">
        <f t="shared" si="232"/>
        <v>0</v>
      </c>
      <c r="F1830" s="2">
        <f>Odometer!B1830</f>
        <v>0</v>
      </c>
      <c r="G1830" s="2">
        <f t="shared" si="229"/>
        <v>0</v>
      </c>
      <c r="H1830" s="2">
        <f>SUM($G$2:G1830)</f>
        <v>11920</v>
      </c>
      <c r="I1830" s="10">
        <f t="shared" si="233"/>
        <v>0</v>
      </c>
      <c r="J1830" s="10">
        <f t="shared" si="230"/>
        <v>0</v>
      </c>
      <c r="K1830" s="3">
        <f t="shared" si="231"/>
        <v>11920</v>
      </c>
      <c r="L1830">
        <f t="shared" si="227"/>
        <v>0</v>
      </c>
      <c r="M1830">
        <f t="shared" si="234"/>
        <v>0</v>
      </c>
    </row>
    <row r="1831" spans="1:13" x14ac:dyDescent="0.25">
      <c r="A1831" s="9">
        <f>Speed!A1831</f>
        <v>0</v>
      </c>
      <c r="B1831" s="9">
        <f t="shared" si="228"/>
        <v>0</v>
      </c>
      <c r="C1831" s="2">
        <f>Speed!B1831</f>
        <v>0</v>
      </c>
      <c r="D1831" s="9">
        <f>Odometer!A1831</f>
        <v>0</v>
      </c>
      <c r="E1831" s="9">
        <f t="shared" si="232"/>
        <v>0</v>
      </c>
      <c r="F1831" s="2">
        <f>Odometer!B1831</f>
        <v>0</v>
      </c>
      <c r="G1831" s="2">
        <f t="shared" si="229"/>
        <v>0</v>
      </c>
      <c r="H1831" s="2">
        <f>SUM($G$2:G1831)</f>
        <v>11920</v>
      </c>
      <c r="I1831" s="10">
        <f t="shared" si="233"/>
        <v>0</v>
      </c>
      <c r="J1831" s="10">
        <f t="shared" si="230"/>
        <v>0</v>
      </c>
      <c r="K1831" s="3">
        <f t="shared" si="231"/>
        <v>11920</v>
      </c>
      <c r="L1831">
        <f t="shared" si="227"/>
        <v>0</v>
      </c>
      <c r="M1831">
        <f t="shared" si="234"/>
        <v>0</v>
      </c>
    </row>
    <row r="1832" spans="1:13" x14ac:dyDescent="0.25">
      <c r="A1832" s="9">
        <f>Speed!A1832</f>
        <v>0</v>
      </c>
      <c r="B1832" s="9">
        <f t="shared" si="228"/>
        <v>0</v>
      </c>
      <c r="C1832" s="2">
        <f>Speed!B1832</f>
        <v>0</v>
      </c>
      <c r="D1832" s="9">
        <f>Odometer!A1832</f>
        <v>0</v>
      </c>
      <c r="E1832" s="9">
        <f t="shared" si="232"/>
        <v>0</v>
      </c>
      <c r="F1832" s="2">
        <f>Odometer!B1832</f>
        <v>0</v>
      </c>
      <c r="G1832" s="2">
        <f t="shared" si="229"/>
        <v>0</v>
      </c>
      <c r="H1832" s="2">
        <f>SUM($G$2:G1832)</f>
        <v>11920</v>
      </c>
      <c r="I1832" s="10">
        <f t="shared" si="233"/>
        <v>0</v>
      </c>
      <c r="J1832" s="10">
        <f t="shared" si="230"/>
        <v>0</v>
      </c>
      <c r="K1832" s="3">
        <f t="shared" si="231"/>
        <v>11920</v>
      </c>
      <c r="L1832">
        <f t="shared" si="227"/>
        <v>0</v>
      </c>
      <c r="M1832">
        <f t="shared" si="234"/>
        <v>0</v>
      </c>
    </row>
    <row r="1833" spans="1:13" x14ac:dyDescent="0.25">
      <c r="A1833" s="9">
        <f>Speed!A1833</f>
        <v>0</v>
      </c>
      <c r="B1833" s="9">
        <f t="shared" si="228"/>
        <v>0</v>
      </c>
      <c r="C1833" s="2">
        <f>Speed!B1833</f>
        <v>0</v>
      </c>
      <c r="D1833" s="9">
        <f>Odometer!A1833</f>
        <v>0</v>
      </c>
      <c r="E1833" s="9">
        <f t="shared" si="232"/>
        <v>0</v>
      </c>
      <c r="F1833" s="2">
        <f>Odometer!B1833</f>
        <v>0</v>
      </c>
      <c r="G1833" s="2">
        <f t="shared" si="229"/>
        <v>0</v>
      </c>
      <c r="H1833" s="2">
        <f>SUM($G$2:G1833)</f>
        <v>11920</v>
      </c>
      <c r="I1833" s="10">
        <f t="shared" si="233"/>
        <v>0</v>
      </c>
      <c r="J1833" s="10">
        <f t="shared" si="230"/>
        <v>0</v>
      </c>
      <c r="K1833" s="3">
        <f t="shared" si="231"/>
        <v>11920</v>
      </c>
      <c r="L1833">
        <f t="shared" si="227"/>
        <v>0</v>
      </c>
      <c r="M1833">
        <f t="shared" si="234"/>
        <v>0</v>
      </c>
    </row>
    <row r="1834" spans="1:13" x14ac:dyDescent="0.25">
      <c r="A1834" s="9">
        <f>Speed!A1834</f>
        <v>0</v>
      </c>
      <c r="B1834" s="9">
        <f t="shared" si="228"/>
        <v>0</v>
      </c>
      <c r="C1834" s="2">
        <f>Speed!B1834</f>
        <v>0</v>
      </c>
      <c r="D1834" s="9">
        <f>Odometer!A1834</f>
        <v>0</v>
      </c>
      <c r="E1834" s="9">
        <f t="shared" si="232"/>
        <v>0</v>
      </c>
      <c r="F1834" s="2">
        <f>Odometer!B1834</f>
        <v>0</v>
      </c>
      <c r="G1834" s="2">
        <f t="shared" si="229"/>
        <v>0</v>
      </c>
      <c r="H1834" s="2">
        <f>SUM($G$2:G1834)</f>
        <v>11920</v>
      </c>
      <c r="I1834" s="10">
        <f t="shared" si="233"/>
        <v>0</v>
      </c>
      <c r="J1834" s="10">
        <f t="shared" si="230"/>
        <v>0</v>
      </c>
      <c r="K1834" s="3">
        <f t="shared" si="231"/>
        <v>11920</v>
      </c>
      <c r="L1834">
        <f t="shared" si="227"/>
        <v>0</v>
      </c>
      <c r="M1834">
        <f t="shared" si="234"/>
        <v>0</v>
      </c>
    </row>
    <row r="1835" spans="1:13" x14ac:dyDescent="0.25">
      <c r="A1835" s="9">
        <f>Speed!A1835</f>
        <v>0</v>
      </c>
      <c r="B1835" s="9">
        <f t="shared" si="228"/>
        <v>0</v>
      </c>
      <c r="C1835" s="2">
        <f>Speed!B1835</f>
        <v>0</v>
      </c>
      <c r="D1835" s="9">
        <f>Odometer!A1835</f>
        <v>0</v>
      </c>
      <c r="E1835" s="9">
        <f t="shared" si="232"/>
        <v>0</v>
      </c>
      <c r="F1835" s="2">
        <f>Odometer!B1835</f>
        <v>0</v>
      </c>
      <c r="G1835" s="2">
        <f t="shared" si="229"/>
        <v>0</v>
      </c>
      <c r="H1835" s="2">
        <f>SUM($G$2:G1835)</f>
        <v>11920</v>
      </c>
      <c r="I1835" s="10">
        <f t="shared" si="233"/>
        <v>0</v>
      </c>
      <c r="J1835" s="10">
        <f t="shared" si="230"/>
        <v>0</v>
      </c>
      <c r="K1835" s="3">
        <f t="shared" si="231"/>
        <v>11920</v>
      </c>
      <c r="L1835">
        <f t="shared" si="227"/>
        <v>0</v>
      </c>
      <c r="M1835">
        <f t="shared" si="234"/>
        <v>0</v>
      </c>
    </row>
    <row r="1836" spans="1:13" x14ac:dyDescent="0.25">
      <c r="A1836" s="9">
        <f>Speed!A1836</f>
        <v>0</v>
      </c>
      <c r="B1836" s="9">
        <f t="shared" si="228"/>
        <v>0</v>
      </c>
      <c r="C1836" s="2">
        <f>Speed!B1836</f>
        <v>0</v>
      </c>
      <c r="D1836" s="9">
        <f>Odometer!A1836</f>
        <v>0</v>
      </c>
      <c r="E1836" s="9">
        <f t="shared" si="232"/>
        <v>0</v>
      </c>
      <c r="F1836" s="2">
        <f>Odometer!B1836</f>
        <v>0</v>
      </c>
      <c r="G1836" s="2">
        <f t="shared" si="229"/>
        <v>0</v>
      </c>
      <c r="H1836" s="2">
        <f>SUM($G$2:G1836)</f>
        <v>11920</v>
      </c>
      <c r="I1836" s="10">
        <f t="shared" si="233"/>
        <v>0</v>
      </c>
      <c r="J1836" s="10">
        <f t="shared" si="230"/>
        <v>0</v>
      </c>
      <c r="K1836" s="3">
        <f t="shared" si="231"/>
        <v>11920</v>
      </c>
      <c r="L1836">
        <f t="shared" si="227"/>
        <v>0</v>
      </c>
      <c r="M1836">
        <f t="shared" si="234"/>
        <v>0</v>
      </c>
    </row>
    <row r="1837" spans="1:13" x14ac:dyDescent="0.25">
      <c r="A1837" s="9">
        <f>Speed!A1837</f>
        <v>0</v>
      </c>
      <c r="B1837" s="9">
        <f t="shared" si="228"/>
        <v>0</v>
      </c>
      <c r="C1837" s="2">
        <f>Speed!B1837</f>
        <v>0</v>
      </c>
      <c r="D1837" s="9">
        <f>Odometer!A1837</f>
        <v>0</v>
      </c>
      <c r="E1837" s="9">
        <f t="shared" si="232"/>
        <v>0</v>
      </c>
      <c r="F1837" s="2">
        <f>Odometer!B1837</f>
        <v>0</v>
      </c>
      <c r="G1837" s="2">
        <f t="shared" si="229"/>
        <v>0</v>
      </c>
      <c r="H1837" s="2">
        <f>SUM($G$2:G1837)</f>
        <v>11920</v>
      </c>
      <c r="I1837" s="10">
        <f t="shared" si="233"/>
        <v>0</v>
      </c>
      <c r="J1837" s="10">
        <f t="shared" si="230"/>
        <v>0</v>
      </c>
      <c r="K1837" s="3">
        <f t="shared" si="231"/>
        <v>11920</v>
      </c>
      <c r="L1837">
        <f t="shared" si="227"/>
        <v>0</v>
      </c>
      <c r="M1837">
        <f t="shared" si="234"/>
        <v>0</v>
      </c>
    </row>
    <row r="1838" spans="1:13" x14ac:dyDescent="0.25">
      <c r="A1838" s="9">
        <f>Speed!A1838</f>
        <v>0</v>
      </c>
      <c r="B1838" s="9">
        <f t="shared" si="228"/>
        <v>0</v>
      </c>
      <c r="C1838" s="2">
        <f>Speed!B1838</f>
        <v>0</v>
      </c>
      <c r="D1838" s="9">
        <f>Odometer!A1838</f>
        <v>0</v>
      </c>
      <c r="E1838" s="9">
        <f t="shared" si="232"/>
        <v>0</v>
      </c>
      <c r="F1838" s="2">
        <f>Odometer!B1838</f>
        <v>0</v>
      </c>
      <c r="G1838" s="2">
        <f t="shared" si="229"/>
        <v>0</v>
      </c>
      <c r="H1838" s="2">
        <f>SUM($G$2:G1838)</f>
        <v>11920</v>
      </c>
      <c r="I1838" s="10">
        <f t="shared" si="233"/>
        <v>0</v>
      </c>
      <c r="J1838" s="10">
        <f t="shared" si="230"/>
        <v>0</v>
      </c>
      <c r="K1838" s="3">
        <f t="shared" si="231"/>
        <v>11920</v>
      </c>
      <c r="L1838">
        <f t="shared" si="227"/>
        <v>0</v>
      </c>
      <c r="M1838">
        <f t="shared" si="234"/>
        <v>0</v>
      </c>
    </row>
    <row r="1839" spans="1:13" x14ac:dyDescent="0.25">
      <c r="A1839" s="9">
        <f>Speed!A1839</f>
        <v>0</v>
      </c>
      <c r="B1839" s="9">
        <f t="shared" si="228"/>
        <v>0</v>
      </c>
      <c r="C1839" s="2">
        <f>Speed!B1839</f>
        <v>0</v>
      </c>
      <c r="D1839" s="9">
        <f>Odometer!A1839</f>
        <v>0</v>
      </c>
      <c r="E1839" s="9">
        <f t="shared" si="232"/>
        <v>0</v>
      </c>
      <c r="F1839" s="2">
        <f>Odometer!B1839</f>
        <v>0</v>
      </c>
      <c r="G1839" s="2">
        <f t="shared" si="229"/>
        <v>0</v>
      </c>
      <c r="H1839" s="2">
        <f>SUM($G$2:G1839)</f>
        <v>11920</v>
      </c>
      <c r="I1839" s="10">
        <f t="shared" si="233"/>
        <v>0</v>
      </c>
      <c r="J1839" s="10">
        <f t="shared" si="230"/>
        <v>0</v>
      </c>
      <c r="K1839" s="3">
        <f t="shared" si="231"/>
        <v>11920</v>
      </c>
      <c r="L1839">
        <f t="shared" si="227"/>
        <v>0</v>
      </c>
      <c r="M1839">
        <f t="shared" si="234"/>
        <v>0</v>
      </c>
    </row>
    <row r="1840" spans="1:13" x14ac:dyDescent="0.25">
      <c r="A1840" s="9">
        <f>Speed!A1840</f>
        <v>0</v>
      </c>
      <c r="B1840" s="9">
        <f t="shared" si="228"/>
        <v>0</v>
      </c>
      <c r="C1840" s="2">
        <f>Speed!B1840</f>
        <v>0</v>
      </c>
      <c r="D1840" s="9">
        <f>Odometer!A1840</f>
        <v>0</v>
      </c>
      <c r="E1840" s="9">
        <f t="shared" si="232"/>
        <v>0</v>
      </c>
      <c r="F1840" s="2">
        <f>Odometer!B1840</f>
        <v>0</v>
      </c>
      <c r="G1840" s="2">
        <f t="shared" si="229"/>
        <v>0</v>
      </c>
      <c r="H1840" s="2">
        <f>SUM($G$2:G1840)</f>
        <v>11920</v>
      </c>
      <c r="I1840" s="10">
        <f t="shared" si="233"/>
        <v>0</v>
      </c>
      <c r="J1840" s="10">
        <f t="shared" si="230"/>
        <v>0</v>
      </c>
      <c r="K1840" s="3">
        <f t="shared" si="231"/>
        <v>11920</v>
      </c>
      <c r="L1840">
        <f t="shared" si="227"/>
        <v>0</v>
      </c>
      <c r="M1840">
        <f t="shared" si="234"/>
        <v>0</v>
      </c>
    </row>
    <row r="1841" spans="1:13" x14ac:dyDescent="0.25">
      <c r="A1841" s="9">
        <f>Speed!A1841</f>
        <v>0</v>
      </c>
      <c r="B1841" s="9">
        <f t="shared" si="228"/>
        <v>0</v>
      </c>
      <c r="C1841" s="2">
        <f>Speed!B1841</f>
        <v>0</v>
      </c>
      <c r="D1841" s="9">
        <f>Odometer!A1841</f>
        <v>0</v>
      </c>
      <c r="E1841" s="9">
        <f t="shared" si="232"/>
        <v>0</v>
      </c>
      <c r="F1841" s="2">
        <f>Odometer!B1841</f>
        <v>0</v>
      </c>
      <c r="G1841" s="2">
        <f t="shared" si="229"/>
        <v>0</v>
      </c>
      <c r="H1841" s="2">
        <f>SUM($G$2:G1841)</f>
        <v>11920</v>
      </c>
      <c r="I1841" s="10">
        <f t="shared" si="233"/>
        <v>0</v>
      </c>
      <c r="J1841" s="10">
        <f t="shared" si="230"/>
        <v>0</v>
      </c>
      <c r="K1841" s="3">
        <f t="shared" si="231"/>
        <v>11920</v>
      </c>
      <c r="L1841">
        <f t="shared" si="227"/>
        <v>0</v>
      </c>
      <c r="M1841">
        <f t="shared" si="234"/>
        <v>0</v>
      </c>
    </row>
    <row r="1842" spans="1:13" x14ac:dyDescent="0.25">
      <c r="A1842" s="9">
        <f>Speed!A1842</f>
        <v>0</v>
      </c>
      <c r="B1842" s="9">
        <f t="shared" si="228"/>
        <v>0</v>
      </c>
      <c r="C1842" s="2">
        <f>Speed!B1842</f>
        <v>0</v>
      </c>
      <c r="D1842" s="9">
        <f>Odometer!A1842</f>
        <v>0</v>
      </c>
      <c r="E1842" s="9">
        <f t="shared" si="232"/>
        <v>0</v>
      </c>
      <c r="F1842" s="2">
        <f>Odometer!B1842</f>
        <v>0</v>
      </c>
      <c r="G1842" s="2">
        <f t="shared" si="229"/>
        <v>0</v>
      </c>
      <c r="H1842" s="2">
        <f>SUM($G$2:G1842)</f>
        <v>11920</v>
      </c>
      <c r="I1842" s="10">
        <f t="shared" si="233"/>
        <v>0</v>
      </c>
      <c r="J1842" s="10">
        <f t="shared" si="230"/>
        <v>0</v>
      </c>
      <c r="K1842" s="3">
        <f t="shared" si="231"/>
        <v>11920</v>
      </c>
      <c r="L1842">
        <f t="shared" si="227"/>
        <v>0</v>
      </c>
      <c r="M1842">
        <f t="shared" si="234"/>
        <v>0</v>
      </c>
    </row>
    <row r="1843" spans="1:13" x14ac:dyDescent="0.25">
      <c r="A1843" s="9">
        <f>Speed!A1843</f>
        <v>0</v>
      </c>
      <c r="B1843" s="9">
        <f t="shared" si="228"/>
        <v>0</v>
      </c>
      <c r="C1843" s="2">
        <f>Speed!B1843</f>
        <v>0</v>
      </c>
      <c r="D1843" s="9">
        <f>Odometer!A1843</f>
        <v>0</v>
      </c>
      <c r="E1843" s="9">
        <f t="shared" si="232"/>
        <v>0</v>
      </c>
      <c r="F1843" s="2">
        <f>Odometer!B1843</f>
        <v>0</v>
      </c>
      <c r="G1843" s="2">
        <f t="shared" si="229"/>
        <v>0</v>
      </c>
      <c r="H1843" s="2">
        <f>SUM($G$2:G1843)</f>
        <v>11920</v>
      </c>
      <c r="I1843" s="10">
        <f t="shared" si="233"/>
        <v>0</v>
      </c>
      <c r="J1843" s="10">
        <f t="shared" si="230"/>
        <v>0</v>
      </c>
      <c r="K1843" s="3">
        <f t="shared" si="231"/>
        <v>11920</v>
      </c>
      <c r="L1843">
        <f t="shared" si="227"/>
        <v>0</v>
      </c>
      <c r="M1843">
        <f t="shared" si="234"/>
        <v>0</v>
      </c>
    </row>
    <row r="1844" spans="1:13" x14ac:dyDescent="0.25">
      <c r="A1844" s="9">
        <f>Speed!A1844</f>
        <v>0</v>
      </c>
      <c r="B1844" s="9">
        <f t="shared" si="228"/>
        <v>0</v>
      </c>
      <c r="C1844" s="2">
        <f>Speed!B1844</f>
        <v>0</v>
      </c>
      <c r="D1844" s="9">
        <f>Odometer!A1844</f>
        <v>0</v>
      </c>
      <c r="E1844" s="9">
        <f t="shared" si="232"/>
        <v>0</v>
      </c>
      <c r="F1844" s="2">
        <f>Odometer!B1844</f>
        <v>0</v>
      </c>
      <c r="G1844" s="2">
        <f t="shared" si="229"/>
        <v>0</v>
      </c>
      <c r="H1844" s="2">
        <f>SUM($G$2:G1844)</f>
        <v>11920</v>
      </c>
      <c r="I1844" s="10">
        <f t="shared" si="233"/>
        <v>0</v>
      </c>
      <c r="J1844" s="10">
        <f t="shared" si="230"/>
        <v>0</v>
      </c>
      <c r="K1844" s="3">
        <f t="shared" si="231"/>
        <v>11920</v>
      </c>
      <c r="L1844">
        <f t="shared" si="227"/>
        <v>0</v>
      </c>
      <c r="M1844">
        <f t="shared" si="234"/>
        <v>0</v>
      </c>
    </row>
    <row r="1845" spans="1:13" x14ac:dyDescent="0.25">
      <c r="A1845" s="9">
        <f>Speed!A1845</f>
        <v>0</v>
      </c>
      <c r="B1845" s="9">
        <f t="shared" si="228"/>
        <v>0</v>
      </c>
      <c r="C1845" s="2">
        <f>Speed!B1845</f>
        <v>0</v>
      </c>
      <c r="D1845" s="9">
        <f>Odometer!A1845</f>
        <v>0</v>
      </c>
      <c r="E1845" s="9">
        <f t="shared" si="232"/>
        <v>0</v>
      </c>
      <c r="F1845" s="2">
        <f>Odometer!B1845</f>
        <v>0</v>
      </c>
      <c r="G1845" s="2">
        <f t="shared" si="229"/>
        <v>0</v>
      </c>
      <c r="H1845" s="2">
        <f>SUM($G$2:G1845)</f>
        <v>11920</v>
      </c>
      <c r="I1845" s="10">
        <f t="shared" si="233"/>
        <v>0</v>
      </c>
      <c r="J1845" s="10">
        <f t="shared" si="230"/>
        <v>0</v>
      </c>
      <c r="K1845" s="3">
        <f t="shared" si="231"/>
        <v>11920</v>
      </c>
      <c r="L1845">
        <f t="shared" si="227"/>
        <v>0</v>
      </c>
      <c r="M1845">
        <f t="shared" si="234"/>
        <v>0</v>
      </c>
    </row>
    <row r="1846" spans="1:13" x14ac:dyDescent="0.25">
      <c r="A1846" s="9">
        <f>Speed!A1846</f>
        <v>0</v>
      </c>
      <c r="B1846" s="9">
        <f t="shared" si="228"/>
        <v>0</v>
      </c>
      <c r="C1846" s="2">
        <f>Speed!B1846</f>
        <v>0</v>
      </c>
      <c r="D1846" s="9">
        <f>Odometer!A1846</f>
        <v>0</v>
      </c>
      <c r="E1846" s="9">
        <f t="shared" si="232"/>
        <v>0</v>
      </c>
      <c r="F1846" s="2">
        <f>Odometer!B1846</f>
        <v>0</v>
      </c>
      <c r="G1846" s="2">
        <f t="shared" si="229"/>
        <v>0</v>
      </c>
      <c r="H1846" s="2">
        <f>SUM($G$2:G1846)</f>
        <v>11920</v>
      </c>
      <c r="I1846" s="10">
        <f t="shared" si="233"/>
        <v>0</v>
      </c>
      <c r="J1846" s="10">
        <f t="shared" si="230"/>
        <v>0</v>
      </c>
      <c r="K1846" s="3">
        <f t="shared" si="231"/>
        <v>11920</v>
      </c>
      <c r="L1846">
        <f t="shared" si="227"/>
        <v>0</v>
      </c>
      <c r="M1846">
        <f t="shared" si="234"/>
        <v>0</v>
      </c>
    </row>
    <row r="1847" spans="1:13" x14ac:dyDescent="0.25">
      <c r="A1847" s="9">
        <f>Speed!A1847</f>
        <v>0</v>
      </c>
      <c r="B1847" s="9">
        <f t="shared" si="228"/>
        <v>0</v>
      </c>
      <c r="C1847" s="2">
        <f>Speed!B1847</f>
        <v>0</v>
      </c>
      <c r="D1847" s="9">
        <f>Odometer!A1847</f>
        <v>0</v>
      </c>
      <c r="E1847" s="9">
        <f t="shared" si="232"/>
        <v>0</v>
      </c>
      <c r="F1847" s="2">
        <f>Odometer!B1847</f>
        <v>0</v>
      </c>
      <c r="G1847" s="2">
        <f t="shared" si="229"/>
        <v>0</v>
      </c>
      <c r="H1847" s="2">
        <f>SUM($G$2:G1847)</f>
        <v>11920</v>
      </c>
      <c r="I1847" s="10">
        <f t="shared" si="233"/>
        <v>0</v>
      </c>
      <c r="J1847" s="10">
        <f t="shared" si="230"/>
        <v>0</v>
      </c>
      <c r="K1847" s="3">
        <f t="shared" si="231"/>
        <v>11920</v>
      </c>
      <c r="L1847">
        <f t="shared" si="227"/>
        <v>0</v>
      </c>
      <c r="M1847">
        <f t="shared" si="234"/>
        <v>0</v>
      </c>
    </row>
    <row r="1848" spans="1:13" x14ac:dyDescent="0.25">
      <c r="A1848" s="9">
        <f>Speed!A1848</f>
        <v>0</v>
      </c>
      <c r="B1848" s="9">
        <f t="shared" si="228"/>
        <v>0</v>
      </c>
      <c r="C1848" s="2">
        <f>Speed!B1848</f>
        <v>0</v>
      </c>
      <c r="D1848" s="9">
        <f>Odometer!A1848</f>
        <v>0</v>
      </c>
      <c r="E1848" s="9">
        <f t="shared" si="232"/>
        <v>0</v>
      </c>
      <c r="F1848" s="2">
        <f>Odometer!B1848</f>
        <v>0</v>
      </c>
      <c r="G1848" s="2">
        <f t="shared" si="229"/>
        <v>0</v>
      </c>
      <c r="H1848" s="2">
        <f>SUM($G$2:G1848)</f>
        <v>11920</v>
      </c>
      <c r="I1848" s="10">
        <f t="shared" si="233"/>
        <v>0</v>
      </c>
      <c r="J1848" s="10">
        <f t="shared" si="230"/>
        <v>0</v>
      </c>
      <c r="K1848" s="3">
        <f t="shared" si="231"/>
        <v>11920</v>
      </c>
      <c r="L1848">
        <f t="shared" si="227"/>
        <v>0</v>
      </c>
      <c r="M1848">
        <f t="shared" si="234"/>
        <v>0</v>
      </c>
    </row>
    <row r="1849" spans="1:13" x14ac:dyDescent="0.25">
      <c r="A1849" s="9">
        <f>Speed!A1849</f>
        <v>0</v>
      </c>
      <c r="B1849" s="9">
        <f t="shared" si="228"/>
        <v>0</v>
      </c>
      <c r="C1849" s="2">
        <f>Speed!B1849</f>
        <v>0</v>
      </c>
      <c r="D1849" s="9">
        <f>Odometer!A1849</f>
        <v>0</v>
      </c>
      <c r="E1849" s="9">
        <f t="shared" si="232"/>
        <v>0</v>
      </c>
      <c r="F1849" s="2">
        <f>Odometer!B1849</f>
        <v>0</v>
      </c>
      <c r="G1849" s="2">
        <f t="shared" si="229"/>
        <v>0</v>
      </c>
      <c r="H1849" s="2">
        <f>SUM($G$2:G1849)</f>
        <v>11920</v>
      </c>
      <c r="I1849" s="10">
        <f t="shared" si="233"/>
        <v>0</v>
      </c>
      <c r="J1849" s="10">
        <f t="shared" si="230"/>
        <v>0</v>
      </c>
      <c r="K1849" s="3">
        <f t="shared" si="231"/>
        <v>11920</v>
      </c>
      <c r="L1849">
        <f t="shared" si="227"/>
        <v>0</v>
      </c>
      <c r="M1849">
        <f t="shared" si="234"/>
        <v>0</v>
      </c>
    </row>
    <row r="1850" spans="1:13" x14ac:dyDescent="0.25">
      <c r="A1850" s="9">
        <f>Speed!A1850</f>
        <v>0</v>
      </c>
      <c r="B1850" s="9">
        <f t="shared" si="228"/>
        <v>0</v>
      </c>
      <c r="C1850" s="2">
        <f>Speed!B1850</f>
        <v>0</v>
      </c>
      <c r="D1850" s="9">
        <f>Odometer!A1850</f>
        <v>0</v>
      </c>
      <c r="E1850" s="9">
        <f t="shared" si="232"/>
        <v>0</v>
      </c>
      <c r="F1850" s="2">
        <f>Odometer!B1850</f>
        <v>0</v>
      </c>
      <c r="G1850" s="2">
        <f t="shared" si="229"/>
        <v>0</v>
      </c>
      <c r="H1850" s="2">
        <f>SUM($G$2:G1850)</f>
        <v>11920</v>
      </c>
      <c r="I1850" s="10">
        <f t="shared" si="233"/>
        <v>0</v>
      </c>
      <c r="J1850" s="10">
        <f t="shared" si="230"/>
        <v>0</v>
      </c>
      <c r="K1850" s="3">
        <f t="shared" si="231"/>
        <v>11920</v>
      </c>
      <c r="L1850">
        <f t="shared" si="227"/>
        <v>0</v>
      </c>
      <c r="M1850">
        <f t="shared" si="234"/>
        <v>0</v>
      </c>
    </row>
    <row r="1851" spans="1:13" x14ac:dyDescent="0.25">
      <c r="A1851" s="9">
        <f>Speed!A1851</f>
        <v>0</v>
      </c>
      <c r="B1851" s="9">
        <f t="shared" si="228"/>
        <v>0</v>
      </c>
      <c r="C1851" s="2">
        <f>Speed!B1851</f>
        <v>0</v>
      </c>
      <c r="D1851" s="9">
        <f>Odometer!A1851</f>
        <v>0</v>
      </c>
      <c r="E1851" s="9">
        <f t="shared" si="232"/>
        <v>0</v>
      </c>
      <c r="F1851" s="2">
        <f>Odometer!B1851</f>
        <v>0</v>
      </c>
      <c r="G1851" s="2">
        <f t="shared" si="229"/>
        <v>0</v>
      </c>
      <c r="H1851" s="2">
        <f>SUM($G$2:G1851)</f>
        <v>11920</v>
      </c>
      <c r="I1851" s="10">
        <f t="shared" si="233"/>
        <v>0</v>
      </c>
      <c r="J1851" s="10">
        <f t="shared" si="230"/>
        <v>0</v>
      </c>
      <c r="K1851" s="3">
        <f t="shared" si="231"/>
        <v>11920</v>
      </c>
      <c r="L1851">
        <f t="shared" si="227"/>
        <v>0</v>
      </c>
      <c r="M1851">
        <f t="shared" si="234"/>
        <v>0</v>
      </c>
    </row>
    <row r="1852" spans="1:13" x14ac:dyDescent="0.25">
      <c r="A1852" s="9">
        <f>Speed!A1852</f>
        <v>0</v>
      </c>
      <c r="B1852" s="9">
        <f t="shared" si="228"/>
        <v>0</v>
      </c>
      <c r="C1852" s="2">
        <f>Speed!B1852</f>
        <v>0</v>
      </c>
      <c r="D1852" s="9">
        <f>Odometer!A1852</f>
        <v>0</v>
      </c>
      <c r="E1852" s="9">
        <f t="shared" si="232"/>
        <v>0</v>
      </c>
      <c r="F1852" s="2">
        <f>Odometer!B1852</f>
        <v>0</v>
      </c>
      <c r="G1852" s="2">
        <f t="shared" si="229"/>
        <v>0</v>
      </c>
      <c r="H1852" s="2">
        <f>SUM($G$2:G1852)</f>
        <v>11920</v>
      </c>
      <c r="I1852" s="10">
        <f t="shared" si="233"/>
        <v>0</v>
      </c>
      <c r="J1852" s="10">
        <f t="shared" si="230"/>
        <v>0</v>
      </c>
      <c r="K1852" s="3">
        <f t="shared" si="231"/>
        <v>11920</v>
      </c>
      <c r="L1852">
        <f t="shared" si="227"/>
        <v>0</v>
      </c>
      <c r="M1852">
        <f t="shared" si="234"/>
        <v>0</v>
      </c>
    </row>
    <row r="1853" spans="1:13" x14ac:dyDescent="0.25">
      <c r="A1853" s="9">
        <f>Speed!A1853</f>
        <v>0</v>
      </c>
      <c r="B1853" s="9">
        <f t="shared" si="228"/>
        <v>0</v>
      </c>
      <c r="C1853" s="2">
        <f>Speed!B1853</f>
        <v>0</v>
      </c>
      <c r="D1853" s="9">
        <f>Odometer!A1853</f>
        <v>0</v>
      </c>
      <c r="E1853" s="9">
        <f t="shared" si="232"/>
        <v>0</v>
      </c>
      <c r="F1853" s="2">
        <f>Odometer!B1853</f>
        <v>0</v>
      </c>
      <c r="G1853" s="2">
        <f t="shared" si="229"/>
        <v>0</v>
      </c>
      <c r="H1853" s="2">
        <f>SUM($G$2:G1853)</f>
        <v>11920</v>
      </c>
      <c r="I1853" s="10">
        <f t="shared" si="233"/>
        <v>0</v>
      </c>
      <c r="J1853" s="10">
        <f t="shared" si="230"/>
        <v>0</v>
      </c>
      <c r="K1853" s="3">
        <f t="shared" si="231"/>
        <v>11920</v>
      </c>
      <c r="L1853">
        <f t="shared" si="227"/>
        <v>0</v>
      </c>
      <c r="M1853">
        <f t="shared" si="234"/>
        <v>0</v>
      </c>
    </row>
    <row r="1854" spans="1:13" x14ac:dyDescent="0.25">
      <c r="A1854" s="9">
        <f>Speed!A1854</f>
        <v>0</v>
      </c>
      <c r="B1854" s="9">
        <f t="shared" si="228"/>
        <v>0</v>
      </c>
      <c r="C1854" s="2">
        <f>Speed!B1854</f>
        <v>0</v>
      </c>
      <c r="D1854" s="9">
        <f>Odometer!A1854</f>
        <v>0</v>
      </c>
      <c r="E1854" s="9">
        <f t="shared" si="232"/>
        <v>0</v>
      </c>
      <c r="F1854" s="2">
        <f>Odometer!B1854</f>
        <v>0</v>
      </c>
      <c r="G1854" s="2">
        <f t="shared" si="229"/>
        <v>0</v>
      </c>
      <c r="H1854" s="2">
        <f>SUM($G$2:G1854)</f>
        <v>11920</v>
      </c>
      <c r="I1854" s="10">
        <f t="shared" si="233"/>
        <v>0</v>
      </c>
      <c r="J1854" s="10">
        <f t="shared" si="230"/>
        <v>0</v>
      </c>
      <c r="K1854" s="3">
        <f t="shared" si="231"/>
        <v>11920</v>
      </c>
      <c r="L1854">
        <f t="shared" si="227"/>
        <v>0</v>
      </c>
      <c r="M1854">
        <f t="shared" si="234"/>
        <v>0</v>
      </c>
    </row>
    <row r="1855" spans="1:13" x14ac:dyDescent="0.25">
      <c r="A1855" s="9">
        <f>Speed!A1855</f>
        <v>0</v>
      </c>
      <c r="B1855" s="9">
        <f t="shared" si="228"/>
        <v>0</v>
      </c>
      <c r="C1855" s="2">
        <f>Speed!B1855</f>
        <v>0</v>
      </c>
      <c r="D1855" s="9">
        <f>Odometer!A1855</f>
        <v>0</v>
      </c>
      <c r="E1855" s="9">
        <f t="shared" si="232"/>
        <v>0</v>
      </c>
      <c r="F1855" s="2">
        <f>Odometer!B1855</f>
        <v>0</v>
      </c>
      <c r="G1855" s="2">
        <f t="shared" si="229"/>
        <v>0</v>
      </c>
      <c r="H1855" s="2">
        <f>SUM($G$2:G1855)</f>
        <v>11920</v>
      </c>
      <c r="I1855" s="10">
        <f t="shared" si="233"/>
        <v>0</v>
      </c>
      <c r="J1855" s="10">
        <f t="shared" si="230"/>
        <v>0</v>
      </c>
      <c r="K1855" s="3">
        <f t="shared" si="231"/>
        <v>11920</v>
      </c>
      <c r="L1855">
        <f t="shared" si="227"/>
        <v>0</v>
      </c>
      <c r="M1855">
        <f t="shared" si="234"/>
        <v>0</v>
      </c>
    </row>
    <row r="1856" spans="1:13" x14ac:dyDescent="0.25">
      <c r="A1856" s="9">
        <f>Speed!A1856</f>
        <v>0</v>
      </c>
      <c r="B1856" s="9">
        <f t="shared" si="228"/>
        <v>0</v>
      </c>
      <c r="C1856" s="2">
        <f>Speed!B1856</f>
        <v>0</v>
      </c>
      <c r="D1856" s="9">
        <f>Odometer!A1856</f>
        <v>0</v>
      </c>
      <c r="E1856" s="9">
        <f t="shared" si="232"/>
        <v>0</v>
      </c>
      <c r="F1856" s="2">
        <f>Odometer!B1856</f>
        <v>0</v>
      </c>
      <c r="G1856" s="2">
        <f t="shared" si="229"/>
        <v>0</v>
      </c>
      <c r="H1856" s="2">
        <f>SUM($G$2:G1856)</f>
        <v>11920</v>
      </c>
      <c r="I1856" s="10">
        <f t="shared" si="233"/>
        <v>0</v>
      </c>
      <c r="J1856" s="10">
        <f t="shared" si="230"/>
        <v>0</v>
      </c>
      <c r="K1856" s="3">
        <f t="shared" si="231"/>
        <v>11920</v>
      </c>
      <c r="L1856">
        <f t="shared" si="227"/>
        <v>0</v>
      </c>
      <c r="M1856">
        <f t="shared" si="234"/>
        <v>0</v>
      </c>
    </row>
    <row r="1857" spans="1:13" x14ac:dyDescent="0.25">
      <c r="A1857" s="9">
        <f>Speed!A1857</f>
        <v>0</v>
      </c>
      <c r="B1857" s="9">
        <f t="shared" si="228"/>
        <v>0</v>
      </c>
      <c r="C1857" s="2">
        <f>Speed!B1857</f>
        <v>0</v>
      </c>
      <c r="D1857" s="9">
        <f>Odometer!A1857</f>
        <v>0</v>
      </c>
      <c r="E1857" s="9">
        <f t="shared" si="232"/>
        <v>0</v>
      </c>
      <c r="F1857" s="2">
        <f>Odometer!B1857</f>
        <v>0</v>
      </c>
      <c r="G1857" s="2">
        <f t="shared" si="229"/>
        <v>0</v>
      </c>
      <c r="H1857" s="2">
        <f>SUM($G$2:G1857)</f>
        <v>11920</v>
      </c>
      <c r="I1857" s="10">
        <f t="shared" si="233"/>
        <v>0</v>
      </c>
      <c r="J1857" s="10">
        <f t="shared" si="230"/>
        <v>0</v>
      </c>
      <c r="K1857" s="3">
        <f t="shared" si="231"/>
        <v>11920</v>
      </c>
      <c r="L1857">
        <f t="shared" si="227"/>
        <v>0</v>
      </c>
      <c r="M1857">
        <f t="shared" si="234"/>
        <v>0</v>
      </c>
    </row>
    <row r="1858" spans="1:13" x14ac:dyDescent="0.25">
      <c r="A1858" s="9">
        <f>Speed!A1858</f>
        <v>0</v>
      </c>
      <c r="B1858" s="9">
        <f t="shared" si="228"/>
        <v>0</v>
      </c>
      <c r="C1858" s="2">
        <f>Speed!B1858</f>
        <v>0</v>
      </c>
      <c r="D1858" s="9">
        <f>Odometer!A1858</f>
        <v>0</v>
      </c>
      <c r="E1858" s="9">
        <f t="shared" si="232"/>
        <v>0</v>
      </c>
      <c r="F1858" s="2">
        <f>Odometer!B1858</f>
        <v>0</v>
      </c>
      <c r="G1858" s="2">
        <f t="shared" si="229"/>
        <v>0</v>
      </c>
      <c r="H1858" s="2">
        <f>SUM($G$2:G1858)</f>
        <v>11920</v>
      </c>
      <c r="I1858" s="10">
        <f t="shared" si="233"/>
        <v>0</v>
      </c>
      <c r="J1858" s="10">
        <f t="shared" si="230"/>
        <v>0</v>
      </c>
      <c r="K1858" s="3">
        <f t="shared" si="231"/>
        <v>11920</v>
      </c>
      <c r="L1858">
        <f t="shared" ref="L1858:L1921" si="235">INDEX($C$2:$C$2000, MATCH(I1858,$A$2:$A$2000,0))</f>
        <v>0</v>
      </c>
      <c r="M1858">
        <f t="shared" si="234"/>
        <v>0</v>
      </c>
    </row>
    <row r="1859" spans="1:13" x14ac:dyDescent="0.25">
      <c r="A1859" s="9">
        <f>Speed!A1859</f>
        <v>0</v>
      </c>
      <c r="B1859" s="9">
        <f t="shared" ref="B1859:B1922" si="236">MROUND(A1859,"00:00:01")</f>
        <v>0</v>
      </c>
      <c r="C1859" s="2">
        <f>Speed!B1859</f>
        <v>0</v>
      </c>
      <c r="D1859" s="9">
        <f>Odometer!A1859</f>
        <v>0</v>
      </c>
      <c r="E1859" s="9">
        <f t="shared" si="232"/>
        <v>0</v>
      </c>
      <c r="F1859" s="2">
        <f>Odometer!B1859</f>
        <v>0</v>
      </c>
      <c r="G1859" s="2">
        <f t="shared" ref="G1859:G1922" si="237">IF(F1860-F1859&lt;0,0,F1860-F1859)</f>
        <v>0</v>
      </c>
      <c r="H1859" s="2">
        <f>SUM($G$2:G1859)</f>
        <v>11920</v>
      </c>
      <c r="I1859" s="10">
        <f t="shared" si="233"/>
        <v>0</v>
      </c>
      <c r="J1859" s="10">
        <f t="shared" ref="J1859:J1922" si="238">MROUND(I1859,"0:00:01")</f>
        <v>0</v>
      </c>
      <c r="K1859" s="3">
        <f t="shared" si="231"/>
        <v>11920</v>
      </c>
      <c r="L1859">
        <f t="shared" si="235"/>
        <v>0</v>
      </c>
      <c r="M1859">
        <f t="shared" si="234"/>
        <v>0</v>
      </c>
    </row>
    <row r="1860" spans="1:13" x14ac:dyDescent="0.25">
      <c r="A1860" s="9">
        <f>Speed!A1860</f>
        <v>0</v>
      </c>
      <c r="B1860" s="9">
        <f t="shared" si="236"/>
        <v>0</v>
      </c>
      <c r="C1860" s="2">
        <f>Speed!B1860</f>
        <v>0</v>
      </c>
      <c r="D1860" s="9">
        <f>Odometer!A1860</f>
        <v>0</v>
      </c>
      <c r="E1860" s="9">
        <f t="shared" si="232"/>
        <v>0</v>
      </c>
      <c r="F1860" s="2">
        <f>Odometer!B1860</f>
        <v>0</v>
      </c>
      <c r="G1860" s="2">
        <f t="shared" si="237"/>
        <v>0</v>
      </c>
      <c r="H1860" s="2">
        <f>SUM($G$2:G1860)</f>
        <v>11920</v>
      </c>
      <c r="I1860" s="10">
        <f t="shared" si="233"/>
        <v>0</v>
      </c>
      <c r="J1860" s="10">
        <f t="shared" si="238"/>
        <v>0</v>
      </c>
      <c r="K1860" s="3">
        <f t="shared" ref="K1860:K1923" si="239">IFERROR(INDEX($H$2:$H$2000,MATCH(J1860,$E$2:$E$2000,0)),NA())</f>
        <v>11920</v>
      </c>
      <c r="L1860">
        <f t="shared" si="235"/>
        <v>0</v>
      </c>
      <c r="M1860">
        <f t="shared" si="234"/>
        <v>0</v>
      </c>
    </row>
    <row r="1861" spans="1:13" x14ac:dyDescent="0.25">
      <c r="A1861" s="9">
        <f>Speed!A1861</f>
        <v>0</v>
      </c>
      <c r="B1861" s="9">
        <f t="shared" si="236"/>
        <v>0</v>
      </c>
      <c r="C1861" s="2">
        <f>Speed!B1861</f>
        <v>0</v>
      </c>
      <c r="D1861" s="9">
        <f>Odometer!A1861</f>
        <v>0</v>
      </c>
      <c r="E1861" s="9">
        <f t="shared" si="232"/>
        <v>0</v>
      </c>
      <c r="F1861" s="2">
        <f>Odometer!B1861</f>
        <v>0</v>
      </c>
      <c r="G1861" s="2">
        <f t="shared" si="237"/>
        <v>0</v>
      </c>
      <c r="H1861" s="2">
        <f>SUM($G$2:G1861)</f>
        <v>11920</v>
      </c>
      <c r="I1861" s="10">
        <f t="shared" si="233"/>
        <v>0</v>
      </c>
      <c r="J1861" s="10">
        <f t="shared" si="238"/>
        <v>0</v>
      </c>
      <c r="K1861" s="3">
        <f t="shared" si="239"/>
        <v>11920</v>
      </c>
      <c r="L1861">
        <f t="shared" si="235"/>
        <v>0</v>
      </c>
      <c r="M1861">
        <f t="shared" si="234"/>
        <v>0</v>
      </c>
    </row>
    <row r="1862" spans="1:13" x14ac:dyDescent="0.25">
      <c r="A1862" s="9">
        <f>Speed!A1862</f>
        <v>0</v>
      </c>
      <c r="B1862" s="9">
        <f t="shared" si="236"/>
        <v>0</v>
      </c>
      <c r="C1862" s="2">
        <f>Speed!B1862</f>
        <v>0</v>
      </c>
      <c r="D1862" s="9">
        <f>Odometer!A1862</f>
        <v>0</v>
      </c>
      <c r="E1862" s="9">
        <f t="shared" si="232"/>
        <v>0</v>
      </c>
      <c r="F1862" s="2">
        <f>Odometer!B1862</f>
        <v>0</v>
      </c>
      <c r="G1862" s="2">
        <f t="shared" si="237"/>
        <v>0</v>
      </c>
      <c r="H1862" s="2">
        <f>SUM($G$2:G1862)</f>
        <v>11920</v>
      </c>
      <c r="I1862" s="10">
        <f t="shared" si="233"/>
        <v>0</v>
      </c>
      <c r="J1862" s="10">
        <f t="shared" si="238"/>
        <v>0</v>
      </c>
      <c r="K1862" s="3">
        <f t="shared" si="239"/>
        <v>11920</v>
      </c>
      <c r="L1862">
        <f t="shared" si="235"/>
        <v>0</v>
      </c>
      <c r="M1862">
        <f t="shared" si="234"/>
        <v>0</v>
      </c>
    </row>
    <row r="1863" spans="1:13" x14ac:dyDescent="0.25">
      <c r="A1863" s="9">
        <f>Speed!A1863</f>
        <v>0</v>
      </c>
      <c r="B1863" s="9">
        <f t="shared" si="236"/>
        <v>0</v>
      </c>
      <c r="C1863" s="2">
        <f>Speed!B1863</f>
        <v>0</v>
      </c>
      <c r="D1863" s="9">
        <f>Odometer!A1863</f>
        <v>0</v>
      </c>
      <c r="E1863" s="9">
        <f t="shared" si="232"/>
        <v>0</v>
      </c>
      <c r="F1863" s="2">
        <f>Odometer!B1863</f>
        <v>0</v>
      </c>
      <c r="G1863" s="2">
        <f t="shared" si="237"/>
        <v>0</v>
      </c>
      <c r="H1863" s="2">
        <f>SUM($G$2:G1863)</f>
        <v>11920</v>
      </c>
      <c r="I1863" s="10">
        <f t="shared" si="233"/>
        <v>0</v>
      </c>
      <c r="J1863" s="10">
        <f t="shared" si="238"/>
        <v>0</v>
      </c>
      <c r="K1863" s="3">
        <f t="shared" si="239"/>
        <v>11920</v>
      </c>
      <c r="L1863">
        <f t="shared" si="235"/>
        <v>0</v>
      </c>
      <c r="M1863">
        <f t="shared" si="234"/>
        <v>0</v>
      </c>
    </row>
    <row r="1864" spans="1:13" x14ac:dyDescent="0.25">
      <c r="A1864" s="9">
        <f>Speed!A1864</f>
        <v>0</v>
      </c>
      <c r="B1864" s="9">
        <f t="shared" si="236"/>
        <v>0</v>
      </c>
      <c r="C1864" s="2">
        <f>Speed!B1864</f>
        <v>0</v>
      </c>
      <c r="D1864" s="9">
        <f>Odometer!A1864</f>
        <v>0</v>
      </c>
      <c r="E1864" s="9">
        <f t="shared" si="232"/>
        <v>0</v>
      </c>
      <c r="F1864" s="2">
        <f>Odometer!B1864</f>
        <v>0</v>
      </c>
      <c r="G1864" s="2">
        <f t="shared" si="237"/>
        <v>0</v>
      </c>
      <c r="H1864" s="2">
        <f>SUM($G$2:G1864)</f>
        <v>11920</v>
      </c>
      <c r="I1864" s="10">
        <f t="shared" si="233"/>
        <v>0</v>
      </c>
      <c r="J1864" s="10">
        <f t="shared" si="238"/>
        <v>0</v>
      </c>
      <c r="K1864" s="3">
        <f t="shared" si="239"/>
        <v>11920</v>
      </c>
      <c r="L1864">
        <f t="shared" si="235"/>
        <v>0</v>
      </c>
      <c r="M1864">
        <f t="shared" si="234"/>
        <v>0</v>
      </c>
    </row>
    <row r="1865" spans="1:13" x14ac:dyDescent="0.25">
      <c r="A1865" s="9">
        <f>Speed!A1865</f>
        <v>0</v>
      </c>
      <c r="B1865" s="9">
        <f t="shared" si="236"/>
        <v>0</v>
      </c>
      <c r="C1865" s="2">
        <f>Speed!B1865</f>
        <v>0</v>
      </c>
      <c r="D1865" s="9">
        <f>Odometer!A1865</f>
        <v>0</v>
      </c>
      <c r="E1865" s="9">
        <f t="shared" si="232"/>
        <v>0</v>
      </c>
      <c r="F1865" s="2">
        <f>Odometer!B1865</f>
        <v>0</v>
      </c>
      <c r="G1865" s="2">
        <f t="shared" si="237"/>
        <v>0</v>
      </c>
      <c r="H1865" s="2">
        <f>SUM($G$2:G1865)</f>
        <v>11920</v>
      </c>
      <c r="I1865" s="10">
        <f t="shared" si="233"/>
        <v>0</v>
      </c>
      <c r="J1865" s="10">
        <f t="shared" si="238"/>
        <v>0</v>
      </c>
      <c r="K1865" s="3">
        <f t="shared" si="239"/>
        <v>11920</v>
      </c>
      <c r="L1865">
        <f t="shared" si="235"/>
        <v>0</v>
      </c>
      <c r="M1865">
        <f t="shared" si="234"/>
        <v>0</v>
      </c>
    </row>
    <row r="1866" spans="1:13" x14ac:dyDescent="0.25">
      <c r="A1866" s="9">
        <f>Speed!A1866</f>
        <v>0</v>
      </c>
      <c r="B1866" s="9">
        <f t="shared" si="236"/>
        <v>0</v>
      </c>
      <c r="C1866" s="2">
        <f>Speed!B1866</f>
        <v>0</v>
      </c>
      <c r="D1866" s="9">
        <f>Odometer!A1866</f>
        <v>0</v>
      </c>
      <c r="E1866" s="9">
        <f t="shared" si="232"/>
        <v>0</v>
      </c>
      <c r="F1866" s="2">
        <f>Odometer!B1866</f>
        <v>0</v>
      </c>
      <c r="G1866" s="2">
        <f t="shared" si="237"/>
        <v>0</v>
      </c>
      <c r="H1866" s="2">
        <f>SUM($G$2:G1866)</f>
        <v>11920</v>
      </c>
      <c r="I1866" s="10">
        <f t="shared" si="233"/>
        <v>0</v>
      </c>
      <c r="J1866" s="10">
        <f t="shared" si="238"/>
        <v>0</v>
      </c>
      <c r="K1866" s="3">
        <f t="shared" si="239"/>
        <v>11920</v>
      </c>
      <c r="L1866">
        <f t="shared" si="235"/>
        <v>0</v>
      </c>
      <c r="M1866">
        <f t="shared" si="234"/>
        <v>0</v>
      </c>
    </row>
    <row r="1867" spans="1:13" x14ac:dyDescent="0.25">
      <c r="A1867" s="9">
        <f>Speed!A1867</f>
        <v>0</v>
      </c>
      <c r="B1867" s="9">
        <f t="shared" si="236"/>
        <v>0</v>
      </c>
      <c r="C1867" s="2">
        <f>Speed!B1867</f>
        <v>0</v>
      </c>
      <c r="D1867" s="9">
        <f>Odometer!A1867</f>
        <v>0</v>
      </c>
      <c r="E1867" s="9">
        <f t="shared" si="232"/>
        <v>0</v>
      </c>
      <c r="F1867" s="2">
        <f>Odometer!B1867</f>
        <v>0</v>
      </c>
      <c r="G1867" s="2">
        <f t="shared" si="237"/>
        <v>0</v>
      </c>
      <c r="H1867" s="2">
        <f>SUM($G$2:G1867)</f>
        <v>11920</v>
      </c>
      <c r="I1867" s="10">
        <f t="shared" si="233"/>
        <v>0</v>
      </c>
      <c r="J1867" s="10">
        <f t="shared" si="238"/>
        <v>0</v>
      </c>
      <c r="K1867" s="3">
        <f t="shared" si="239"/>
        <v>11920</v>
      </c>
      <c r="L1867">
        <f t="shared" si="235"/>
        <v>0</v>
      </c>
      <c r="M1867">
        <f t="shared" si="234"/>
        <v>0</v>
      </c>
    </row>
    <row r="1868" spans="1:13" x14ac:dyDescent="0.25">
      <c r="A1868" s="9">
        <f>Speed!A1868</f>
        <v>0</v>
      </c>
      <c r="B1868" s="9">
        <f t="shared" si="236"/>
        <v>0</v>
      </c>
      <c r="C1868" s="2">
        <f>Speed!B1868</f>
        <v>0</v>
      </c>
      <c r="D1868" s="9">
        <f>Odometer!A1868</f>
        <v>0</v>
      </c>
      <c r="E1868" s="9">
        <f t="shared" si="232"/>
        <v>0</v>
      </c>
      <c r="F1868" s="2">
        <f>Odometer!B1868</f>
        <v>0</v>
      </c>
      <c r="G1868" s="2">
        <f t="shared" si="237"/>
        <v>0</v>
      </c>
      <c r="H1868" s="2">
        <f>SUM($G$2:G1868)</f>
        <v>11920</v>
      </c>
      <c r="I1868" s="10">
        <f t="shared" si="233"/>
        <v>0</v>
      </c>
      <c r="J1868" s="10">
        <f t="shared" si="238"/>
        <v>0</v>
      </c>
      <c r="K1868" s="3">
        <f t="shared" si="239"/>
        <v>11920</v>
      </c>
      <c r="L1868">
        <f t="shared" si="235"/>
        <v>0</v>
      </c>
      <c r="M1868">
        <f t="shared" si="234"/>
        <v>0</v>
      </c>
    </row>
    <row r="1869" spans="1:13" x14ac:dyDescent="0.25">
      <c r="A1869" s="9">
        <f>Speed!A1869</f>
        <v>0</v>
      </c>
      <c r="B1869" s="9">
        <f t="shared" si="236"/>
        <v>0</v>
      </c>
      <c r="C1869" s="2">
        <f>Speed!B1869</f>
        <v>0</v>
      </c>
      <c r="D1869" s="9">
        <f>Odometer!A1869</f>
        <v>0</v>
      </c>
      <c r="E1869" s="9">
        <f t="shared" si="232"/>
        <v>0</v>
      </c>
      <c r="F1869" s="2">
        <f>Odometer!B1869</f>
        <v>0</v>
      </c>
      <c r="G1869" s="2">
        <f t="shared" si="237"/>
        <v>0</v>
      </c>
      <c r="H1869" s="2">
        <f>SUM($G$2:G1869)</f>
        <v>11920</v>
      </c>
      <c r="I1869" s="10">
        <f t="shared" si="233"/>
        <v>0</v>
      </c>
      <c r="J1869" s="10">
        <f t="shared" si="238"/>
        <v>0</v>
      </c>
      <c r="K1869" s="3">
        <f t="shared" si="239"/>
        <v>11920</v>
      </c>
      <c r="L1869">
        <f t="shared" si="235"/>
        <v>0</v>
      </c>
      <c r="M1869">
        <f t="shared" si="234"/>
        <v>0</v>
      </c>
    </row>
    <row r="1870" spans="1:13" x14ac:dyDescent="0.25">
      <c r="A1870" s="9">
        <f>Speed!A1870</f>
        <v>0</v>
      </c>
      <c r="B1870" s="9">
        <f t="shared" si="236"/>
        <v>0</v>
      </c>
      <c r="C1870" s="2">
        <f>Speed!B1870</f>
        <v>0</v>
      </c>
      <c r="D1870" s="9">
        <f>Odometer!A1870</f>
        <v>0</v>
      </c>
      <c r="E1870" s="9">
        <f t="shared" si="232"/>
        <v>0</v>
      </c>
      <c r="F1870" s="2">
        <f>Odometer!B1870</f>
        <v>0</v>
      </c>
      <c r="G1870" s="2">
        <f t="shared" si="237"/>
        <v>0</v>
      </c>
      <c r="H1870" s="2">
        <f>SUM($G$2:G1870)</f>
        <v>11920</v>
      </c>
      <c r="I1870" s="10">
        <f t="shared" si="233"/>
        <v>0</v>
      </c>
      <c r="J1870" s="10">
        <f t="shared" si="238"/>
        <v>0</v>
      </c>
      <c r="K1870" s="3">
        <f t="shared" si="239"/>
        <v>11920</v>
      </c>
      <c r="L1870">
        <f t="shared" si="235"/>
        <v>0</v>
      </c>
      <c r="M1870">
        <f t="shared" si="234"/>
        <v>0</v>
      </c>
    </row>
    <row r="1871" spans="1:13" x14ac:dyDescent="0.25">
      <c r="A1871" s="9">
        <f>Speed!A1871</f>
        <v>0</v>
      </c>
      <c r="B1871" s="9">
        <f t="shared" si="236"/>
        <v>0</v>
      </c>
      <c r="C1871" s="2">
        <f>Speed!B1871</f>
        <v>0</v>
      </c>
      <c r="D1871" s="9">
        <f>Odometer!A1871</f>
        <v>0</v>
      </c>
      <c r="E1871" s="9">
        <f t="shared" si="232"/>
        <v>0</v>
      </c>
      <c r="F1871" s="2">
        <f>Odometer!B1871</f>
        <v>0</v>
      </c>
      <c r="G1871" s="2">
        <f t="shared" si="237"/>
        <v>0</v>
      </c>
      <c r="H1871" s="2">
        <f>SUM($G$2:G1871)</f>
        <v>11920</v>
      </c>
      <c r="I1871" s="10">
        <f t="shared" si="233"/>
        <v>0</v>
      </c>
      <c r="J1871" s="10">
        <f t="shared" si="238"/>
        <v>0</v>
      </c>
      <c r="K1871" s="3">
        <f t="shared" si="239"/>
        <v>11920</v>
      </c>
      <c r="L1871">
        <f t="shared" si="235"/>
        <v>0</v>
      </c>
      <c r="M1871">
        <f t="shared" si="234"/>
        <v>0</v>
      </c>
    </row>
    <row r="1872" spans="1:13" x14ac:dyDescent="0.25">
      <c r="A1872" s="9">
        <f>Speed!A1872</f>
        <v>0</v>
      </c>
      <c r="B1872" s="9">
        <f t="shared" si="236"/>
        <v>0</v>
      </c>
      <c r="C1872" s="2">
        <f>Speed!B1872</f>
        <v>0</v>
      </c>
      <c r="D1872" s="9">
        <f>Odometer!A1872</f>
        <v>0</v>
      </c>
      <c r="E1872" s="9">
        <f t="shared" si="232"/>
        <v>0</v>
      </c>
      <c r="F1872" s="2">
        <f>Odometer!B1872</f>
        <v>0</v>
      </c>
      <c r="G1872" s="2">
        <f t="shared" si="237"/>
        <v>0</v>
      </c>
      <c r="H1872" s="2">
        <f>SUM($G$2:G1872)</f>
        <v>11920</v>
      </c>
      <c r="I1872" s="10">
        <f t="shared" si="233"/>
        <v>0</v>
      </c>
      <c r="J1872" s="10">
        <f t="shared" si="238"/>
        <v>0</v>
      </c>
      <c r="K1872" s="3">
        <f t="shared" si="239"/>
        <v>11920</v>
      </c>
      <c r="L1872">
        <f t="shared" si="235"/>
        <v>0</v>
      </c>
      <c r="M1872">
        <f t="shared" si="234"/>
        <v>0</v>
      </c>
    </row>
    <row r="1873" spans="1:13" x14ac:dyDescent="0.25">
      <c r="A1873" s="9">
        <f>Speed!A1873</f>
        <v>0</v>
      </c>
      <c r="B1873" s="9">
        <f t="shared" si="236"/>
        <v>0</v>
      </c>
      <c r="C1873" s="2">
        <f>Speed!B1873</f>
        <v>0</v>
      </c>
      <c r="D1873" s="9">
        <f>Odometer!A1873</f>
        <v>0</v>
      </c>
      <c r="E1873" s="9">
        <f t="shared" si="232"/>
        <v>0</v>
      </c>
      <c r="F1873" s="2">
        <f>Odometer!B1873</f>
        <v>0</v>
      </c>
      <c r="G1873" s="2">
        <f t="shared" si="237"/>
        <v>0</v>
      </c>
      <c r="H1873" s="2">
        <f>SUM($G$2:G1873)</f>
        <v>11920</v>
      </c>
      <c r="I1873" s="10">
        <f t="shared" si="233"/>
        <v>0</v>
      </c>
      <c r="J1873" s="10">
        <f t="shared" si="238"/>
        <v>0</v>
      </c>
      <c r="K1873" s="3">
        <f t="shared" si="239"/>
        <v>11920</v>
      </c>
      <c r="L1873">
        <f t="shared" si="235"/>
        <v>0</v>
      </c>
      <c r="M1873">
        <f t="shared" si="234"/>
        <v>0</v>
      </c>
    </row>
    <row r="1874" spans="1:13" x14ac:dyDescent="0.25">
      <c r="A1874" s="9">
        <f>Speed!A1874</f>
        <v>0</v>
      </c>
      <c r="B1874" s="9">
        <f t="shared" si="236"/>
        <v>0</v>
      </c>
      <c r="C1874" s="2">
        <f>Speed!B1874</f>
        <v>0</v>
      </c>
      <c r="D1874" s="9">
        <f>Odometer!A1874</f>
        <v>0</v>
      </c>
      <c r="E1874" s="9">
        <f t="shared" si="232"/>
        <v>0</v>
      </c>
      <c r="F1874" s="2">
        <f>Odometer!B1874</f>
        <v>0</v>
      </c>
      <c r="G1874" s="2">
        <f t="shared" si="237"/>
        <v>0</v>
      </c>
      <c r="H1874" s="2">
        <f>SUM($G$2:G1874)</f>
        <v>11920</v>
      </c>
      <c r="I1874" s="10">
        <f t="shared" si="233"/>
        <v>0</v>
      </c>
      <c r="J1874" s="10">
        <f t="shared" si="238"/>
        <v>0</v>
      </c>
      <c r="K1874" s="3">
        <f t="shared" si="239"/>
        <v>11920</v>
      </c>
      <c r="L1874">
        <f t="shared" si="235"/>
        <v>0</v>
      </c>
      <c r="M1874">
        <f t="shared" si="234"/>
        <v>0</v>
      </c>
    </row>
    <row r="1875" spans="1:13" x14ac:dyDescent="0.25">
      <c r="A1875" s="9">
        <f>Speed!A1875</f>
        <v>0</v>
      </c>
      <c r="B1875" s="9">
        <f t="shared" si="236"/>
        <v>0</v>
      </c>
      <c r="C1875" s="2">
        <f>Speed!B1875</f>
        <v>0</v>
      </c>
      <c r="D1875" s="9">
        <f>Odometer!A1875</f>
        <v>0</v>
      </c>
      <c r="E1875" s="9">
        <f t="shared" si="232"/>
        <v>0</v>
      </c>
      <c r="F1875" s="2">
        <f>Odometer!B1875</f>
        <v>0</v>
      </c>
      <c r="G1875" s="2">
        <f t="shared" si="237"/>
        <v>0</v>
      </c>
      <c r="H1875" s="2">
        <f>SUM($G$2:G1875)</f>
        <v>11920</v>
      </c>
      <c r="I1875" s="10">
        <f t="shared" si="233"/>
        <v>0</v>
      </c>
      <c r="J1875" s="10">
        <f t="shared" si="238"/>
        <v>0</v>
      </c>
      <c r="K1875" s="3">
        <f t="shared" si="239"/>
        <v>11920</v>
      </c>
      <c r="L1875">
        <f t="shared" si="235"/>
        <v>0</v>
      </c>
      <c r="M1875">
        <f t="shared" si="234"/>
        <v>0</v>
      </c>
    </row>
    <row r="1876" spans="1:13" x14ac:dyDescent="0.25">
      <c r="A1876" s="9">
        <f>Speed!A1876</f>
        <v>0</v>
      </c>
      <c r="B1876" s="9">
        <f t="shared" si="236"/>
        <v>0</v>
      </c>
      <c r="C1876" s="2">
        <f>Speed!B1876</f>
        <v>0</v>
      </c>
      <c r="D1876" s="9">
        <f>Odometer!A1876</f>
        <v>0</v>
      </c>
      <c r="E1876" s="9">
        <f t="shared" si="232"/>
        <v>0</v>
      </c>
      <c r="F1876" s="2">
        <f>Odometer!B1876</f>
        <v>0</v>
      </c>
      <c r="G1876" s="2">
        <f t="shared" si="237"/>
        <v>0</v>
      </c>
      <c r="H1876" s="2">
        <f>SUM($G$2:G1876)</f>
        <v>11920</v>
      </c>
      <c r="I1876" s="10">
        <f t="shared" si="233"/>
        <v>0</v>
      </c>
      <c r="J1876" s="10">
        <f t="shared" si="238"/>
        <v>0</v>
      </c>
      <c r="K1876" s="3">
        <f t="shared" si="239"/>
        <v>11920</v>
      </c>
      <c r="L1876">
        <f t="shared" si="235"/>
        <v>0</v>
      </c>
      <c r="M1876">
        <f t="shared" si="234"/>
        <v>0</v>
      </c>
    </row>
    <row r="1877" spans="1:13" x14ac:dyDescent="0.25">
      <c r="A1877" s="9">
        <f>Speed!A1877</f>
        <v>0</v>
      </c>
      <c r="B1877" s="9">
        <f t="shared" si="236"/>
        <v>0</v>
      </c>
      <c r="C1877" s="2">
        <f>Speed!B1877</f>
        <v>0</v>
      </c>
      <c r="D1877" s="9">
        <f>Odometer!A1877</f>
        <v>0</v>
      </c>
      <c r="E1877" s="9">
        <f t="shared" si="232"/>
        <v>0</v>
      </c>
      <c r="F1877" s="2">
        <f>Odometer!B1877</f>
        <v>0</v>
      </c>
      <c r="G1877" s="2">
        <f t="shared" si="237"/>
        <v>0</v>
      </c>
      <c r="H1877" s="2">
        <f>SUM($G$2:G1877)</f>
        <v>11920</v>
      </c>
      <c r="I1877" s="10">
        <f t="shared" si="233"/>
        <v>0</v>
      </c>
      <c r="J1877" s="10">
        <f t="shared" si="238"/>
        <v>0</v>
      </c>
      <c r="K1877" s="3">
        <f t="shared" si="239"/>
        <v>11920</v>
      </c>
      <c r="L1877">
        <f t="shared" si="235"/>
        <v>0</v>
      </c>
      <c r="M1877">
        <f t="shared" si="234"/>
        <v>0</v>
      </c>
    </row>
    <row r="1878" spans="1:13" x14ac:dyDescent="0.25">
      <c r="A1878" s="9">
        <f>Speed!A1878</f>
        <v>0</v>
      </c>
      <c r="B1878" s="9">
        <f t="shared" si="236"/>
        <v>0</v>
      </c>
      <c r="C1878" s="2">
        <f>Speed!B1878</f>
        <v>0</v>
      </c>
      <c r="D1878" s="9">
        <f>Odometer!A1878</f>
        <v>0</v>
      </c>
      <c r="E1878" s="9">
        <f t="shared" si="232"/>
        <v>0</v>
      </c>
      <c r="F1878" s="2">
        <f>Odometer!B1878</f>
        <v>0</v>
      </c>
      <c r="G1878" s="2">
        <f t="shared" si="237"/>
        <v>0</v>
      </c>
      <c r="H1878" s="2">
        <f>SUM($G$2:G1878)</f>
        <v>11920</v>
      </c>
      <c r="I1878" s="10">
        <f t="shared" si="233"/>
        <v>0</v>
      </c>
      <c r="J1878" s="10">
        <f t="shared" si="238"/>
        <v>0</v>
      </c>
      <c r="K1878" s="3">
        <f t="shared" si="239"/>
        <v>11920</v>
      </c>
      <c r="L1878">
        <f t="shared" si="235"/>
        <v>0</v>
      </c>
      <c r="M1878">
        <f t="shared" si="234"/>
        <v>0</v>
      </c>
    </row>
    <row r="1879" spans="1:13" x14ac:dyDescent="0.25">
      <c r="A1879" s="9">
        <f>Speed!A1879</f>
        <v>0</v>
      </c>
      <c r="B1879" s="9">
        <f t="shared" si="236"/>
        <v>0</v>
      </c>
      <c r="C1879" s="2">
        <f>Speed!B1879</f>
        <v>0</v>
      </c>
      <c r="D1879" s="9">
        <f>Odometer!A1879</f>
        <v>0</v>
      </c>
      <c r="E1879" s="9">
        <f t="shared" si="232"/>
        <v>0</v>
      </c>
      <c r="F1879" s="2">
        <f>Odometer!B1879</f>
        <v>0</v>
      </c>
      <c r="G1879" s="2">
        <f t="shared" si="237"/>
        <v>0</v>
      </c>
      <c r="H1879" s="2">
        <f>SUM($G$2:G1879)</f>
        <v>11920</v>
      </c>
      <c r="I1879" s="10">
        <f t="shared" si="233"/>
        <v>0</v>
      </c>
      <c r="J1879" s="10">
        <f t="shared" si="238"/>
        <v>0</v>
      </c>
      <c r="K1879" s="3">
        <f t="shared" si="239"/>
        <v>11920</v>
      </c>
      <c r="L1879">
        <f t="shared" si="235"/>
        <v>0</v>
      </c>
      <c r="M1879">
        <f t="shared" si="234"/>
        <v>0</v>
      </c>
    </row>
    <row r="1880" spans="1:13" x14ac:dyDescent="0.25">
      <c r="A1880" s="9">
        <f>Speed!A1880</f>
        <v>0</v>
      </c>
      <c r="B1880" s="9">
        <f t="shared" si="236"/>
        <v>0</v>
      </c>
      <c r="C1880" s="2">
        <f>Speed!B1880</f>
        <v>0</v>
      </c>
      <c r="D1880" s="9">
        <f>Odometer!A1880</f>
        <v>0</v>
      </c>
      <c r="E1880" s="9">
        <f t="shared" si="232"/>
        <v>0</v>
      </c>
      <c r="F1880" s="2">
        <f>Odometer!B1880</f>
        <v>0</v>
      </c>
      <c r="G1880" s="2">
        <f t="shared" si="237"/>
        <v>0</v>
      </c>
      <c r="H1880" s="2">
        <f>SUM($G$2:G1880)</f>
        <v>11920</v>
      </c>
      <c r="I1880" s="10">
        <f t="shared" si="233"/>
        <v>0</v>
      </c>
      <c r="J1880" s="10">
        <f t="shared" si="238"/>
        <v>0</v>
      </c>
      <c r="K1880" s="3">
        <f t="shared" si="239"/>
        <v>11920</v>
      </c>
      <c r="L1880">
        <f t="shared" si="235"/>
        <v>0</v>
      </c>
      <c r="M1880">
        <f t="shared" si="234"/>
        <v>0</v>
      </c>
    </row>
    <row r="1881" spans="1:13" x14ac:dyDescent="0.25">
      <c r="A1881" s="9">
        <f>Speed!A1881</f>
        <v>0</v>
      </c>
      <c r="B1881" s="9">
        <f t="shared" si="236"/>
        <v>0</v>
      </c>
      <c r="C1881" s="2">
        <f>Speed!B1881</f>
        <v>0</v>
      </c>
      <c r="D1881" s="9">
        <f>Odometer!A1881</f>
        <v>0</v>
      </c>
      <c r="E1881" s="9">
        <f t="shared" si="232"/>
        <v>0</v>
      </c>
      <c r="F1881" s="2">
        <f>Odometer!B1881</f>
        <v>0</v>
      </c>
      <c r="G1881" s="2">
        <f t="shared" si="237"/>
        <v>0</v>
      </c>
      <c r="H1881" s="2">
        <f>SUM($G$2:G1881)</f>
        <v>11920</v>
      </c>
      <c r="I1881" s="10">
        <f t="shared" si="233"/>
        <v>0</v>
      </c>
      <c r="J1881" s="10">
        <f t="shared" si="238"/>
        <v>0</v>
      </c>
      <c r="K1881" s="3">
        <f t="shared" si="239"/>
        <v>11920</v>
      </c>
      <c r="L1881">
        <f t="shared" si="235"/>
        <v>0</v>
      </c>
      <c r="M1881">
        <f t="shared" si="234"/>
        <v>0</v>
      </c>
    </row>
    <row r="1882" spans="1:13" x14ac:dyDescent="0.25">
      <c r="A1882" s="9">
        <f>Speed!A1882</f>
        <v>0</v>
      </c>
      <c r="B1882" s="9">
        <f t="shared" si="236"/>
        <v>0</v>
      </c>
      <c r="C1882" s="2">
        <f>Speed!B1882</f>
        <v>0</v>
      </c>
      <c r="D1882" s="9">
        <f>Odometer!A1882</f>
        <v>0</v>
      </c>
      <c r="E1882" s="9">
        <f t="shared" si="232"/>
        <v>0</v>
      </c>
      <c r="F1882" s="2">
        <f>Odometer!B1882</f>
        <v>0</v>
      </c>
      <c r="G1882" s="2">
        <f t="shared" si="237"/>
        <v>0</v>
      </c>
      <c r="H1882" s="2">
        <f>SUM($G$2:G1882)</f>
        <v>11920</v>
      </c>
      <c r="I1882" s="10">
        <f t="shared" si="233"/>
        <v>0</v>
      </c>
      <c r="J1882" s="10">
        <f t="shared" si="238"/>
        <v>0</v>
      </c>
      <c r="K1882" s="3">
        <f t="shared" si="239"/>
        <v>11920</v>
      </c>
      <c r="L1882">
        <f t="shared" si="235"/>
        <v>0</v>
      </c>
      <c r="M1882">
        <f t="shared" si="234"/>
        <v>0</v>
      </c>
    </row>
    <row r="1883" spans="1:13" x14ac:dyDescent="0.25">
      <c r="A1883" s="9">
        <f>Speed!A1883</f>
        <v>0</v>
      </c>
      <c r="B1883" s="9">
        <f t="shared" si="236"/>
        <v>0</v>
      </c>
      <c r="C1883" s="2">
        <f>Speed!B1883</f>
        <v>0</v>
      </c>
      <c r="D1883" s="9">
        <f>Odometer!A1883</f>
        <v>0</v>
      </c>
      <c r="E1883" s="9">
        <f t="shared" si="232"/>
        <v>0</v>
      </c>
      <c r="F1883" s="2">
        <f>Odometer!B1883</f>
        <v>0</v>
      </c>
      <c r="G1883" s="2">
        <f t="shared" si="237"/>
        <v>0</v>
      </c>
      <c r="H1883" s="2">
        <f>SUM($G$2:G1883)</f>
        <v>11920</v>
      </c>
      <c r="I1883" s="10">
        <f t="shared" si="233"/>
        <v>0</v>
      </c>
      <c r="J1883" s="10">
        <f t="shared" si="238"/>
        <v>0</v>
      </c>
      <c r="K1883" s="3">
        <f t="shared" si="239"/>
        <v>11920</v>
      </c>
      <c r="L1883">
        <f t="shared" si="235"/>
        <v>0</v>
      </c>
      <c r="M1883">
        <f t="shared" si="234"/>
        <v>0</v>
      </c>
    </row>
    <row r="1884" spans="1:13" x14ac:dyDescent="0.25">
      <c r="A1884" s="9">
        <f>Speed!A1884</f>
        <v>0</v>
      </c>
      <c r="B1884" s="9">
        <f t="shared" si="236"/>
        <v>0</v>
      </c>
      <c r="C1884" s="2">
        <f>Speed!B1884</f>
        <v>0</v>
      </c>
      <c r="D1884" s="9">
        <f>Odometer!A1884</f>
        <v>0</v>
      </c>
      <c r="E1884" s="9">
        <f t="shared" si="232"/>
        <v>0</v>
      </c>
      <c r="F1884" s="2">
        <f>Odometer!B1884</f>
        <v>0</v>
      </c>
      <c r="G1884" s="2">
        <f t="shared" si="237"/>
        <v>0</v>
      </c>
      <c r="H1884" s="2">
        <f>SUM($G$2:G1884)</f>
        <v>11920</v>
      </c>
      <c r="I1884" s="10">
        <f t="shared" si="233"/>
        <v>0</v>
      </c>
      <c r="J1884" s="10">
        <f t="shared" si="238"/>
        <v>0</v>
      </c>
      <c r="K1884" s="3">
        <f t="shared" si="239"/>
        <v>11920</v>
      </c>
      <c r="L1884">
        <f t="shared" si="235"/>
        <v>0</v>
      </c>
      <c r="M1884">
        <f t="shared" si="234"/>
        <v>0</v>
      </c>
    </row>
    <row r="1885" spans="1:13" x14ac:dyDescent="0.25">
      <c r="A1885" s="9">
        <f>Speed!A1885</f>
        <v>0</v>
      </c>
      <c r="B1885" s="9">
        <f t="shared" si="236"/>
        <v>0</v>
      </c>
      <c r="C1885" s="2">
        <f>Speed!B1885</f>
        <v>0</v>
      </c>
      <c r="D1885" s="9">
        <f>Odometer!A1885</f>
        <v>0</v>
      </c>
      <c r="E1885" s="9">
        <f t="shared" ref="E1885:E1948" si="240">MROUND(D1885,"00:00:01")</f>
        <v>0</v>
      </c>
      <c r="F1885" s="2">
        <f>Odometer!B1885</f>
        <v>0</v>
      </c>
      <c r="G1885" s="2">
        <f t="shared" si="237"/>
        <v>0</v>
      </c>
      <c r="H1885" s="2">
        <f>SUM($G$2:G1885)</f>
        <v>11920</v>
      </c>
      <c r="I1885" s="10">
        <f t="shared" ref="I1885:I1948" si="241">A1885</f>
        <v>0</v>
      </c>
      <c r="J1885" s="10">
        <f t="shared" si="238"/>
        <v>0</v>
      </c>
      <c r="K1885" s="3">
        <f t="shared" si="239"/>
        <v>11920</v>
      </c>
      <c r="L1885">
        <f t="shared" si="235"/>
        <v>0</v>
      </c>
      <c r="M1885">
        <f t="shared" ref="M1885:M1948" si="242">L1885*3.6</f>
        <v>0</v>
      </c>
    </row>
    <row r="1886" spans="1:13" x14ac:dyDescent="0.25">
      <c r="A1886" s="9">
        <f>Speed!A1886</f>
        <v>0</v>
      </c>
      <c r="B1886" s="9">
        <f t="shared" si="236"/>
        <v>0</v>
      </c>
      <c r="C1886" s="2">
        <f>Speed!B1886</f>
        <v>0</v>
      </c>
      <c r="D1886" s="9">
        <f>Odometer!A1886</f>
        <v>0</v>
      </c>
      <c r="E1886" s="9">
        <f t="shared" si="240"/>
        <v>0</v>
      </c>
      <c r="F1886" s="2">
        <f>Odometer!B1886</f>
        <v>0</v>
      </c>
      <c r="G1886" s="2">
        <f t="shared" si="237"/>
        <v>0</v>
      </c>
      <c r="H1886" s="2">
        <f>SUM($G$2:G1886)</f>
        <v>11920</v>
      </c>
      <c r="I1886" s="10">
        <f t="shared" si="241"/>
        <v>0</v>
      </c>
      <c r="J1886" s="10">
        <f t="shared" si="238"/>
        <v>0</v>
      </c>
      <c r="K1886" s="3">
        <f t="shared" si="239"/>
        <v>11920</v>
      </c>
      <c r="L1886">
        <f t="shared" si="235"/>
        <v>0</v>
      </c>
      <c r="M1886">
        <f t="shared" si="242"/>
        <v>0</v>
      </c>
    </row>
    <row r="1887" spans="1:13" x14ac:dyDescent="0.25">
      <c r="A1887" s="9">
        <f>Speed!A1887</f>
        <v>0</v>
      </c>
      <c r="B1887" s="9">
        <f t="shared" si="236"/>
        <v>0</v>
      </c>
      <c r="C1887" s="2">
        <f>Speed!B1887</f>
        <v>0</v>
      </c>
      <c r="D1887" s="9">
        <f>Odometer!A1887</f>
        <v>0</v>
      </c>
      <c r="E1887" s="9">
        <f t="shared" si="240"/>
        <v>0</v>
      </c>
      <c r="F1887" s="2">
        <f>Odometer!B1887</f>
        <v>0</v>
      </c>
      <c r="G1887" s="2">
        <f t="shared" si="237"/>
        <v>0</v>
      </c>
      <c r="H1887" s="2">
        <f>SUM($G$2:G1887)</f>
        <v>11920</v>
      </c>
      <c r="I1887" s="10">
        <f t="shared" si="241"/>
        <v>0</v>
      </c>
      <c r="J1887" s="10">
        <f t="shared" si="238"/>
        <v>0</v>
      </c>
      <c r="K1887" s="3">
        <f t="shared" si="239"/>
        <v>11920</v>
      </c>
      <c r="L1887">
        <f t="shared" si="235"/>
        <v>0</v>
      </c>
      <c r="M1887">
        <f t="shared" si="242"/>
        <v>0</v>
      </c>
    </row>
    <row r="1888" spans="1:13" x14ac:dyDescent="0.25">
      <c r="A1888" s="9">
        <f>Speed!A1888</f>
        <v>0</v>
      </c>
      <c r="B1888" s="9">
        <f t="shared" si="236"/>
        <v>0</v>
      </c>
      <c r="C1888" s="2">
        <f>Speed!B1888</f>
        <v>0</v>
      </c>
      <c r="D1888" s="9">
        <f>Odometer!A1888</f>
        <v>0</v>
      </c>
      <c r="E1888" s="9">
        <f t="shared" si="240"/>
        <v>0</v>
      </c>
      <c r="F1888" s="2">
        <f>Odometer!B1888</f>
        <v>0</v>
      </c>
      <c r="G1888" s="2">
        <f t="shared" si="237"/>
        <v>0</v>
      </c>
      <c r="H1888" s="2">
        <f>SUM($G$2:G1888)</f>
        <v>11920</v>
      </c>
      <c r="I1888" s="10">
        <f t="shared" si="241"/>
        <v>0</v>
      </c>
      <c r="J1888" s="10">
        <f t="shared" si="238"/>
        <v>0</v>
      </c>
      <c r="K1888" s="3">
        <f t="shared" si="239"/>
        <v>11920</v>
      </c>
      <c r="L1888">
        <f t="shared" si="235"/>
        <v>0</v>
      </c>
      <c r="M1888">
        <f t="shared" si="242"/>
        <v>0</v>
      </c>
    </row>
    <row r="1889" spans="1:13" x14ac:dyDescent="0.25">
      <c r="A1889" s="9">
        <f>Speed!A1889</f>
        <v>0</v>
      </c>
      <c r="B1889" s="9">
        <f t="shared" si="236"/>
        <v>0</v>
      </c>
      <c r="C1889" s="2">
        <f>Speed!B1889</f>
        <v>0</v>
      </c>
      <c r="D1889" s="9">
        <f>Odometer!A1889</f>
        <v>0</v>
      </c>
      <c r="E1889" s="9">
        <f t="shared" si="240"/>
        <v>0</v>
      </c>
      <c r="F1889" s="2">
        <f>Odometer!B1889</f>
        <v>0</v>
      </c>
      <c r="G1889" s="2">
        <f t="shared" si="237"/>
        <v>0</v>
      </c>
      <c r="H1889" s="2">
        <f>SUM($G$2:G1889)</f>
        <v>11920</v>
      </c>
      <c r="I1889" s="10">
        <f t="shared" si="241"/>
        <v>0</v>
      </c>
      <c r="J1889" s="10">
        <f t="shared" si="238"/>
        <v>0</v>
      </c>
      <c r="K1889" s="3">
        <f t="shared" si="239"/>
        <v>11920</v>
      </c>
      <c r="L1889">
        <f t="shared" si="235"/>
        <v>0</v>
      </c>
      <c r="M1889">
        <f t="shared" si="242"/>
        <v>0</v>
      </c>
    </row>
    <row r="1890" spans="1:13" x14ac:dyDescent="0.25">
      <c r="A1890" s="9">
        <f>Speed!A1890</f>
        <v>0</v>
      </c>
      <c r="B1890" s="9">
        <f t="shared" si="236"/>
        <v>0</v>
      </c>
      <c r="C1890" s="2">
        <f>Speed!B1890</f>
        <v>0</v>
      </c>
      <c r="D1890" s="9">
        <f>Odometer!A1890</f>
        <v>0</v>
      </c>
      <c r="E1890" s="9">
        <f t="shared" si="240"/>
        <v>0</v>
      </c>
      <c r="F1890" s="2">
        <f>Odometer!B1890</f>
        <v>0</v>
      </c>
      <c r="G1890" s="2">
        <f t="shared" si="237"/>
        <v>0</v>
      </c>
      <c r="H1890" s="2">
        <f>SUM($G$2:G1890)</f>
        <v>11920</v>
      </c>
      <c r="I1890" s="10">
        <f t="shared" si="241"/>
        <v>0</v>
      </c>
      <c r="J1890" s="10">
        <f t="shared" si="238"/>
        <v>0</v>
      </c>
      <c r="K1890" s="3">
        <f t="shared" si="239"/>
        <v>11920</v>
      </c>
      <c r="L1890">
        <f t="shared" si="235"/>
        <v>0</v>
      </c>
      <c r="M1890">
        <f t="shared" si="242"/>
        <v>0</v>
      </c>
    </row>
    <row r="1891" spans="1:13" x14ac:dyDescent="0.25">
      <c r="A1891" s="9">
        <f>Speed!A1891</f>
        <v>0</v>
      </c>
      <c r="B1891" s="9">
        <f t="shared" si="236"/>
        <v>0</v>
      </c>
      <c r="C1891" s="2">
        <f>Speed!B1891</f>
        <v>0</v>
      </c>
      <c r="D1891" s="9">
        <f>Odometer!A1891</f>
        <v>0</v>
      </c>
      <c r="E1891" s="9">
        <f t="shared" si="240"/>
        <v>0</v>
      </c>
      <c r="F1891" s="2">
        <f>Odometer!B1891</f>
        <v>0</v>
      </c>
      <c r="G1891" s="2">
        <f t="shared" si="237"/>
        <v>0</v>
      </c>
      <c r="H1891" s="2">
        <f>SUM($G$2:G1891)</f>
        <v>11920</v>
      </c>
      <c r="I1891" s="10">
        <f t="shared" si="241"/>
        <v>0</v>
      </c>
      <c r="J1891" s="10">
        <f t="shared" si="238"/>
        <v>0</v>
      </c>
      <c r="K1891" s="3">
        <f t="shared" si="239"/>
        <v>11920</v>
      </c>
      <c r="L1891">
        <f t="shared" si="235"/>
        <v>0</v>
      </c>
      <c r="M1891">
        <f t="shared" si="242"/>
        <v>0</v>
      </c>
    </row>
    <row r="1892" spans="1:13" x14ac:dyDescent="0.25">
      <c r="A1892" s="9">
        <f>Speed!A1892</f>
        <v>0</v>
      </c>
      <c r="B1892" s="9">
        <f t="shared" si="236"/>
        <v>0</v>
      </c>
      <c r="C1892" s="2">
        <f>Speed!B1892</f>
        <v>0</v>
      </c>
      <c r="D1892" s="9">
        <f>Odometer!A1892</f>
        <v>0</v>
      </c>
      <c r="E1892" s="9">
        <f t="shared" si="240"/>
        <v>0</v>
      </c>
      <c r="F1892" s="2">
        <f>Odometer!B1892</f>
        <v>0</v>
      </c>
      <c r="G1892" s="2">
        <f t="shared" si="237"/>
        <v>0</v>
      </c>
      <c r="H1892" s="2">
        <f>SUM($G$2:G1892)</f>
        <v>11920</v>
      </c>
      <c r="I1892" s="10">
        <f t="shared" si="241"/>
        <v>0</v>
      </c>
      <c r="J1892" s="10">
        <f t="shared" si="238"/>
        <v>0</v>
      </c>
      <c r="K1892" s="3">
        <f t="shared" si="239"/>
        <v>11920</v>
      </c>
      <c r="L1892">
        <f t="shared" si="235"/>
        <v>0</v>
      </c>
      <c r="M1892">
        <f t="shared" si="242"/>
        <v>0</v>
      </c>
    </row>
    <row r="1893" spans="1:13" x14ac:dyDescent="0.25">
      <c r="A1893" s="9">
        <f>Speed!A1893</f>
        <v>0</v>
      </c>
      <c r="B1893" s="9">
        <f t="shared" si="236"/>
        <v>0</v>
      </c>
      <c r="C1893" s="2">
        <f>Speed!B1893</f>
        <v>0</v>
      </c>
      <c r="D1893" s="9">
        <f>Odometer!A1893</f>
        <v>0</v>
      </c>
      <c r="E1893" s="9">
        <f t="shared" si="240"/>
        <v>0</v>
      </c>
      <c r="F1893" s="2">
        <f>Odometer!B1893</f>
        <v>0</v>
      </c>
      <c r="G1893" s="2">
        <f t="shared" si="237"/>
        <v>0</v>
      </c>
      <c r="H1893" s="2">
        <f>SUM($G$2:G1893)</f>
        <v>11920</v>
      </c>
      <c r="I1893" s="10">
        <f t="shared" si="241"/>
        <v>0</v>
      </c>
      <c r="J1893" s="10">
        <f t="shared" si="238"/>
        <v>0</v>
      </c>
      <c r="K1893" s="3">
        <f t="shared" si="239"/>
        <v>11920</v>
      </c>
      <c r="L1893">
        <f t="shared" si="235"/>
        <v>0</v>
      </c>
      <c r="M1893">
        <f t="shared" si="242"/>
        <v>0</v>
      </c>
    </row>
    <row r="1894" spans="1:13" x14ac:dyDescent="0.25">
      <c r="A1894" s="9">
        <f>Speed!A1894</f>
        <v>0</v>
      </c>
      <c r="B1894" s="9">
        <f t="shared" si="236"/>
        <v>0</v>
      </c>
      <c r="C1894" s="2">
        <f>Speed!B1894</f>
        <v>0</v>
      </c>
      <c r="D1894" s="9">
        <f>Odometer!A1894</f>
        <v>0</v>
      </c>
      <c r="E1894" s="9">
        <f t="shared" si="240"/>
        <v>0</v>
      </c>
      <c r="F1894" s="2">
        <f>Odometer!B1894</f>
        <v>0</v>
      </c>
      <c r="G1894" s="2">
        <f t="shared" si="237"/>
        <v>0</v>
      </c>
      <c r="H1894" s="2">
        <f>SUM($G$2:G1894)</f>
        <v>11920</v>
      </c>
      <c r="I1894" s="10">
        <f t="shared" si="241"/>
        <v>0</v>
      </c>
      <c r="J1894" s="10">
        <f t="shared" si="238"/>
        <v>0</v>
      </c>
      <c r="K1894" s="3">
        <f t="shared" si="239"/>
        <v>11920</v>
      </c>
      <c r="L1894">
        <f t="shared" si="235"/>
        <v>0</v>
      </c>
      <c r="M1894">
        <f t="shared" si="242"/>
        <v>0</v>
      </c>
    </row>
    <row r="1895" spans="1:13" x14ac:dyDescent="0.25">
      <c r="A1895" s="9">
        <f>Speed!A1895</f>
        <v>0</v>
      </c>
      <c r="B1895" s="9">
        <f t="shared" si="236"/>
        <v>0</v>
      </c>
      <c r="C1895" s="2">
        <f>Speed!B1895</f>
        <v>0</v>
      </c>
      <c r="D1895" s="9">
        <f>Odometer!A1895</f>
        <v>0</v>
      </c>
      <c r="E1895" s="9">
        <f t="shared" si="240"/>
        <v>0</v>
      </c>
      <c r="F1895" s="2">
        <f>Odometer!B1895</f>
        <v>0</v>
      </c>
      <c r="G1895" s="2">
        <f t="shared" si="237"/>
        <v>0</v>
      </c>
      <c r="H1895" s="2">
        <f>SUM($G$2:G1895)</f>
        <v>11920</v>
      </c>
      <c r="I1895" s="10">
        <f t="shared" si="241"/>
        <v>0</v>
      </c>
      <c r="J1895" s="10">
        <f t="shared" si="238"/>
        <v>0</v>
      </c>
      <c r="K1895" s="3">
        <f t="shared" si="239"/>
        <v>11920</v>
      </c>
      <c r="L1895">
        <f t="shared" si="235"/>
        <v>0</v>
      </c>
      <c r="M1895">
        <f t="shared" si="242"/>
        <v>0</v>
      </c>
    </row>
    <row r="1896" spans="1:13" x14ac:dyDescent="0.25">
      <c r="A1896" s="9">
        <f>Speed!A1896</f>
        <v>0</v>
      </c>
      <c r="B1896" s="9">
        <f t="shared" si="236"/>
        <v>0</v>
      </c>
      <c r="C1896" s="2">
        <f>Speed!B1896</f>
        <v>0</v>
      </c>
      <c r="D1896" s="9">
        <f>Odometer!A1896</f>
        <v>0</v>
      </c>
      <c r="E1896" s="9">
        <f t="shared" si="240"/>
        <v>0</v>
      </c>
      <c r="F1896" s="2">
        <f>Odometer!B1896</f>
        <v>0</v>
      </c>
      <c r="G1896" s="2">
        <f t="shared" si="237"/>
        <v>0</v>
      </c>
      <c r="H1896" s="2">
        <f>SUM($G$2:G1896)</f>
        <v>11920</v>
      </c>
      <c r="I1896" s="10">
        <f t="shared" si="241"/>
        <v>0</v>
      </c>
      <c r="J1896" s="10">
        <f t="shared" si="238"/>
        <v>0</v>
      </c>
      <c r="K1896" s="3">
        <f t="shared" si="239"/>
        <v>11920</v>
      </c>
      <c r="L1896">
        <f t="shared" si="235"/>
        <v>0</v>
      </c>
      <c r="M1896">
        <f t="shared" si="242"/>
        <v>0</v>
      </c>
    </row>
    <row r="1897" spans="1:13" x14ac:dyDescent="0.25">
      <c r="A1897" s="9">
        <f>Speed!A1897</f>
        <v>0</v>
      </c>
      <c r="B1897" s="9">
        <f t="shared" si="236"/>
        <v>0</v>
      </c>
      <c r="C1897" s="2">
        <f>Speed!B1897</f>
        <v>0</v>
      </c>
      <c r="D1897" s="9">
        <f>Odometer!A1897</f>
        <v>0</v>
      </c>
      <c r="E1897" s="9">
        <f t="shared" si="240"/>
        <v>0</v>
      </c>
      <c r="F1897" s="2">
        <f>Odometer!B1897</f>
        <v>0</v>
      </c>
      <c r="G1897" s="2">
        <f t="shared" si="237"/>
        <v>0</v>
      </c>
      <c r="H1897" s="2">
        <f>SUM($G$2:G1897)</f>
        <v>11920</v>
      </c>
      <c r="I1897" s="10">
        <f t="shared" si="241"/>
        <v>0</v>
      </c>
      <c r="J1897" s="10">
        <f t="shared" si="238"/>
        <v>0</v>
      </c>
      <c r="K1897" s="3">
        <f t="shared" si="239"/>
        <v>11920</v>
      </c>
      <c r="L1897">
        <f t="shared" si="235"/>
        <v>0</v>
      </c>
      <c r="M1897">
        <f t="shared" si="242"/>
        <v>0</v>
      </c>
    </row>
    <row r="1898" spans="1:13" x14ac:dyDescent="0.25">
      <c r="A1898" s="9">
        <f>Speed!A1898</f>
        <v>0</v>
      </c>
      <c r="B1898" s="9">
        <f t="shared" si="236"/>
        <v>0</v>
      </c>
      <c r="C1898" s="2">
        <f>Speed!B1898</f>
        <v>0</v>
      </c>
      <c r="D1898" s="9">
        <f>Odometer!A1898</f>
        <v>0</v>
      </c>
      <c r="E1898" s="9">
        <f t="shared" si="240"/>
        <v>0</v>
      </c>
      <c r="F1898" s="2">
        <f>Odometer!B1898</f>
        <v>0</v>
      </c>
      <c r="G1898" s="2">
        <f t="shared" si="237"/>
        <v>0</v>
      </c>
      <c r="H1898" s="2">
        <f>SUM($G$2:G1898)</f>
        <v>11920</v>
      </c>
      <c r="I1898" s="10">
        <f t="shared" si="241"/>
        <v>0</v>
      </c>
      <c r="J1898" s="10">
        <f t="shared" si="238"/>
        <v>0</v>
      </c>
      <c r="K1898" s="3">
        <f t="shared" si="239"/>
        <v>11920</v>
      </c>
      <c r="L1898">
        <f t="shared" si="235"/>
        <v>0</v>
      </c>
      <c r="M1898">
        <f t="shared" si="242"/>
        <v>0</v>
      </c>
    </row>
    <row r="1899" spans="1:13" x14ac:dyDescent="0.25">
      <c r="A1899" s="9">
        <f>Speed!A1899</f>
        <v>0</v>
      </c>
      <c r="B1899" s="9">
        <f t="shared" si="236"/>
        <v>0</v>
      </c>
      <c r="C1899" s="2">
        <f>Speed!B1899</f>
        <v>0</v>
      </c>
      <c r="D1899" s="9">
        <f>Odometer!A1899</f>
        <v>0</v>
      </c>
      <c r="E1899" s="9">
        <f t="shared" si="240"/>
        <v>0</v>
      </c>
      <c r="F1899" s="2">
        <f>Odometer!B1899</f>
        <v>0</v>
      </c>
      <c r="G1899" s="2">
        <f t="shared" si="237"/>
        <v>0</v>
      </c>
      <c r="H1899" s="2">
        <f>SUM($G$2:G1899)</f>
        <v>11920</v>
      </c>
      <c r="I1899" s="10">
        <f t="shared" si="241"/>
        <v>0</v>
      </c>
      <c r="J1899" s="10">
        <f t="shared" si="238"/>
        <v>0</v>
      </c>
      <c r="K1899" s="3">
        <f t="shared" si="239"/>
        <v>11920</v>
      </c>
      <c r="L1899">
        <f t="shared" si="235"/>
        <v>0</v>
      </c>
      <c r="M1899">
        <f t="shared" si="242"/>
        <v>0</v>
      </c>
    </row>
    <row r="1900" spans="1:13" x14ac:dyDescent="0.25">
      <c r="A1900" s="9">
        <f>Speed!A1900</f>
        <v>0</v>
      </c>
      <c r="B1900" s="9">
        <f t="shared" si="236"/>
        <v>0</v>
      </c>
      <c r="C1900" s="2">
        <f>Speed!B1900</f>
        <v>0</v>
      </c>
      <c r="D1900" s="9">
        <f>Odometer!A1900</f>
        <v>0</v>
      </c>
      <c r="E1900" s="9">
        <f t="shared" si="240"/>
        <v>0</v>
      </c>
      <c r="F1900" s="2">
        <f>Odometer!B1900</f>
        <v>0</v>
      </c>
      <c r="G1900" s="2">
        <f t="shared" si="237"/>
        <v>0</v>
      </c>
      <c r="H1900" s="2">
        <f>SUM($G$2:G1900)</f>
        <v>11920</v>
      </c>
      <c r="I1900" s="10">
        <f t="shared" si="241"/>
        <v>0</v>
      </c>
      <c r="J1900" s="10">
        <f t="shared" si="238"/>
        <v>0</v>
      </c>
      <c r="K1900" s="3">
        <f t="shared" si="239"/>
        <v>11920</v>
      </c>
      <c r="L1900">
        <f t="shared" si="235"/>
        <v>0</v>
      </c>
      <c r="M1900">
        <f t="shared" si="242"/>
        <v>0</v>
      </c>
    </row>
    <row r="1901" spans="1:13" x14ac:dyDescent="0.25">
      <c r="A1901" s="9">
        <f>Speed!A1901</f>
        <v>0</v>
      </c>
      <c r="B1901" s="9">
        <f t="shared" si="236"/>
        <v>0</v>
      </c>
      <c r="C1901" s="2">
        <f>Speed!B1901</f>
        <v>0</v>
      </c>
      <c r="D1901" s="9">
        <f>Odometer!A1901</f>
        <v>0</v>
      </c>
      <c r="E1901" s="9">
        <f t="shared" si="240"/>
        <v>0</v>
      </c>
      <c r="F1901" s="2">
        <f>Odometer!B1901</f>
        <v>0</v>
      </c>
      <c r="G1901" s="2">
        <f t="shared" si="237"/>
        <v>0</v>
      </c>
      <c r="H1901" s="2">
        <f>SUM($G$2:G1901)</f>
        <v>11920</v>
      </c>
      <c r="I1901" s="10">
        <f t="shared" si="241"/>
        <v>0</v>
      </c>
      <c r="J1901" s="10">
        <f t="shared" si="238"/>
        <v>0</v>
      </c>
      <c r="K1901" s="3">
        <f t="shared" si="239"/>
        <v>11920</v>
      </c>
      <c r="L1901">
        <f t="shared" si="235"/>
        <v>0</v>
      </c>
      <c r="M1901">
        <f t="shared" si="242"/>
        <v>0</v>
      </c>
    </row>
    <row r="1902" spans="1:13" x14ac:dyDescent="0.25">
      <c r="A1902" s="9">
        <f>Speed!A1902</f>
        <v>0</v>
      </c>
      <c r="B1902" s="9">
        <f t="shared" si="236"/>
        <v>0</v>
      </c>
      <c r="C1902" s="2">
        <f>Speed!B1902</f>
        <v>0</v>
      </c>
      <c r="D1902" s="9">
        <f>Odometer!A1902</f>
        <v>0</v>
      </c>
      <c r="E1902" s="9">
        <f t="shared" si="240"/>
        <v>0</v>
      </c>
      <c r="F1902" s="2">
        <f>Odometer!B1902</f>
        <v>0</v>
      </c>
      <c r="G1902" s="2">
        <f t="shared" si="237"/>
        <v>0</v>
      </c>
      <c r="H1902" s="2">
        <f>SUM($G$2:G1902)</f>
        <v>11920</v>
      </c>
      <c r="I1902" s="10">
        <f t="shared" si="241"/>
        <v>0</v>
      </c>
      <c r="J1902" s="10">
        <f t="shared" si="238"/>
        <v>0</v>
      </c>
      <c r="K1902" s="3">
        <f t="shared" si="239"/>
        <v>11920</v>
      </c>
      <c r="L1902">
        <f t="shared" si="235"/>
        <v>0</v>
      </c>
      <c r="M1902">
        <f t="shared" si="242"/>
        <v>0</v>
      </c>
    </row>
    <row r="1903" spans="1:13" x14ac:dyDescent="0.25">
      <c r="A1903" s="9">
        <f>Speed!A1903</f>
        <v>0</v>
      </c>
      <c r="B1903" s="9">
        <f t="shared" si="236"/>
        <v>0</v>
      </c>
      <c r="C1903" s="2">
        <f>Speed!B1903</f>
        <v>0</v>
      </c>
      <c r="D1903" s="9">
        <f>Odometer!A1903</f>
        <v>0</v>
      </c>
      <c r="E1903" s="9">
        <f t="shared" si="240"/>
        <v>0</v>
      </c>
      <c r="F1903" s="2">
        <f>Odometer!B1903</f>
        <v>0</v>
      </c>
      <c r="G1903" s="2">
        <f t="shared" si="237"/>
        <v>0</v>
      </c>
      <c r="H1903" s="2">
        <f>SUM($G$2:G1903)</f>
        <v>11920</v>
      </c>
      <c r="I1903" s="10">
        <f t="shared" si="241"/>
        <v>0</v>
      </c>
      <c r="J1903" s="10">
        <f t="shared" si="238"/>
        <v>0</v>
      </c>
      <c r="K1903" s="3">
        <f t="shared" si="239"/>
        <v>11920</v>
      </c>
      <c r="L1903">
        <f t="shared" si="235"/>
        <v>0</v>
      </c>
      <c r="M1903">
        <f t="shared" si="242"/>
        <v>0</v>
      </c>
    </row>
    <row r="1904" spans="1:13" x14ac:dyDescent="0.25">
      <c r="A1904" s="9">
        <f>Speed!A1904</f>
        <v>0</v>
      </c>
      <c r="B1904" s="9">
        <f t="shared" si="236"/>
        <v>0</v>
      </c>
      <c r="C1904" s="2">
        <f>Speed!B1904</f>
        <v>0</v>
      </c>
      <c r="D1904" s="9">
        <f>Odometer!A1904</f>
        <v>0</v>
      </c>
      <c r="E1904" s="9">
        <f t="shared" si="240"/>
        <v>0</v>
      </c>
      <c r="F1904" s="2">
        <f>Odometer!B1904</f>
        <v>0</v>
      </c>
      <c r="G1904" s="2">
        <f t="shared" si="237"/>
        <v>0</v>
      </c>
      <c r="H1904" s="2">
        <f>SUM($G$2:G1904)</f>
        <v>11920</v>
      </c>
      <c r="I1904" s="10">
        <f t="shared" si="241"/>
        <v>0</v>
      </c>
      <c r="J1904" s="10">
        <f t="shared" si="238"/>
        <v>0</v>
      </c>
      <c r="K1904" s="3">
        <f t="shared" si="239"/>
        <v>11920</v>
      </c>
      <c r="L1904">
        <f t="shared" si="235"/>
        <v>0</v>
      </c>
      <c r="M1904">
        <f t="shared" si="242"/>
        <v>0</v>
      </c>
    </row>
    <row r="1905" spans="1:13" x14ac:dyDescent="0.25">
      <c r="A1905" s="9">
        <f>Speed!A1905</f>
        <v>0</v>
      </c>
      <c r="B1905" s="9">
        <f t="shared" si="236"/>
        <v>0</v>
      </c>
      <c r="C1905" s="2">
        <f>Speed!B1905</f>
        <v>0</v>
      </c>
      <c r="D1905" s="9">
        <f>Odometer!A1905</f>
        <v>0</v>
      </c>
      <c r="E1905" s="9">
        <f t="shared" si="240"/>
        <v>0</v>
      </c>
      <c r="F1905" s="2">
        <f>Odometer!B1905</f>
        <v>0</v>
      </c>
      <c r="G1905" s="2">
        <f t="shared" si="237"/>
        <v>0</v>
      </c>
      <c r="H1905" s="2">
        <f>SUM($G$2:G1905)</f>
        <v>11920</v>
      </c>
      <c r="I1905" s="10">
        <f t="shared" si="241"/>
        <v>0</v>
      </c>
      <c r="J1905" s="10">
        <f t="shared" si="238"/>
        <v>0</v>
      </c>
      <c r="K1905" s="3">
        <f t="shared" si="239"/>
        <v>11920</v>
      </c>
      <c r="L1905">
        <f t="shared" si="235"/>
        <v>0</v>
      </c>
      <c r="M1905">
        <f t="shared" si="242"/>
        <v>0</v>
      </c>
    </row>
    <row r="1906" spans="1:13" x14ac:dyDescent="0.25">
      <c r="A1906" s="9">
        <f>Speed!A1906</f>
        <v>0</v>
      </c>
      <c r="B1906" s="9">
        <f t="shared" si="236"/>
        <v>0</v>
      </c>
      <c r="C1906" s="2">
        <f>Speed!B1906</f>
        <v>0</v>
      </c>
      <c r="D1906" s="9">
        <f>Odometer!A1906</f>
        <v>0</v>
      </c>
      <c r="E1906" s="9">
        <f t="shared" si="240"/>
        <v>0</v>
      </c>
      <c r="F1906" s="2">
        <f>Odometer!B1906</f>
        <v>0</v>
      </c>
      <c r="G1906" s="2">
        <f t="shared" si="237"/>
        <v>0</v>
      </c>
      <c r="H1906" s="2">
        <f>SUM($G$2:G1906)</f>
        <v>11920</v>
      </c>
      <c r="I1906" s="10">
        <f t="shared" si="241"/>
        <v>0</v>
      </c>
      <c r="J1906" s="10">
        <f t="shared" si="238"/>
        <v>0</v>
      </c>
      <c r="K1906" s="3">
        <f t="shared" si="239"/>
        <v>11920</v>
      </c>
      <c r="L1906">
        <f t="shared" si="235"/>
        <v>0</v>
      </c>
      <c r="M1906">
        <f t="shared" si="242"/>
        <v>0</v>
      </c>
    </row>
    <row r="1907" spans="1:13" x14ac:dyDescent="0.25">
      <c r="A1907" s="9">
        <f>Speed!A1907</f>
        <v>0</v>
      </c>
      <c r="B1907" s="9">
        <f t="shared" si="236"/>
        <v>0</v>
      </c>
      <c r="C1907" s="2">
        <f>Speed!B1907</f>
        <v>0</v>
      </c>
      <c r="D1907" s="9">
        <f>Odometer!A1907</f>
        <v>0</v>
      </c>
      <c r="E1907" s="9">
        <f t="shared" si="240"/>
        <v>0</v>
      </c>
      <c r="F1907" s="2">
        <f>Odometer!B1907</f>
        <v>0</v>
      </c>
      <c r="G1907" s="2">
        <f t="shared" si="237"/>
        <v>0</v>
      </c>
      <c r="H1907" s="2">
        <f>SUM($G$2:G1907)</f>
        <v>11920</v>
      </c>
      <c r="I1907" s="10">
        <f t="shared" si="241"/>
        <v>0</v>
      </c>
      <c r="J1907" s="10">
        <f t="shared" si="238"/>
        <v>0</v>
      </c>
      <c r="K1907" s="3">
        <f t="shared" si="239"/>
        <v>11920</v>
      </c>
      <c r="L1907">
        <f t="shared" si="235"/>
        <v>0</v>
      </c>
      <c r="M1907">
        <f t="shared" si="242"/>
        <v>0</v>
      </c>
    </row>
    <row r="1908" spans="1:13" x14ac:dyDescent="0.25">
      <c r="A1908" s="9">
        <f>Speed!A1908</f>
        <v>0</v>
      </c>
      <c r="B1908" s="9">
        <f t="shared" si="236"/>
        <v>0</v>
      </c>
      <c r="C1908" s="2">
        <f>Speed!B1908</f>
        <v>0</v>
      </c>
      <c r="D1908" s="9">
        <f>Odometer!A1908</f>
        <v>0</v>
      </c>
      <c r="E1908" s="9">
        <f t="shared" si="240"/>
        <v>0</v>
      </c>
      <c r="F1908" s="2">
        <f>Odometer!B1908</f>
        <v>0</v>
      </c>
      <c r="G1908" s="2">
        <f t="shared" si="237"/>
        <v>0</v>
      </c>
      <c r="H1908" s="2">
        <f>SUM($G$2:G1908)</f>
        <v>11920</v>
      </c>
      <c r="I1908" s="10">
        <f t="shared" si="241"/>
        <v>0</v>
      </c>
      <c r="J1908" s="10">
        <f t="shared" si="238"/>
        <v>0</v>
      </c>
      <c r="K1908" s="3">
        <f t="shared" si="239"/>
        <v>11920</v>
      </c>
      <c r="L1908">
        <f t="shared" si="235"/>
        <v>0</v>
      </c>
      <c r="M1908">
        <f t="shared" si="242"/>
        <v>0</v>
      </c>
    </row>
    <row r="1909" spans="1:13" x14ac:dyDescent="0.25">
      <c r="A1909" s="9">
        <f>Speed!A1909</f>
        <v>0</v>
      </c>
      <c r="B1909" s="9">
        <f t="shared" si="236"/>
        <v>0</v>
      </c>
      <c r="C1909" s="2">
        <f>Speed!B1909</f>
        <v>0</v>
      </c>
      <c r="D1909" s="9">
        <f>Odometer!A1909</f>
        <v>0</v>
      </c>
      <c r="E1909" s="9">
        <f t="shared" si="240"/>
        <v>0</v>
      </c>
      <c r="F1909" s="2">
        <f>Odometer!B1909</f>
        <v>0</v>
      </c>
      <c r="G1909" s="2">
        <f t="shared" si="237"/>
        <v>0</v>
      </c>
      <c r="H1909" s="2">
        <f>SUM($G$2:G1909)</f>
        <v>11920</v>
      </c>
      <c r="I1909" s="10">
        <f t="shared" si="241"/>
        <v>0</v>
      </c>
      <c r="J1909" s="10">
        <f t="shared" si="238"/>
        <v>0</v>
      </c>
      <c r="K1909" s="3">
        <f t="shared" si="239"/>
        <v>11920</v>
      </c>
      <c r="L1909">
        <f t="shared" si="235"/>
        <v>0</v>
      </c>
      <c r="M1909">
        <f t="shared" si="242"/>
        <v>0</v>
      </c>
    </row>
    <row r="1910" spans="1:13" x14ac:dyDescent="0.25">
      <c r="A1910" s="9">
        <f>Speed!A1910</f>
        <v>0</v>
      </c>
      <c r="B1910" s="9">
        <f t="shared" si="236"/>
        <v>0</v>
      </c>
      <c r="C1910" s="2">
        <f>Speed!B1910</f>
        <v>0</v>
      </c>
      <c r="D1910" s="9">
        <f>Odometer!A1910</f>
        <v>0</v>
      </c>
      <c r="E1910" s="9">
        <f t="shared" si="240"/>
        <v>0</v>
      </c>
      <c r="F1910" s="2">
        <f>Odometer!B1910</f>
        <v>0</v>
      </c>
      <c r="G1910" s="2">
        <f t="shared" si="237"/>
        <v>0</v>
      </c>
      <c r="H1910" s="2">
        <f>SUM($G$2:G1910)</f>
        <v>11920</v>
      </c>
      <c r="I1910" s="10">
        <f t="shared" si="241"/>
        <v>0</v>
      </c>
      <c r="J1910" s="10">
        <f t="shared" si="238"/>
        <v>0</v>
      </c>
      <c r="K1910" s="3">
        <f t="shared" si="239"/>
        <v>11920</v>
      </c>
      <c r="L1910">
        <f t="shared" si="235"/>
        <v>0</v>
      </c>
      <c r="M1910">
        <f t="shared" si="242"/>
        <v>0</v>
      </c>
    </row>
    <row r="1911" spans="1:13" x14ac:dyDescent="0.25">
      <c r="A1911" s="9">
        <f>Speed!A1911</f>
        <v>0</v>
      </c>
      <c r="B1911" s="9">
        <f t="shared" si="236"/>
        <v>0</v>
      </c>
      <c r="C1911" s="2">
        <f>Speed!B1911</f>
        <v>0</v>
      </c>
      <c r="D1911" s="9">
        <f>Odometer!A1911</f>
        <v>0</v>
      </c>
      <c r="E1911" s="9">
        <f t="shared" si="240"/>
        <v>0</v>
      </c>
      <c r="F1911" s="2">
        <f>Odometer!B1911</f>
        <v>0</v>
      </c>
      <c r="G1911" s="2">
        <f t="shared" si="237"/>
        <v>0</v>
      </c>
      <c r="H1911" s="2">
        <f>SUM($G$2:G1911)</f>
        <v>11920</v>
      </c>
      <c r="I1911" s="10">
        <f t="shared" si="241"/>
        <v>0</v>
      </c>
      <c r="J1911" s="10">
        <f t="shared" si="238"/>
        <v>0</v>
      </c>
      <c r="K1911" s="3">
        <f t="shared" si="239"/>
        <v>11920</v>
      </c>
      <c r="L1911">
        <f t="shared" si="235"/>
        <v>0</v>
      </c>
      <c r="M1911">
        <f t="shared" si="242"/>
        <v>0</v>
      </c>
    </row>
    <row r="1912" spans="1:13" x14ac:dyDescent="0.25">
      <c r="A1912" s="9">
        <f>Speed!A1912</f>
        <v>0</v>
      </c>
      <c r="B1912" s="9">
        <f t="shared" si="236"/>
        <v>0</v>
      </c>
      <c r="C1912" s="2">
        <f>Speed!B1912</f>
        <v>0</v>
      </c>
      <c r="D1912" s="9">
        <f>Odometer!A1912</f>
        <v>0</v>
      </c>
      <c r="E1912" s="9">
        <f t="shared" si="240"/>
        <v>0</v>
      </c>
      <c r="F1912" s="2">
        <f>Odometer!B1912</f>
        <v>0</v>
      </c>
      <c r="G1912" s="2">
        <f t="shared" si="237"/>
        <v>0</v>
      </c>
      <c r="H1912" s="2">
        <f>SUM($G$2:G1912)</f>
        <v>11920</v>
      </c>
      <c r="I1912" s="10">
        <f t="shared" si="241"/>
        <v>0</v>
      </c>
      <c r="J1912" s="10">
        <f t="shared" si="238"/>
        <v>0</v>
      </c>
      <c r="K1912" s="3">
        <f t="shared" si="239"/>
        <v>11920</v>
      </c>
      <c r="L1912">
        <f t="shared" si="235"/>
        <v>0</v>
      </c>
      <c r="M1912">
        <f t="shared" si="242"/>
        <v>0</v>
      </c>
    </row>
    <row r="1913" spans="1:13" x14ac:dyDescent="0.25">
      <c r="A1913" s="9">
        <f>Speed!A1913</f>
        <v>0</v>
      </c>
      <c r="B1913" s="9">
        <f t="shared" si="236"/>
        <v>0</v>
      </c>
      <c r="C1913" s="2">
        <f>Speed!B1913</f>
        <v>0</v>
      </c>
      <c r="D1913" s="9">
        <f>Odometer!A1913</f>
        <v>0</v>
      </c>
      <c r="E1913" s="9">
        <f t="shared" si="240"/>
        <v>0</v>
      </c>
      <c r="F1913" s="2">
        <f>Odometer!B1913</f>
        <v>0</v>
      </c>
      <c r="G1913" s="2">
        <f t="shared" si="237"/>
        <v>0</v>
      </c>
      <c r="H1913" s="2">
        <f>SUM($G$2:G1913)</f>
        <v>11920</v>
      </c>
      <c r="I1913" s="10">
        <f t="shared" si="241"/>
        <v>0</v>
      </c>
      <c r="J1913" s="10">
        <f t="shared" si="238"/>
        <v>0</v>
      </c>
      <c r="K1913" s="3">
        <f t="shared" si="239"/>
        <v>11920</v>
      </c>
      <c r="L1913">
        <f t="shared" si="235"/>
        <v>0</v>
      </c>
      <c r="M1913">
        <f t="shared" si="242"/>
        <v>0</v>
      </c>
    </row>
    <row r="1914" spans="1:13" x14ac:dyDescent="0.25">
      <c r="A1914" s="9">
        <f>Speed!A1914</f>
        <v>0</v>
      </c>
      <c r="B1914" s="9">
        <f t="shared" si="236"/>
        <v>0</v>
      </c>
      <c r="C1914" s="2">
        <f>Speed!B1914</f>
        <v>0</v>
      </c>
      <c r="D1914" s="9">
        <f>Odometer!A1914</f>
        <v>0</v>
      </c>
      <c r="E1914" s="9">
        <f t="shared" si="240"/>
        <v>0</v>
      </c>
      <c r="F1914" s="2">
        <f>Odometer!B1914</f>
        <v>0</v>
      </c>
      <c r="G1914" s="2">
        <f t="shared" si="237"/>
        <v>0</v>
      </c>
      <c r="H1914" s="2">
        <f>SUM($G$2:G1914)</f>
        <v>11920</v>
      </c>
      <c r="I1914" s="10">
        <f t="shared" si="241"/>
        <v>0</v>
      </c>
      <c r="J1914" s="10">
        <f t="shared" si="238"/>
        <v>0</v>
      </c>
      <c r="K1914" s="3">
        <f t="shared" si="239"/>
        <v>11920</v>
      </c>
      <c r="L1914">
        <f t="shared" si="235"/>
        <v>0</v>
      </c>
      <c r="M1914">
        <f t="shared" si="242"/>
        <v>0</v>
      </c>
    </row>
    <row r="1915" spans="1:13" x14ac:dyDescent="0.25">
      <c r="A1915" s="9">
        <f>Speed!A1915</f>
        <v>0</v>
      </c>
      <c r="B1915" s="9">
        <f t="shared" si="236"/>
        <v>0</v>
      </c>
      <c r="C1915" s="2">
        <f>Speed!B1915</f>
        <v>0</v>
      </c>
      <c r="D1915" s="9">
        <f>Odometer!A1915</f>
        <v>0</v>
      </c>
      <c r="E1915" s="9">
        <f t="shared" si="240"/>
        <v>0</v>
      </c>
      <c r="F1915" s="2">
        <f>Odometer!B1915</f>
        <v>0</v>
      </c>
      <c r="G1915" s="2">
        <f t="shared" si="237"/>
        <v>0</v>
      </c>
      <c r="H1915" s="2">
        <f>SUM($G$2:G1915)</f>
        <v>11920</v>
      </c>
      <c r="I1915" s="10">
        <f t="shared" si="241"/>
        <v>0</v>
      </c>
      <c r="J1915" s="10">
        <f t="shared" si="238"/>
        <v>0</v>
      </c>
      <c r="K1915" s="3">
        <f t="shared" si="239"/>
        <v>11920</v>
      </c>
      <c r="L1915">
        <f t="shared" si="235"/>
        <v>0</v>
      </c>
      <c r="M1915">
        <f t="shared" si="242"/>
        <v>0</v>
      </c>
    </row>
    <row r="1916" spans="1:13" x14ac:dyDescent="0.25">
      <c r="A1916" s="9">
        <f>Speed!A1916</f>
        <v>0</v>
      </c>
      <c r="B1916" s="9">
        <f t="shared" si="236"/>
        <v>0</v>
      </c>
      <c r="C1916" s="2">
        <f>Speed!B1916</f>
        <v>0</v>
      </c>
      <c r="D1916" s="9">
        <f>Odometer!A1916</f>
        <v>0</v>
      </c>
      <c r="E1916" s="9">
        <f t="shared" si="240"/>
        <v>0</v>
      </c>
      <c r="F1916" s="2">
        <f>Odometer!B1916</f>
        <v>0</v>
      </c>
      <c r="G1916" s="2">
        <f t="shared" si="237"/>
        <v>0</v>
      </c>
      <c r="H1916" s="2">
        <f>SUM($G$2:G1916)</f>
        <v>11920</v>
      </c>
      <c r="I1916" s="10">
        <f t="shared" si="241"/>
        <v>0</v>
      </c>
      <c r="J1916" s="10">
        <f t="shared" si="238"/>
        <v>0</v>
      </c>
      <c r="K1916" s="3">
        <f t="shared" si="239"/>
        <v>11920</v>
      </c>
      <c r="L1916">
        <f t="shared" si="235"/>
        <v>0</v>
      </c>
      <c r="M1916">
        <f t="shared" si="242"/>
        <v>0</v>
      </c>
    </row>
    <row r="1917" spans="1:13" x14ac:dyDescent="0.25">
      <c r="A1917" s="9">
        <f>Speed!A1917</f>
        <v>0</v>
      </c>
      <c r="B1917" s="9">
        <f t="shared" si="236"/>
        <v>0</v>
      </c>
      <c r="C1917" s="2">
        <f>Speed!B1917</f>
        <v>0</v>
      </c>
      <c r="D1917" s="9">
        <f>Odometer!A1917</f>
        <v>0</v>
      </c>
      <c r="E1917" s="9">
        <f t="shared" si="240"/>
        <v>0</v>
      </c>
      <c r="F1917" s="2">
        <f>Odometer!B1917</f>
        <v>0</v>
      </c>
      <c r="G1917" s="2">
        <f t="shared" si="237"/>
        <v>0</v>
      </c>
      <c r="H1917" s="2">
        <f>SUM($G$2:G1917)</f>
        <v>11920</v>
      </c>
      <c r="I1917" s="10">
        <f t="shared" si="241"/>
        <v>0</v>
      </c>
      <c r="J1917" s="10">
        <f t="shared" si="238"/>
        <v>0</v>
      </c>
      <c r="K1917" s="3">
        <f t="shared" si="239"/>
        <v>11920</v>
      </c>
      <c r="L1917">
        <f t="shared" si="235"/>
        <v>0</v>
      </c>
      <c r="M1917">
        <f t="shared" si="242"/>
        <v>0</v>
      </c>
    </row>
    <row r="1918" spans="1:13" x14ac:dyDescent="0.25">
      <c r="A1918" s="9">
        <f>Speed!A1918</f>
        <v>0</v>
      </c>
      <c r="B1918" s="9">
        <f t="shared" si="236"/>
        <v>0</v>
      </c>
      <c r="C1918" s="2">
        <f>Speed!B1918</f>
        <v>0</v>
      </c>
      <c r="D1918" s="9">
        <f>Odometer!A1918</f>
        <v>0</v>
      </c>
      <c r="E1918" s="9">
        <f t="shared" si="240"/>
        <v>0</v>
      </c>
      <c r="F1918" s="2">
        <f>Odometer!B1918</f>
        <v>0</v>
      </c>
      <c r="G1918" s="2">
        <f t="shared" si="237"/>
        <v>0</v>
      </c>
      <c r="H1918" s="2">
        <f>SUM($G$2:G1918)</f>
        <v>11920</v>
      </c>
      <c r="I1918" s="10">
        <f t="shared" si="241"/>
        <v>0</v>
      </c>
      <c r="J1918" s="10">
        <f t="shared" si="238"/>
        <v>0</v>
      </c>
      <c r="K1918" s="3">
        <f t="shared" si="239"/>
        <v>11920</v>
      </c>
      <c r="L1918">
        <f t="shared" si="235"/>
        <v>0</v>
      </c>
      <c r="M1918">
        <f t="shared" si="242"/>
        <v>0</v>
      </c>
    </row>
    <row r="1919" spans="1:13" x14ac:dyDescent="0.25">
      <c r="A1919" s="9">
        <f>Speed!A1919</f>
        <v>0</v>
      </c>
      <c r="B1919" s="9">
        <f t="shared" si="236"/>
        <v>0</v>
      </c>
      <c r="C1919" s="2">
        <f>Speed!B1919</f>
        <v>0</v>
      </c>
      <c r="D1919" s="9">
        <f>Odometer!A1919</f>
        <v>0</v>
      </c>
      <c r="E1919" s="9">
        <f t="shared" si="240"/>
        <v>0</v>
      </c>
      <c r="F1919" s="2">
        <f>Odometer!B1919</f>
        <v>0</v>
      </c>
      <c r="G1919" s="2">
        <f t="shared" si="237"/>
        <v>0</v>
      </c>
      <c r="H1919" s="2">
        <f>SUM($G$2:G1919)</f>
        <v>11920</v>
      </c>
      <c r="I1919" s="10">
        <f t="shared" si="241"/>
        <v>0</v>
      </c>
      <c r="J1919" s="10">
        <f t="shared" si="238"/>
        <v>0</v>
      </c>
      <c r="K1919" s="3">
        <f t="shared" si="239"/>
        <v>11920</v>
      </c>
      <c r="L1919">
        <f t="shared" si="235"/>
        <v>0</v>
      </c>
      <c r="M1919">
        <f t="shared" si="242"/>
        <v>0</v>
      </c>
    </row>
    <row r="1920" spans="1:13" x14ac:dyDescent="0.25">
      <c r="A1920" s="9">
        <f>Speed!A1920</f>
        <v>0</v>
      </c>
      <c r="B1920" s="9">
        <f t="shared" si="236"/>
        <v>0</v>
      </c>
      <c r="C1920" s="2">
        <f>Speed!B1920</f>
        <v>0</v>
      </c>
      <c r="D1920" s="9">
        <f>Odometer!A1920</f>
        <v>0</v>
      </c>
      <c r="E1920" s="9">
        <f t="shared" si="240"/>
        <v>0</v>
      </c>
      <c r="F1920" s="2">
        <f>Odometer!B1920</f>
        <v>0</v>
      </c>
      <c r="G1920" s="2">
        <f t="shared" si="237"/>
        <v>0</v>
      </c>
      <c r="H1920" s="2">
        <f>SUM($G$2:G1920)</f>
        <v>11920</v>
      </c>
      <c r="I1920" s="10">
        <f t="shared" si="241"/>
        <v>0</v>
      </c>
      <c r="J1920" s="10">
        <f t="shared" si="238"/>
        <v>0</v>
      </c>
      <c r="K1920" s="3">
        <f t="shared" si="239"/>
        <v>11920</v>
      </c>
      <c r="L1920">
        <f t="shared" si="235"/>
        <v>0</v>
      </c>
      <c r="M1920">
        <f t="shared" si="242"/>
        <v>0</v>
      </c>
    </row>
    <row r="1921" spans="1:13" x14ac:dyDescent="0.25">
      <c r="A1921" s="9">
        <f>Speed!A1921</f>
        <v>0</v>
      </c>
      <c r="B1921" s="9">
        <f t="shared" si="236"/>
        <v>0</v>
      </c>
      <c r="C1921" s="2">
        <f>Speed!B1921</f>
        <v>0</v>
      </c>
      <c r="D1921" s="9">
        <f>Odometer!A1921</f>
        <v>0</v>
      </c>
      <c r="E1921" s="9">
        <f t="shared" si="240"/>
        <v>0</v>
      </c>
      <c r="F1921" s="2">
        <f>Odometer!B1921</f>
        <v>0</v>
      </c>
      <c r="G1921" s="2">
        <f t="shared" si="237"/>
        <v>0</v>
      </c>
      <c r="H1921" s="2">
        <f>SUM($G$2:G1921)</f>
        <v>11920</v>
      </c>
      <c r="I1921" s="10">
        <f t="shared" si="241"/>
        <v>0</v>
      </c>
      <c r="J1921" s="10">
        <f t="shared" si="238"/>
        <v>0</v>
      </c>
      <c r="K1921" s="3">
        <f t="shared" si="239"/>
        <v>11920</v>
      </c>
      <c r="L1921">
        <f t="shared" si="235"/>
        <v>0</v>
      </c>
      <c r="M1921">
        <f t="shared" si="242"/>
        <v>0</v>
      </c>
    </row>
    <row r="1922" spans="1:13" x14ac:dyDescent="0.25">
      <c r="A1922" s="9">
        <f>Speed!A1922</f>
        <v>0</v>
      </c>
      <c r="B1922" s="9">
        <f t="shared" si="236"/>
        <v>0</v>
      </c>
      <c r="C1922" s="2">
        <f>Speed!B1922</f>
        <v>0</v>
      </c>
      <c r="D1922" s="9">
        <f>Odometer!A1922</f>
        <v>0</v>
      </c>
      <c r="E1922" s="9">
        <f t="shared" si="240"/>
        <v>0</v>
      </c>
      <c r="F1922" s="2">
        <f>Odometer!B1922</f>
        <v>0</v>
      </c>
      <c r="G1922" s="2">
        <f t="shared" si="237"/>
        <v>0</v>
      </c>
      <c r="H1922" s="2">
        <f>SUM($G$2:G1922)</f>
        <v>11920</v>
      </c>
      <c r="I1922" s="10">
        <f t="shared" si="241"/>
        <v>0</v>
      </c>
      <c r="J1922" s="10">
        <f t="shared" si="238"/>
        <v>0</v>
      </c>
      <c r="K1922" s="3">
        <f t="shared" si="239"/>
        <v>11920</v>
      </c>
      <c r="L1922">
        <f t="shared" ref="L1922:L1985" si="243">INDEX($C$2:$C$2000, MATCH(I1922,$A$2:$A$2000,0))</f>
        <v>0</v>
      </c>
      <c r="M1922">
        <f t="shared" si="242"/>
        <v>0</v>
      </c>
    </row>
    <row r="1923" spans="1:13" x14ac:dyDescent="0.25">
      <c r="A1923" s="9">
        <f>Speed!A1923</f>
        <v>0</v>
      </c>
      <c r="B1923" s="9">
        <f t="shared" ref="B1923:B1986" si="244">MROUND(A1923,"00:00:01")</f>
        <v>0</v>
      </c>
      <c r="C1923" s="2">
        <f>Speed!B1923</f>
        <v>0</v>
      </c>
      <c r="D1923" s="9">
        <f>Odometer!A1923</f>
        <v>0</v>
      </c>
      <c r="E1923" s="9">
        <f t="shared" si="240"/>
        <v>0</v>
      </c>
      <c r="F1923" s="2">
        <f>Odometer!B1923</f>
        <v>0</v>
      </c>
      <c r="G1923" s="2">
        <f t="shared" ref="G1923:G1986" si="245">IF(F1924-F1923&lt;0,0,F1924-F1923)</f>
        <v>0</v>
      </c>
      <c r="H1923" s="2">
        <f>SUM($G$2:G1923)</f>
        <v>11920</v>
      </c>
      <c r="I1923" s="10">
        <f t="shared" si="241"/>
        <v>0</v>
      </c>
      <c r="J1923" s="10">
        <f t="shared" ref="J1923:J1986" si="246">MROUND(I1923,"0:00:01")</f>
        <v>0</v>
      </c>
      <c r="K1923" s="3">
        <f t="shared" si="239"/>
        <v>11920</v>
      </c>
      <c r="L1923">
        <f t="shared" si="243"/>
        <v>0</v>
      </c>
      <c r="M1923">
        <f t="shared" si="242"/>
        <v>0</v>
      </c>
    </row>
    <row r="1924" spans="1:13" x14ac:dyDescent="0.25">
      <c r="A1924" s="9">
        <f>Speed!A1924</f>
        <v>0</v>
      </c>
      <c r="B1924" s="9">
        <f t="shared" si="244"/>
        <v>0</v>
      </c>
      <c r="C1924" s="2">
        <f>Speed!B1924</f>
        <v>0</v>
      </c>
      <c r="D1924" s="9">
        <f>Odometer!A1924</f>
        <v>0</v>
      </c>
      <c r="E1924" s="9">
        <f t="shared" si="240"/>
        <v>0</v>
      </c>
      <c r="F1924" s="2">
        <f>Odometer!B1924</f>
        <v>0</v>
      </c>
      <c r="G1924" s="2">
        <f t="shared" si="245"/>
        <v>0</v>
      </c>
      <c r="H1924" s="2">
        <f>SUM($G$2:G1924)</f>
        <v>11920</v>
      </c>
      <c r="I1924" s="10">
        <f t="shared" si="241"/>
        <v>0</v>
      </c>
      <c r="J1924" s="10">
        <f t="shared" si="246"/>
        <v>0</v>
      </c>
      <c r="K1924" s="3">
        <f t="shared" ref="K1924:K1987" si="247">IFERROR(INDEX($H$2:$H$2000,MATCH(J1924,$E$2:$E$2000,0)),NA())</f>
        <v>11920</v>
      </c>
      <c r="L1924">
        <f t="shared" si="243"/>
        <v>0</v>
      </c>
      <c r="M1924">
        <f t="shared" si="242"/>
        <v>0</v>
      </c>
    </row>
    <row r="1925" spans="1:13" x14ac:dyDescent="0.25">
      <c r="A1925" s="9">
        <f>Speed!A1925</f>
        <v>0</v>
      </c>
      <c r="B1925" s="9">
        <f t="shared" si="244"/>
        <v>0</v>
      </c>
      <c r="C1925" s="2">
        <f>Speed!B1925</f>
        <v>0</v>
      </c>
      <c r="D1925" s="9">
        <f>Odometer!A1925</f>
        <v>0</v>
      </c>
      <c r="E1925" s="9">
        <f t="shared" si="240"/>
        <v>0</v>
      </c>
      <c r="F1925" s="2">
        <f>Odometer!B1925</f>
        <v>0</v>
      </c>
      <c r="G1925" s="2">
        <f t="shared" si="245"/>
        <v>0</v>
      </c>
      <c r="H1925" s="2">
        <f>SUM($G$2:G1925)</f>
        <v>11920</v>
      </c>
      <c r="I1925" s="10">
        <f t="shared" si="241"/>
        <v>0</v>
      </c>
      <c r="J1925" s="10">
        <f t="shared" si="246"/>
        <v>0</v>
      </c>
      <c r="K1925" s="3">
        <f t="shared" si="247"/>
        <v>11920</v>
      </c>
      <c r="L1925">
        <f t="shared" si="243"/>
        <v>0</v>
      </c>
      <c r="M1925">
        <f t="shared" si="242"/>
        <v>0</v>
      </c>
    </row>
    <row r="1926" spans="1:13" x14ac:dyDescent="0.25">
      <c r="A1926" s="9">
        <f>Speed!A1926</f>
        <v>0</v>
      </c>
      <c r="B1926" s="9">
        <f t="shared" si="244"/>
        <v>0</v>
      </c>
      <c r="C1926" s="2">
        <f>Speed!B1926</f>
        <v>0</v>
      </c>
      <c r="D1926" s="9">
        <f>Odometer!A1926</f>
        <v>0</v>
      </c>
      <c r="E1926" s="9">
        <f t="shared" si="240"/>
        <v>0</v>
      </c>
      <c r="F1926" s="2">
        <f>Odometer!B1926</f>
        <v>0</v>
      </c>
      <c r="G1926" s="2">
        <f t="shared" si="245"/>
        <v>0</v>
      </c>
      <c r="H1926" s="2">
        <f>SUM($G$2:G1926)</f>
        <v>11920</v>
      </c>
      <c r="I1926" s="10">
        <f t="shared" si="241"/>
        <v>0</v>
      </c>
      <c r="J1926" s="10">
        <f t="shared" si="246"/>
        <v>0</v>
      </c>
      <c r="K1926" s="3">
        <f t="shared" si="247"/>
        <v>11920</v>
      </c>
      <c r="L1926">
        <f t="shared" si="243"/>
        <v>0</v>
      </c>
      <c r="M1926">
        <f t="shared" si="242"/>
        <v>0</v>
      </c>
    </row>
    <row r="1927" spans="1:13" x14ac:dyDescent="0.25">
      <c r="A1927" s="9">
        <f>Speed!A1927</f>
        <v>0</v>
      </c>
      <c r="B1927" s="9">
        <f t="shared" si="244"/>
        <v>0</v>
      </c>
      <c r="C1927" s="2">
        <f>Speed!B1927</f>
        <v>0</v>
      </c>
      <c r="D1927" s="9">
        <f>Odometer!A1927</f>
        <v>0</v>
      </c>
      <c r="E1927" s="9">
        <f t="shared" si="240"/>
        <v>0</v>
      </c>
      <c r="F1927" s="2">
        <f>Odometer!B1927</f>
        <v>0</v>
      </c>
      <c r="G1927" s="2">
        <f t="shared" si="245"/>
        <v>0</v>
      </c>
      <c r="H1927" s="2">
        <f>SUM($G$2:G1927)</f>
        <v>11920</v>
      </c>
      <c r="I1927" s="10">
        <f t="shared" si="241"/>
        <v>0</v>
      </c>
      <c r="J1927" s="10">
        <f t="shared" si="246"/>
        <v>0</v>
      </c>
      <c r="K1927" s="3">
        <f t="shared" si="247"/>
        <v>11920</v>
      </c>
      <c r="L1927">
        <f t="shared" si="243"/>
        <v>0</v>
      </c>
      <c r="M1927">
        <f t="shared" si="242"/>
        <v>0</v>
      </c>
    </row>
    <row r="1928" spans="1:13" x14ac:dyDescent="0.25">
      <c r="A1928" s="9">
        <f>Speed!A1928</f>
        <v>0</v>
      </c>
      <c r="B1928" s="9">
        <f t="shared" si="244"/>
        <v>0</v>
      </c>
      <c r="C1928" s="2">
        <f>Speed!B1928</f>
        <v>0</v>
      </c>
      <c r="D1928" s="9">
        <f>Odometer!A1928</f>
        <v>0</v>
      </c>
      <c r="E1928" s="9">
        <f t="shared" si="240"/>
        <v>0</v>
      </c>
      <c r="F1928" s="2">
        <f>Odometer!B1928</f>
        <v>0</v>
      </c>
      <c r="G1928" s="2">
        <f t="shared" si="245"/>
        <v>0</v>
      </c>
      <c r="H1928" s="2">
        <f>SUM($G$2:G1928)</f>
        <v>11920</v>
      </c>
      <c r="I1928" s="10">
        <f t="shared" si="241"/>
        <v>0</v>
      </c>
      <c r="J1928" s="10">
        <f t="shared" si="246"/>
        <v>0</v>
      </c>
      <c r="K1928" s="3">
        <f t="shared" si="247"/>
        <v>11920</v>
      </c>
      <c r="L1928">
        <f t="shared" si="243"/>
        <v>0</v>
      </c>
      <c r="M1928">
        <f t="shared" si="242"/>
        <v>0</v>
      </c>
    </row>
    <row r="1929" spans="1:13" x14ac:dyDescent="0.25">
      <c r="A1929" s="9">
        <f>Speed!A1929</f>
        <v>0</v>
      </c>
      <c r="B1929" s="9">
        <f t="shared" si="244"/>
        <v>0</v>
      </c>
      <c r="C1929" s="2">
        <f>Speed!B1929</f>
        <v>0</v>
      </c>
      <c r="D1929" s="9">
        <f>Odometer!A1929</f>
        <v>0</v>
      </c>
      <c r="E1929" s="9">
        <f t="shared" si="240"/>
        <v>0</v>
      </c>
      <c r="F1929" s="2">
        <f>Odometer!B1929</f>
        <v>0</v>
      </c>
      <c r="G1929" s="2">
        <f t="shared" si="245"/>
        <v>0</v>
      </c>
      <c r="H1929" s="2">
        <f>SUM($G$2:G1929)</f>
        <v>11920</v>
      </c>
      <c r="I1929" s="10">
        <f t="shared" si="241"/>
        <v>0</v>
      </c>
      <c r="J1929" s="10">
        <f t="shared" si="246"/>
        <v>0</v>
      </c>
      <c r="K1929" s="3">
        <f t="shared" si="247"/>
        <v>11920</v>
      </c>
      <c r="L1929">
        <f t="shared" si="243"/>
        <v>0</v>
      </c>
      <c r="M1929">
        <f t="shared" si="242"/>
        <v>0</v>
      </c>
    </row>
    <row r="1930" spans="1:13" x14ac:dyDescent="0.25">
      <c r="A1930" s="9">
        <f>Speed!A1930</f>
        <v>0</v>
      </c>
      <c r="B1930" s="9">
        <f t="shared" si="244"/>
        <v>0</v>
      </c>
      <c r="C1930" s="2">
        <f>Speed!B1930</f>
        <v>0</v>
      </c>
      <c r="D1930" s="9">
        <f>Odometer!A1930</f>
        <v>0</v>
      </c>
      <c r="E1930" s="9">
        <f t="shared" si="240"/>
        <v>0</v>
      </c>
      <c r="F1930" s="2">
        <f>Odometer!B1930</f>
        <v>0</v>
      </c>
      <c r="G1930" s="2">
        <f t="shared" si="245"/>
        <v>0</v>
      </c>
      <c r="H1930" s="2">
        <f>SUM($G$2:G1930)</f>
        <v>11920</v>
      </c>
      <c r="I1930" s="10">
        <f t="shared" si="241"/>
        <v>0</v>
      </c>
      <c r="J1930" s="10">
        <f t="shared" si="246"/>
        <v>0</v>
      </c>
      <c r="K1930" s="3">
        <f t="shared" si="247"/>
        <v>11920</v>
      </c>
      <c r="L1930">
        <f t="shared" si="243"/>
        <v>0</v>
      </c>
      <c r="M1930">
        <f t="shared" si="242"/>
        <v>0</v>
      </c>
    </row>
    <row r="1931" spans="1:13" x14ac:dyDescent="0.25">
      <c r="A1931" s="9">
        <f>Speed!A1931</f>
        <v>0</v>
      </c>
      <c r="B1931" s="9">
        <f t="shared" si="244"/>
        <v>0</v>
      </c>
      <c r="C1931" s="2">
        <f>Speed!B1931</f>
        <v>0</v>
      </c>
      <c r="D1931" s="9">
        <f>Odometer!A1931</f>
        <v>0</v>
      </c>
      <c r="E1931" s="9">
        <f t="shared" si="240"/>
        <v>0</v>
      </c>
      <c r="F1931" s="2">
        <f>Odometer!B1931</f>
        <v>0</v>
      </c>
      <c r="G1931" s="2">
        <f t="shared" si="245"/>
        <v>0</v>
      </c>
      <c r="H1931" s="2">
        <f>SUM($G$2:G1931)</f>
        <v>11920</v>
      </c>
      <c r="I1931" s="10">
        <f t="shared" si="241"/>
        <v>0</v>
      </c>
      <c r="J1931" s="10">
        <f t="shared" si="246"/>
        <v>0</v>
      </c>
      <c r="K1931" s="3">
        <f t="shared" si="247"/>
        <v>11920</v>
      </c>
      <c r="L1931">
        <f t="shared" si="243"/>
        <v>0</v>
      </c>
      <c r="M1931">
        <f t="shared" si="242"/>
        <v>0</v>
      </c>
    </row>
    <row r="1932" spans="1:13" x14ac:dyDescent="0.25">
      <c r="A1932" s="9">
        <f>Speed!A1932</f>
        <v>0</v>
      </c>
      <c r="B1932" s="9">
        <f t="shared" si="244"/>
        <v>0</v>
      </c>
      <c r="C1932" s="2">
        <f>Speed!B1932</f>
        <v>0</v>
      </c>
      <c r="D1932" s="9">
        <f>Odometer!A1932</f>
        <v>0</v>
      </c>
      <c r="E1932" s="9">
        <f t="shared" si="240"/>
        <v>0</v>
      </c>
      <c r="F1932" s="2">
        <f>Odometer!B1932</f>
        <v>0</v>
      </c>
      <c r="G1932" s="2">
        <f t="shared" si="245"/>
        <v>0</v>
      </c>
      <c r="H1932" s="2">
        <f>SUM($G$2:G1932)</f>
        <v>11920</v>
      </c>
      <c r="I1932" s="10">
        <f t="shared" si="241"/>
        <v>0</v>
      </c>
      <c r="J1932" s="10">
        <f t="shared" si="246"/>
        <v>0</v>
      </c>
      <c r="K1932" s="3">
        <f t="shared" si="247"/>
        <v>11920</v>
      </c>
      <c r="L1932">
        <f t="shared" si="243"/>
        <v>0</v>
      </c>
      <c r="M1932">
        <f t="shared" si="242"/>
        <v>0</v>
      </c>
    </row>
    <row r="1933" spans="1:13" x14ac:dyDescent="0.25">
      <c r="A1933" s="9">
        <f>Speed!A1933</f>
        <v>0</v>
      </c>
      <c r="B1933" s="9">
        <f t="shared" si="244"/>
        <v>0</v>
      </c>
      <c r="C1933" s="2">
        <f>Speed!B1933</f>
        <v>0</v>
      </c>
      <c r="D1933" s="9">
        <f>Odometer!A1933</f>
        <v>0</v>
      </c>
      <c r="E1933" s="9">
        <f t="shared" si="240"/>
        <v>0</v>
      </c>
      <c r="F1933" s="2">
        <f>Odometer!B1933</f>
        <v>0</v>
      </c>
      <c r="G1933" s="2">
        <f t="shared" si="245"/>
        <v>0</v>
      </c>
      <c r="H1933" s="2">
        <f>SUM($G$2:G1933)</f>
        <v>11920</v>
      </c>
      <c r="I1933" s="10">
        <f t="shared" si="241"/>
        <v>0</v>
      </c>
      <c r="J1933" s="10">
        <f t="shared" si="246"/>
        <v>0</v>
      </c>
      <c r="K1933" s="3">
        <f t="shared" si="247"/>
        <v>11920</v>
      </c>
      <c r="L1933">
        <f t="shared" si="243"/>
        <v>0</v>
      </c>
      <c r="M1933">
        <f t="shared" si="242"/>
        <v>0</v>
      </c>
    </row>
    <row r="1934" spans="1:13" x14ac:dyDescent="0.25">
      <c r="A1934" s="9">
        <f>Speed!A1934</f>
        <v>0</v>
      </c>
      <c r="B1934" s="9">
        <f t="shared" si="244"/>
        <v>0</v>
      </c>
      <c r="C1934" s="2">
        <f>Speed!B1934</f>
        <v>0</v>
      </c>
      <c r="D1934" s="9">
        <f>Odometer!A1934</f>
        <v>0</v>
      </c>
      <c r="E1934" s="9">
        <f t="shared" si="240"/>
        <v>0</v>
      </c>
      <c r="F1934" s="2">
        <f>Odometer!B1934</f>
        <v>0</v>
      </c>
      <c r="G1934" s="2">
        <f t="shared" si="245"/>
        <v>0</v>
      </c>
      <c r="H1934" s="2">
        <f>SUM($G$2:G1934)</f>
        <v>11920</v>
      </c>
      <c r="I1934" s="10">
        <f t="shared" si="241"/>
        <v>0</v>
      </c>
      <c r="J1934" s="10">
        <f t="shared" si="246"/>
        <v>0</v>
      </c>
      <c r="K1934" s="3">
        <f t="shared" si="247"/>
        <v>11920</v>
      </c>
      <c r="L1934">
        <f t="shared" si="243"/>
        <v>0</v>
      </c>
      <c r="M1934">
        <f t="shared" si="242"/>
        <v>0</v>
      </c>
    </row>
    <row r="1935" spans="1:13" x14ac:dyDescent="0.25">
      <c r="A1935" s="9">
        <f>Speed!A1935</f>
        <v>0</v>
      </c>
      <c r="B1935" s="9">
        <f t="shared" si="244"/>
        <v>0</v>
      </c>
      <c r="C1935" s="2">
        <f>Speed!B1935</f>
        <v>0</v>
      </c>
      <c r="D1935" s="9">
        <f>Odometer!A1935</f>
        <v>0</v>
      </c>
      <c r="E1935" s="9">
        <f t="shared" si="240"/>
        <v>0</v>
      </c>
      <c r="F1935" s="2">
        <f>Odometer!B1935</f>
        <v>0</v>
      </c>
      <c r="G1935" s="2">
        <f t="shared" si="245"/>
        <v>0</v>
      </c>
      <c r="H1935" s="2">
        <f>SUM($G$2:G1935)</f>
        <v>11920</v>
      </c>
      <c r="I1935" s="10">
        <f t="shared" si="241"/>
        <v>0</v>
      </c>
      <c r="J1935" s="10">
        <f t="shared" si="246"/>
        <v>0</v>
      </c>
      <c r="K1935" s="3">
        <f t="shared" si="247"/>
        <v>11920</v>
      </c>
      <c r="L1935">
        <f t="shared" si="243"/>
        <v>0</v>
      </c>
      <c r="M1935">
        <f t="shared" si="242"/>
        <v>0</v>
      </c>
    </row>
    <row r="1936" spans="1:13" x14ac:dyDescent="0.25">
      <c r="A1936" s="9">
        <f>Speed!A1936</f>
        <v>0</v>
      </c>
      <c r="B1936" s="9">
        <f t="shared" si="244"/>
        <v>0</v>
      </c>
      <c r="C1936" s="2">
        <f>Speed!B1936</f>
        <v>0</v>
      </c>
      <c r="D1936" s="9">
        <f>Odometer!A1936</f>
        <v>0</v>
      </c>
      <c r="E1936" s="9">
        <f t="shared" si="240"/>
        <v>0</v>
      </c>
      <c r="F1936" s="2">
        <f>Odometer!B1936</f>
        <v>0</v>
      </c>
      <c r="G1936" s="2">
        <f t="shared" si="245"/>
        <v>0</v>
      </c>
      <c r="H1936" s="2">
        <f>SUM($G$2:G1936)</f>
        <v>11920</v>
      </c>
      <c r="I1936" s="10">
        <f t="shared" si="241"/>
        <v>0</v>
      </c>
      <c r="J1936" s="10">
        <f t="shared" si="246"/>
        <v>0</v>
      </c>
      <c r="K1936" s="3">
        <f t="shared" si="247"/>
        <v>11920</v>
      </c>
      <c r="L1936">
        <f t="shared" si="243"/>
        <v>0</v>
      </c>
      <c r="M1936">
        <f t="shared" si="242"/>
        <v>0</v>
      </c>
    </row>
    <row r="1937" spans="1:13" x14ac:dyDescent="0.25">
      <c r="A1937" s="9">
        <f>Speed!A1937</f>
        <v>0</v>
      </c>
      <c r="B1937" s="9">
        <f t="shared" si="244"/>
        <v>0</v>
      </c>
      <c r="C1937" s="2">
        <f>Speed!B1937</f>
        <v>0</v>
      </c>
      <c r="D1937" s="9">
        <f>Odometer!A1937</f>
        <v>0</v>
      </c>
      <c r="E1937" s="9">
        <f t="shared" si="240"/>
        <v>0</v>
      </c>
      <c r="F1937" s="2">
        <f>Odometer!B1937</f>
        <v>0</v>
      </c>
      <c r="G1937" s="2">
        <f t="shared" si="245"/>
        <v>0</v>
      </c>
      <c r="H1937" s="2">
        <f>SUM($G$2:G1937)</f>
        <v>11920</v>
      </c>
      <c r="I1937" s="10">
        <f t="shared" si="241"/>
        <v>0</v>
      </c>
      <c r="J1937" s="10">
        <f t="shared" si="246"/>
        <v>0</v>
      </c>
      <c r="K1937" s="3">
        <f t="shared" si="247"/>
        <v>11920</v>
      </c>
      <c r="L1937">
        <f t="shared" si="243"/>
        <v>0</v>
      </c>
      <c r="M1937">
        <f t="shared" si="242"/>
        <v>0</v>
      </c>
    </row>
    <row r="1938" spans="1:13" x14ac:dyDescent="0.25">
      <c r="A1938" s="9">
        <f>Speed!A1938</f>
        <v>0</v>
      </c>
      <c r="B1938" s="9">
        <f t="shared" si="244"/>
        <v>0</v>
      </c>
      <c r="C1938" s="2">
        <f>Speed!B1938</f>
        <v>0</v>
      </c>
      <c r="D1938" s="9">
        <f>Odometer!A1938</f>
        <v>0</v>
      </c>
      <c r="E1938" s="9">
        <f t="shared" si="240"/>
        <v>0</v>
      </c>
      <c r="F1938" s="2">
        <f>Odometer!B1938</f>
        <v>0</v>
      </c>
      <c r="G1938" s="2">
        <f t="shared" si="245"/>
        <v>0</v>
      </c>
      <c r="H1938" s="2">
        <f>SUM($G$2:G1938)</f>
        <v>11920</v>
      </c>
      <c r="I1938" s="10">
        <f t="shared" si="241"/>
        <v>0</v>
      </c>
      <c r="J1938" s="10">
        <f t="shared" si="246"/>
        <v>0</v>
      </c>
      <c r="K1938" s="3">
        <f t="shared" si="247"/>
        <v>11920</v>
      </c>
      <c r="L1938">
        <f t="shared" si="243"/>
        <v>0</v>
      </c>
      <c r="M1938">
        <f t="shared" si="242"/>
        <v>0</v>
      </c>
    </row>
    <row r="1939" spans="1:13" x14ac:dyDescent="0.25">
      <c r="A1939" s="9">
        <f>Speed!A1939</f>
        <v>0</v>
      </c>
      <c r="B1939" s="9">
        <f t="shared" si="244"/>
        <v>0</v>
      </c>
      <c r="C1939" s="2">
        <f>Speed!B1939</f>
        <v>0</v>
      </c>
      <c r="D1939" s="9">
        <f>Odometer!A1939</f>
        <v>0</v>
      </c>
      <c r="E1939" s="9">
        <f t="shared" si="240"/>
        <v>0</v>
      </c>
      <c r="F1939" s="2">
        <f>Odometer!B1939</f>
        <v>0</v>
      </c>
      <c r="G1939" s="2">
        <f t="shared" si="245"/>
        <v>0</v>
      </c>
      <c r="H1939" s="2">
        <f>SUM($G$2:G1939)</f>
        <v>11920</v>
      </c>
      <c r="I1939" s="10">
        <f t="shared" si="241"/>
        <v>0</v>
      </c>
      <c r="J1939" s="10">
        <f t="shared" si="246"/>
        <v>0</v>
      </c>
      <c r="K1939" s="3">
        <f t="shared" si="247"/>
        <v>11920</v>
      </c>
      <c r="L1939">
        <f t="shared" si="243"/>
        <v>0</v>
      </c>
      <c r="M1939">
        <f t="shared" si="242"/>
        <v>0</v>
      </c>
    </row>
    <row r="1940" spans="1:13" x14ac:dyDescent="0.25">
      <c r="A1940" s="9">
        <f>Speed!A1940</f>
        <v>0</v>
      </c>
      <c r="B1940" s="9">
        <f t="shared" si="244"/>
        <v>0</v>
      </c>
      <c r="C1940" s="2">
        <f>Speed!B1940</f>
        <v>0</v>
      </c>
      <c r="D1940" s="9">
        <f>Odometer!A1940</f>
        <v>0</v>
      </c>
      <c r="E1940" s="9">
        <f t="shared" si="240"/>
        <v>0</v>
      </c>
      <c r="F1940" s="2">
        <f>Odometer!B1940</f>
        <v>0</v>
      </c>
      <c r="G1940" s="2">
        <f t="shared" si="245"/>
        <v>0</v>
      </c>
      <c r="H1940" s="2">
        <f>SUM($G$2:G1940)</f>
        <v>11920</v>
      </c>
      <c r="I1940" s="10">
        <f t="shared" si="241"/>
        <v>0</v>
      </c>
      <c r="J1940" s="10">
        <f t="shared" si="246"/>
        <v>0</v>
      </c>
      <c r="K1940" s="3">
        <f t="shared" si="247"/>
        <v>11920</v>
      </c>
      <c r="L1940">
        <f t="shared" si="243"/>
        <v>0</v>
      </c>
      <c r="M1940">
        <f t="shared" si="242"/>
        <v>0</v>
      </c>
    </row>
    <row r="1941" spans="1:13" x14ac:dyDescent="0.25">
      <c r="A1941" s="9">
        <f>Speed!A1941</f>
        <v>0</v>
      </c>
      <c r="B1941" s="9">
        <f t="shared" si="244"/>
        <v>0</v>
      </c>
      <c r="C1941" s="2">
        <f>Speed!B1941</f>
        <v>0</v>
      </c>
      <c r="D1941" s="9">
        <f>Odometer!A1941</f>
        <v>0</v>
      </c>
      <c r="E1941" s="9">
        <f t="shared" si="240"/>
        <v>0</v>
      </c>
      <c r="F1941" s="2">
        <f>Odometer!B1941</f>
        <v>0</v>
      </c>
      <c r="G1941" s="2">
        <f t="shared" si="245"/>
        <v>0</v>
      </c>
      <c r="H1941" s="2">
        <f>SUM($G$2:G1941)</f>
        <v>11920</v>
      </c>
      <c r="I1941" s="10">
        <f t="shared" si="241"/>
        <v>0</v>
      </c>
      <c r="J1941" s="10">
        <f t="shared" si="246"/>
        <v>0</v>
      </c>
      <c r="K1941" s="3">
        <f t="shared" si="247"/>
        <v>11920</v>
      </c>
      <c r="L1941">
        <f t="shared" si="243"/>
        <v>0</v>
      </c>
      <c r="M1941">
        <f t="shared" si="242"/>
        <v>0</v>
      </c>
    </row>
    <row r="1942" spans="1:13" x14ac:dyDescent="0.25">
      <c r="A1942" s="9">
        <f>Speed!A1942</f>
        <v>0</v>
      </c>
      <c r="B1942" s="9">
        <f t="shared" si="244"/>
        <v>0</v>
      </c>
      <c r="C1942" s="2">
        <f>Speed!B1942</f>
        <v>0</v>
      </c>
      <c r="D1942" s="9">
        <f>Odometer!A1942</f>
        <v>0</v>
      </c>
      <c r="E1942" s="9">
        <f t="shared" si="240"/>
        <v>0</v>
      </c>
      <c r="F1942" s="2">
        <f>Odometer!B1942</f>
        <v>0</v>
      </c>
      <c r="G1942" s="2">
        <f t="shared" si="245"/>
        <v>0</v>
      </c>
      <c r="H1942" s="2">
        <f>SUM($G$2:G1942)</f>
        <v>11920</v>
      </c>
      <c r="I1942" s="10">
        <f t="shared" si="241"/>
        <v>0</v>
      </c>
      <c r="J1942" s="10">
        <f t="shared" si="246"/>
        <v>0</v>
      </c>
      <c r="K1942" s="3">
        <f t="shared" si="247"/>
        <v>11920</v>
      </c>
      <c r="L1942">
        <f t="shared" si="243"/>
        <v>0</v>
      </c>
      <c r="M1942">
        <f t="shared" si="242"/>
        <v>0</v>
      </c>
    </row>
    <row r="1943" spans="1:13" x14ac:dyDescent="0.25">
      <c r="A1943" s="9">
        <f>Speed!A1943</f>
        <v>0</v>
      </c>
      <c r="B1943" s="9">
        <f t="shared" si="244"/>
        <v>0</v>
      </c>
      <c r="C1943" s="2">
        <f>Speed!B1943</f>
        <v>0</v>
      </c>
      <c r="D1943" s="9">
        <f>Odometer!A1943</f>
        <v>0</v>
      </c>
      <c r="E1943" s="9">
        <f t="shared" si="240"/>
        <v>0</v>
      </c>
      <c r="F1943" s="2">
        <f>Odometer!B1943</f>
        <v>0</v>
      </c>
      <c r="G1943" s="2">
        <f t="shared" si="245"/>
        <v>0</v>
      </c>
      <c r="H1943" s="2">
        <f>SUM($G$2:G1943)</f>
        <v>11920</v>
      </c>
      <c r="I1943" s="10">
        <f t="shared" si="241"/>
        <v>0</v>
      </c>
      <c r="J1943" s="10">
        <f t="shared" si="246"/>
        <v>0</v>
      </c>
      <c r="K1943" s="3">
        <f t="shared" si="247"/>
        <v>11920</v>
      </c>
      <c r="L1943">
        <f t="shared" si="243"/>
        <v>0</v>
      </c>
      <c r="M1943">
        <f t="shared" si="242"/>
        <v>0</v>
      </c>
    </row>
    <row r="1944" spans="1:13" x14ac:dyDescent="0.25">
      <c r="A1944" s="9">
        <f>Speed!A1944</f>
        <v>0</v>
      </c>
      <c r="B1944" s="9">
        <f t="shared" si="244"/>
        <v>0</v>
      </c>
      <c r="C1944" s="2">
        <f>Speed!B1944</f>
        <v>0</v>
      </c>
      <c r="D1944" s="9">
        <f>Odometer!A1944</f>
        <v>0</v>
      </c>
      <c r="E1944" s="9">
        <f t="shared" si="240"/>
        <v>0</v>
      </c>
      <c r="F1944" s="2">
        <f>Odometer!B1944</f>
        <v>0</v>
      </c>
      <c r="G1944" s="2">
        <f t="shared" si="245"/>
        <v>0</v>
      </c>
      <c r="H1944" s="2">
        <f>SUM($G$2:G1944)</f>
        <v>11920</v>
      </c>
      <c r="I1944" s="10">
        <f t="shared" si="241"/>
        <v>0</v>
      </c>
      <c r="J1944" s="10">
        <f t="shared" si="246"/>
        <v>0</v>
      </c>
      <c r="K1944" s="3">
        <f t="shared" si="247"/>
        <v>11920</v>
      </c>
      <c r="L1944">
        <f t="shared" si="243"/>
        <v>0</v>
      </c>
      <c r="M1944">
        <f t="shared" si="242"/>
        <v>0</v>
      </c>
    </row>
    <row r="1945" spans="1:13" x14ac:dyDescent="0.25">
      <c r="A1945" s="9">
        <f>Speed!A1945</f>
        <v>0</v>
      </c>
      <c r="B1945" s="9">
        <f t="shared" si="244"/>
        <v>0</v>
      </c>
      <c r="C1945" s="2">
        <f>Speed!B1945</f>
        <v>0</v>
      </c>
      <c r="D1945" s="9">
        <f>Odometer!A1945</f>
        <v>0</v>
      </c>
      <c r="E1945" s="9">
        <f t="shared" si="240"/>
        <v>0</v>
      </c>
      <c r="F1945" s="2">
        <f>Odometer!B1945</f>
        <v>0</v>
      </c>
      <c r="G1945" s="2">
        <f t="shared" si="245"/>
        <v>0</v>
      </c>
      <c r="H1945" s="2">
        <f>SUM($G$2:G1945)</f>
        <v>11920</v>
      </c>
      <c r="I1945" s="10">
        <f t="shared" si="241"/>
        <v>0</v>
      </c>
      <c r="J1945" s="10">
        <f t="shared" si="246"/>
        <v>0</v>
      </c>
      <c r="K1945" s="3">
        <f t="shared" si="247"/>
        <v>11920</v>
      </c>
      <c r="L1945">
        <f t="shared" si="243"/>
        <v>0</v>
      </c>
      <c r="M1945">
        <f t="shared" si="242"/>
        <v>0</v>
      </c>
    </row>
    <row r="1946" spans="1:13" x14ac:dyDescent="0.25">
      <c r="A1946" s="9">
        <f>Speed!A1946</f>
        <v>0</v>
      </c>
      <c r="B1946" s="9">
        <f t="shared" si="244"/>
        <v>0</v>
      </c>
      <c r="C1946" s="2">
        <f>Speed!B1946</f>
        <v>0</v>
      </c>
      <c r="D1946" s="9">
        <f>Odometer!A1946</f>
        <v>0</v>
      </c>
      <c r="E1946" s="9">
        <f t="shared" si="240"/>
        <v>0</v>
      </c>
      <c r="F1946" s="2">
        <f>Odometer!B1946</f>
        <v>0</v>
      </c>
      <c r="G1946" s="2">
        <f t="shared" si="245"/>
        <v>0</v>
      </c>
      <c r="H1946" s="2">
        <f>SUM($G$2:G1946)</f>
        <v>11920</v>
      </c>
      <c r="I1946" s="10">
        <f t="shared" si="241"/>
        <v>0</v>
      </c>
      <c r="J1946" s="10">
        <f t="shared" si="246"/>
        <v>0</v>
      </c>
      <c r="K1946" s="3">
        <f t="shared" si="247"/>
        <v>11920</v>
      </c>
      <c r="L1946">
        <f t="shared" si="243"/>
        <v>0</v>
      </c>
      <c r="M1946">
        <f t="shared" si="242"/>
        <v>0</v>
      </c>
    </row>
    <row r="1947" spans="1:13" x14ac:dyDescent="0.25">
      <c r="A1947" s="9">
        <f>Speed!A1947</f>
        <v>0</v>
      </c>
      <c r="B1947" s="9">
        <f t="shared" si="244"/>
        <v>0</v>
      </c>
      <c r="C1947" s="2">
        <f>Speed!B1947</f>
        <v>0</v>
      </c>
      <c r="D1947" s="9">
        <f>Odometer!A1947</f>
        <v>0</v>
      </c>
      <c r="E1947" s="9">
        <f t="shared" si="240"/>
        <v>0</v>
      </c>
      <c r="F1947" s="2">
        <f>Odometer!B1947</f>
        <v>0</v>
      </c>
      <c r="G1947" s="2">
        <f t="shared" si="245"/>
        <v>0</v>
      </c>
      <c r="H1947" s="2">
        <f>SUM($G$2:G1947)</f>
        <v>11920</v>
      </c>
      <c r="I1947" s="10">
        <f t="shared" si="241"/>
        <v>0</v>
      </c>
      <c r="J1947" s="10">
        <f t="shared" si="246"/>
        <v>0</v>
      </c>
      <c r="K1947" s="3">
        <f t="shared" si="247"/>
        <v>11920</v>
      </c>
      <c r="L1947">
        <f t="shared" si="243"/>
        <v>0</v>
      </c>
      <c r="M1947">
        <f t="shared" si="242"/>
        <v>0</v>
      </c>
    </row>
    <row r="1948" spans="1:13" x14ac:dyDescent="0.25">
      <c r="A1948" s="9">
        <f>Speed!A1948</f>
        <v>0</v>
      </c>
      <c r="B1948" s="9">
        <f t="shared" si="244"/>
        <v>0</v>
      </c>
      <c r="C1948" s="2">
        <f>Speed!B1948</f>
        <v>0</v>
      </c>
      <c r="D1948" s="9">
        <f>Odometer!A1948</f>
        <v>0</v>
      </c>
      <c r="E1948" s="9">
        <f t="shared" si="240"/>
        <v>0</v>
      </c>
      <c r="F1948" s="2">
        <f>Odometer!B1948</f>
        <v>0</v>
      </c>
      <c r="G1948" s="2">
        <f t="shared" si="245"/>
        <v>0</v>
      </c>
      <c r="H1948" s="2">
        <f>SUM($G$2:G1948)</f>
        <v>11920</v>
      </c>
      <c r="I1948" s="10">
        <f t="shared" si="241"/>
        <v>0</v>
      </c>
      <c r="J1948" s="10">
        <f t="shared" si="246"/>
        <v>0</v>
      </c>
      <c r="K1948" s="3">
        <f t="shared" si="247"/>
        <v>11920</v>
      </c>
      <c r="L1948">
        <f t="shared" si="243"/>
        <v>0</v>
      </c>
      <c r="M1948">
        <f t="shared" si="242"/>
        <v>0</v>
      </c>
    </row>
    <row r="1949" spans="1:13" x14ac:dyDescent="0.25">
      <c r="A1949" s="9">
        <f>Speed!A1949</f>
        <v>0</v>
      </c>
      <c r="B1949" s="9">
        <f t="shared" si="244"/>
        <v>0</v>
      </c>
      <c r="C1949" s="2">
        <f>Speed!B1949</f>
        <v>0</v>
      </c>
      <c r="D1949" s="9">
        <f>Odometer!A1949</f>
        <v>0</v>
      </c>
      <c r="E1949" s="9">
        <f t="shared" ref="E1949:E2000" si="248">MROUND(D1949,"00:00:01")</f>
        <v>0</v>
      </c>
      <c r="F1949" s="2">
        <f>Odometer!B1949</f>
        <v>0</v>
      </c>
      <c r="G1949" s="2">
        <f t="shared" si="245"/>
        <v>0</v>
      </c>
      <c r="H1949" s="2">
        <f>SUM($G$2:G1949)</f>
        <v>11920</v>
      </c>
      <c r="I1949" s="10">
        <f t="shared" ref="I1949:I2000" si="249">A1949</f>
        <v>0</v>
      </c>
      <c r="J1949" s="10">
        <f t="shared" si="246"/>
        <v>0</v>
      </c>
      <c r="K1949" s="3">
        <f t="shared" si="247"/>
        <v>11920</v>
      </c>
      <c r="L1949">
        <f t="shared" si="243"/>
        <v>0</v>
      </c>
      <c r="M1949">
        <f t="shared" ref="M1949:M2000" si="250">L1949*3.6</f>
        <v>0</v>
      </c>
    </row>
    <row r="1950" spans="1:13" x14ac:dyDescent="0.25">
      <c r="A1950" s="9">
        <f>Speed!A1950</f>
        <v>0</v>
      </c>
      <c r="B1950" s="9">
        <f t="shared" si="244"/>
        <v>0</v>
      </c>
      <c r="C1950" s="2">
        <f>Speed!B1950</f>
        <v>0</v>
      </c>
      <c r="D1950" s="9">
        <f>Odometer!A1950</f>
        <v>0</v>
      </c>
      <c r="E1950" s="9">
        <f t="shared" si="248"/>
        <v>0</v>
      </c>
      <c r="F1950" s="2">
        <f>Odometer!B1950</f>
        <v>0</v>
      </c>
      <c r="G1950" s="2">
        <f t="shared" si="245"/>
        <v>0</v>
      </c>
      <c r="H1950" s="2">
        <f>SUM($G$2:G1950)</f>
        <v>11920</v>
      </c>
      <c r="I1950" s="10">
        <f t="shared" si="249"/>
        <v>0</v>
      </c>
      <c r="J1950" s="10">
        <f t="shared" si="246"/>
        <v>0</v>
      </c>
      <c r="K1950" s="3">
        <f t="shared" si="247"/>
        <v>11920</v>
      </c>
      <c r="L1950">
        <f t="shared" si="243"/>
        <v>0</v>
      </c>
      <c r="M1950">
        <f t="shared" si="250"/>
        <v>0</v>
      </c>
    </row>
    <row r="1951" spans="1:13" x14ac:dyDescent="0.25">
      <c r="A1951" s="9">
        <f>Speed!A1951</f>
        <v>0</v>
      </c>
      <c r="B1951" s="9">
        <f t="shared" si="244"/>
        <v>0</v>
      </c>
      <c r="C1951" s="2">
        <f>Speed!B1951</f>
        <v>0</v>
      </c>
      <c r="D1951" s="9">
        <f>Odometer!A1951</f>
        <v>0</v>
      </c>
      <c r="E1951" s="9">
        <f t="shared" si="248"/>
        <v>0</v>
      </c>
      <c r="F1951" s="2">
        <f>Odometer!B1951</f>
        <v>0</v>
      </c>
      <c r="G1951" s="2">
        <f t="shared" si="245"/>
        <v>0</v>
      </c>
      <c r="H1951" s="2">
        <f>SUM($G$2:G1951)</f>
        <v>11920</v>
      </c>
      <c r="I1951" s="10">
        <f t="shared" si="249"/>
        <v>0</v>
      </c>
      <c r="J1951" s="10">
        <f t="shared" si="246"/>
        <v>0</v>
      </c>
      <c r="K1951" s="3">
        <f t="shared" si="247"/>
        <v>11920</v>
      </c>
      <c r="L1951">
        <f t="shared" si="243"/>
        <v>0</v>
      </c>
      <c r="M1951">
        <f t="shared" si="250"/>
        <v>0</v>
      </c>
    </row>
    <row r="1952" spans="1:13" x14ac:dyDescent="0.25">
      <c r="A1952" s="9">
        <f>Speed!A1952</f>
        <v>0</v>
      </c>
      <c r="B1952" s="9">
        <f t="shared" si="244"/>
        <v>0</v>
      </c>
      <c r="C1952" s="2">
        <f>Speed!B1952</f>
        <v>0</v>
      </c>
      <c r="D1952" s="9">
        <f>Odometer!A1952</f>
        <v>0</v>
      </c>
      <c r="E1952" s="9">
        <f t="shared" si="248"/>
        <v>0</v>
      </c>
      <c r="F1952" s="2">
        <f>Odometer!B1952</f>
        <v>0</v>
      </c>
      <c r="G1952" s="2">
        <f t="shared" si="245"/>
        <v>0</v>
      </c>
      <c r="H1952" s="2">
        <f>SUM($G$2:G1952)</f>
        <v>11920</v>
      </c>
      <c r="I1952" s="10">
        <f t="shared" si="249"/>
        <v>0</v>
      </c>
      <c r="J1952" s="10">
        <f t="shared" si="246"/>
        <v>0</v>
      </c>
      <c r="K1952" s="3">
        <f t="shared" si="247"/>
        <v>11920</v>
      </c>
      <c r="L1952">
        <f t="shared" si="243"/>
        <v>0</v>
      </c>
      <c r="M1952">
        <f t="shared" si="250"/>
        <v>0</v>
      </c>
    </row>
    <row r="1953" spans="1:13" x14ac:dyDescent="0.25">
      <c r="A1953" s="9">
        <f>Speed!A1953</f>
        <v>0</v>
      </c>
      <c r="B1953" s="9">
        <f t="shared" si="244"/>
        <v>0</v>
      </c>
      <c r="C1953" s="2">
        <f>Speed!B1953</f>
        <v>0</v>
      </c>
      <c r="D1953" s="9">
        <f>Odometer!A1953</f>
        <v>0</v>
      </c>
      <c r="E1953" s="9">
        <f t="shared" si="248"/>
        <v>0</v>
      </c>
      <c r="F1953" s="2">
        <f>Odometer!B1953</f>
        <v>0</v>
      </c>
      <c r="G1953" s="2">
        <f t="shared" si="245"/>
        <v>0</v>
      </c>
      <c r="H1953" s="2">
        <f>SUM($G$2:G1953)</f>
        <v>11920</v>
      </c>
      <c r="I1953" s="10">
        <f t="shared" si="249"/>
        <v>0</v>
      </c>
      <c r="J1953" s="10">
        <f t="shared" si="246"/>
        <v>0</v>
      </c>
      <c r="K1953" s="3">
        <f t="shared" si="247"/>
        <v>11920</v>
      </c>
      <c r="L1953">
        <f t="shared" si="243"/>
        <v>0</v>
      </c>
      <c r="M1953">
        <f t="shared" si="250"/>
        <v>0</v>
      </c>
    </row>
    <row r="1954" spans="1:13" x14ac:dyDescent="0.25">
      <c r="A1954" s="9">
        <f>Speed!A1954</f>
        <v>0</v>
      </c>
      <c r="B1954" s="9">
        <f t="shared" si="244"/>
        <v>0</v>
      </c>
      <c r="C1954" s="2">
        <f>Speed!B1954</f>
        <v>0</v>
      </c>
      <c r="D1954" s="9">
        <f>Odometer!A1954</f>
        <v>0</v>
      </c>
      <c r="E1954" s="9">
        <f t="shared" si="248"/>
        <v>0</v>
      </c>
      <c r="F1954" s="2">
        <f>Odometer!B1954</f>
        <v>0</v>
      </c>
      <c r="G1954" s="2">
        <f t="shared" si="245"/>
        <v>0</v>
      </c>
      <c r="H1954" s="2">
        <f>SUM($G$2:G1954)</f>
        <v>11920</v>
      </c>
      <c r="I1954" s="10">
        <f t="shared" si="249"/>
        <v>0</v>
      </c>
      <c r="J1954" s="10">
        <f t="shared" si="246"/>
        <v>0</v>
      </c>
      <c r="K1954" s="3">
        <f t="shared" si="247"/>
        <v>11920</v>
      </c>
      <c r="L1954">
        <f t="shared" si="243"/>
        <v>0</v>
      </c>
      <c r="M1954">
        <f t="shared" si="250"/>
        <v>0</v>
      </c>
    </row>
    <row r="1955" spans="1:13" x14ac:dyDescent="0.25">
      <c r="A1955" s="9">
        <f>Speed!A1955</f>
        <v>0</v>
      </c>
      <c r="B1955" s="9">
        <f t="shared" si="244"/>
        <v>0</v>
      </c>
      <c r="C1955" s="2">
        <f>Speed!B1955</f>
        <v>0</v>
      </c>
      <c r="D1955" s="9">
        <f>Odometer!A1955</f>
        <v>0</v>
      </c>
      <c r="E1955" s="9">
        <f t="shared" si="248"/>
        <v>0</v>
      </c>
      <c r="F1955" s="2">
        <f>Odometer!B1955</f>
        <v>0</v>
      </c>
      <c r="G1955" s="2">
        <f t="shared" si="245"/>
        <v>0</v>
      </c>
      <c r="H1955" s="2">
        <f>SUM($G$2:G1955)</f>
        <v>11920</v>
      </c>
      <c r="I1955" s="10">
        <f t="shared" si="249"/>
        <v>0</v>
      </c>
      <c r="J1955" s="10">
        <f t="shared" si="246"/>
        <v>0</v>
      </c>
      <c r="K1955" s="3">
        <f t="shared" si="247"/>
        <v>11920</v>
      </c>
      <c r="L1955">
        <f t="shared" si="243"/>
        <v>0</v>
      </c>
      <c r="M1955">
        <f t="shared" si="250"/>
        <v>0</v>
      </c>
    </row>
    <row r="1956" spans="1:13" x14ac:dyDescent="0.25">
      <c r="A1956" s="9">
        <f>Speed!A1956</f>
        <v>0</v>
      </c>
      <c r="B1956" s="9">
        <f t="shared" si="244"/>
        <v>0</v>
      </c>
      <c r="C1956" s="2">
        <f>Speed!B1956</f>
        <v>0</v>
      </c>
      <c r="D1956" s="9">
        <f>Odometer!A1956</f>
        <v>0</v>
      </c>
      <c r="E1956" s="9">
        <f t="shared" si="248"/>
        <v>0</v>
      </c>
      <c r="F1956" s="2">
        <f>Odometer!B1956</f>
        <v>0</v>
      </c>
      <c r="G1956" s="2">
        <f t="shared" si="245"/>
        <v>0</v>
      </c>
      <c r="H1956" s="2">
        <f>SUM($G$2:G1956)</f>
        <v>11920</v>
      </c>
      <c r="I1956" s="10">
        <f t="shared" si="249"/>
        <v>0</v>
      </c>
      <c r="J1956" s="10">
        <f t="shared" si="246"/>
        <v>0</v>
      </c>
      <c r="K1956" s="3">
        <f t="shared" si="247"/>
        <v>11920</v>
      </c>
      <c r="L1956">
        <f t="shared" si="243"/>
        <v>0</v>
      </c>
      <c r="M1956">
        <f t="shared" si="250"/>
        <v>0</v>
      </c>
    </row>
    <row r="1957" spans="1:13" x14ac:dyDescent="0.25">
      <c r="A1957" s="9">
        <f>Speed!A1957</f>
        <v>0</v>
      </c>
      <c r="B1957" s="9">
        <f t="shared" si="244"/>
        <v>0</v>
      </c>
      <c r="C1957" s="2">
        <f>Speed!B1957</f>
        <v>0</v>
      </c>
      <c r="D1957" s="9">
        <f>Odometer!A1957</f>
        <v>0</v>
      </c>
      <c r="E1957" s="9">
        <f t="shared" si="248"/>
        <v>0</v>
      </c>
      <c r="F1957" s="2">
        <f>Odometer!B1957</f>
        <v>0</v>
      </c>
      <c r="G1957" s="2">
        <f t="shared" si="245"/>
        <v>0</v>
      </c>
      <c r="H1957" s="2">
        <f>SUM($G$2:G1957)</f>
        <v>11920</v>
      </c>
      <c r="I1957" s="10">
        <f t="shared" si="249"/>
        <v>0</v>
      </c>
      <c r="J1957" s="10">
        <f t="shared" si="246"/>
        <v>0</v>
      </c>
      <c r="K1957" s="3">
        <f t="shared" si="247"/>
        <v>11920</v>
      </c>
      <c r="L1957">
        <f t="shared" si="243"/>
        <v>0</v>
      </c>
      <c r="M1957">
        <f t="shared" si="250"/>
        <v>0</v>
      </c>
    </row>
    <row r="1958" spans="1:13" x14ac:dyDescent="0.25">
      <c r="A1958" s="9">
        <f>Speed!A1958</f>
        <v>0</v>
      </c>
      <c r="B1958" s="9">
        <f t="shared" si="244"/>
        <v>0</v>
      </c>
      <c r="C1958" s="2">
        <f>Speed!B1958</f>
        <v>0</v>
      </c>
      <c r="D1958" s="9">
        <f>Odometer!A1958</f>
        <v>0</v>
      </c>
      <c r="E1958" s="9">
        <f t="shared" si="248"/>
        <v>0</v>
      </c>
      <c r="F1958" s="2">
        <f>Odometer!B1958</f>
        <v>0</v>
      </c>
      <c r="G1958" s="2">
        <f t="shared" si="245"/>
        <v>0</v>
      </c>
      <c r="H1958" s="2">
        <f>SUM($G$2:G1958)</f>
        <v>11920</v>
      </c>
      <c r="I1958" s="10">
        <f t="shared" si="249"/>
        <v>0</v>
      </c>
      <c r="J1958" s="10">
        <f t="shared" si="246"/>
        <v>0</v>
      </c>
      <c r="K1958" s="3">
        <f t="shared" si="247"/>
        <v>11920</v>
      </c>
      <c r="L1958">
        <f t="shared" si="243"/>
        <v>0</v>
      </c>
      <c r="M1958">
        <f t="shared" si="250"/>
        <v>0</v>
      </c>
    </row>
    <row r="1959" spans="1:13" x14ac:dyDescent="0.25">
      <c r="A1959" s="9">
        <f>Speed!A1959</f>
        <v>0</v>
      </c>
      <c r="B1959" s="9">
        <f t="shared" si="244"/>
        <v>0</v>
      </c>
      <c r="C1959" s="2">
        <f>Speed!B1959</f>
        <v>0</v>
      </c>
      <c r="D1959" s="9">
        <f>Odometer!A1959</f>
        <v>0</v>
      </c>
      <c r="E1959" s="9">
        <f t="shared" si="248"/>
        <v>0</v>
      </c>
      <c r="F1959" s="2">
        <f>Odometer!B1959</f>
        <v>0</v>
      </c>
      <c r="G1959" s="2">
        <f t="shared" si="245"/>
        <v>0</v>
      </c>
      <c r="H1959" s="2">
        <f>SUM($G$2:G1959)</f>
        <v>11920</v>
      </c>
      <c r="I1959" s="10">
        <f t="shared" si="249"/>
        <v>0</v>
      </c>
      <c r="J1959" s="10">
        <f t="shared" si="246"/>
        <v>0</v>
      </c>
      <c r="K1959" s="3">
        <f t="shared" si="247"/>
        <v>11920</v>
      </c>
      <c r="L1959">
        <f t="shared" si="243"/>
        <v>0</v>
      </c>
      <c r="M1959">
        <f t="shared" si="250"/>
        <v>0</v>
      </c>
    </row>
    <row r="1960" spans="1:13" x14ac:dyDescent="0.25">
      <c r="A1960" s="9">
        <f>Speed!A1960</f>
        <v>0</v>
      </c>
      <c r="B1960" s="9">
        <f t="shared" si="244"/>
        <v>0</v>
      </c>
      <c r="C1960" s="2">
        <f>Speed!B1960</f>
        <v>0</v>
      </c>
      <c r="D1960" s="9">
        <f>Odometer!A1960</f>
        <v>0</v>
      </c>
      <c r="E1960" s="9">
        <f t="shared" si="248"/>
        <v>0</v>
      </c>
      <c r="F1960" s="2">
        <f>Odometer!B1960</f>
        <v>0</v>
      </c>
      <c r="G1960" s="2">
        <f t="shared" si="245"/>
        <v>0</v>
      </c>
      <c r="H1960" s="2">
        <f>SUM($G$2:G1960)</f>
        <v>11920</v>
      </c>
      <c r="I1960" s="10">
        <f t="shared" si="249"/>
        <v>0</v>
      </c>
      <c r="J1960" s="10">
        <f t="shared" si="246"/>
        <v>0</v>
      </c>
      <c r="K1960" s="3">
        <f t="shared" si="247"/>
        <v>11920</v>
      </c>
      <c r="L1960">
        <f t="shared" si="243"/>
        <v>0</v>
      </c>
      <c r="M1960">
        <f t="shared" si="250"/>
        <v>0</v>
      </c>
    </row>
    <row r="1961" spans="1:13" x14ac:dyDescent="0.25">
      <c r="A1961" s="9">
        <f>Speed!A1961</f>
        <v>0</v>
      </c>
      <c r="B1961" s="9">
        <f t="shared" si="244"/>
        <v>0</v>
      </c>
      <c r="C1961" s="2">
        <f>Speed!B1961</f>
        <v>0</v>
      </c>
      <c r="D1961" s="9">
        <f>Odometer!A1961</f>
        <v>0</v>
      </c>
      <c r="E1961" s="9">
        <f t="shared" si="248"/>
        <v>0</v>
      </c>
      <c r="F1961" s="2">
        <f>Odometer!B1961</f>
        <v>0</v>
      </c>
      <c r="G1961" s="2">
        <f t="shared" si="245"/>
        <v>0</v>
      </c>
      <c r="H1961" s="2">
        <f>SUM($G$2:G1961)</f>
        <v>11920</v>
      </c>
      <c r="I1961" s="10">
        <f t="shared" si="249"/>
        <v>0</v>
      </c>
      <c r="J1961" s="10">
        <f t="shared" si="246"/>
        <v>0</v>
      </c>
      <c r="K1961" s="3">
        <f t="shared" si="247"/>
        <v>11920</v>
      </c>
      <c r="L1961">
        <f t="shared" si="243"/>
        <v>0</v>
      </c>
      <c r="M1961">
        <f t="shared" si="250"/>
        <v>0</v>
      </c>
    </row>
    <row r="1962" spans="1:13" x14ac:dyDescent="0.25">
      <c r="A1962" s="9">
        <f>Speed!A1962</f>
        <v>0</v>
      </c>
      <c r="B1962" s="9">
        <f t="shared" si="244"/>
        <v>0</v>
      </c>
      <c r="C1962" s="2">
        <f>Speed!B1962</f>
        <v>0</v>
      </c>
      <c r="D1962" s="9">
        <f>Odometer!A1962</f>
        <v>0</v>
      </c>
      <c r="E1962" s="9">
        <f t="shared" si="248"/>
        <v>0</v>
      </c>
      <c r="F1962" s="2">
        <f>Odometer!B1962</f>
        <v>0</v>
      </c>
      <c r="G1962" s="2">
        <f t="shared" si="245"/>
        <v>0</v>
      </c>
      <c r="H1962" s="2">
        <f>SUM($G$2:G1962)</f>
        <v>11920</v>
      </c>
      <c r="I1962" s="10">
        <f t="shared" si="249"/>
        <v>0</v>
      </c>
      <c r="J1962" s="10">
        <f t="shared" si="246"/>
        <v>0</v>
      </c>
      <c r="K1962" s="3">
        <f t="shared" si="247"/>
        <v>11920</v>
      </c>
      <c r="L1962">
        <f t="shared" si="243"/>
        <v>0</v>
      </c>
      <c r="M1962">
        <f t="shared" si="250"/>
        <v>0</v>
      </c>
    </row>
    <row r="1963" spans="1:13" x14ac:dyDescent="0.25">
      <c r="A1963" s="9">
        <f>Speed!A1963</f>
        <v>0</v>
      </c>
      <c r="B1963" s="9">
        <f t="shared" si="244"/>
        <v>0</v>
      </c>
      <c r="C1963" s="2">
        <f>Speed!B1963</f>
        <v>0</v>
      </c>
      <c r="D1963" s="9">
        <f>Odometer!A1963</f>
        <v>0</v>
      </c>
      <c r="E1963" s="9">
        <f t="shared" si="248"/>
        <v>0</v>
      </c>
      <c r="F1963" s="2">
        <f>Odometer!B1963</f>
        <v>0</v>
      </c>
      <c r="G1963" s="2">
        <f t="shared" si="245"/>
        <v>0</v>
      </c>
      <c r="H1963" s="2">
        <f>SUM($G$2:G1963)</f>
        <v>11920</v>
      </c>
      <c r="I1963" s="10">
        <f t="shared" si="249"/>
        <v>0</v>
      </c>
      <c r="J1963" s="10">
        <f t="shared" si="246"/>
        <v>0</v>
      </c>
      <c r="K1963" s="3">
        <f t="shared" si="247"/>
        <v>11920</v>
      </c>
      <c r="L1963">
        <f t="shared" si="243"/>
        <v>0</v>
      </c>
      <c r="M1963">
        <f t="shared" si="250"/>
        <v>0</v>
      </c>
    </row>
    <row r="1964" spans="1:13" x14ac:dyDescent="0.25">
      <c r="A1964" s="9">
        <f>Speed!A1964</f>
        <v>0</v>
      </c>
      <c r="B1964" s="9">
        <f t="shared" si="244"/>
        <v>0</v>
      </c>
      <c r="C1964" s="2">
        <f>Speed!B1964</f>
        <v>0</v>
      </c>
      <c r="D1964" s="9">
        <f>Odometer!A1964</f>
        <v>0</v>
      </c>
      <c r="E1964" s="9">
        <f t="shared" si="248"/>
        <v>0</v>
      </c>
      <c r="F1964" s="2">
        <f>Odometer!B1964</f>
        <v>0</v>
      </c>
      <c r="G1964" s="2">
        <f t="shared" si="245"/>
        <v>0</v>
      </c>
      <c r="H1964" s="2">
        <f>SUM($G$2:G1964)</f>
        <v>11920</v>
      </c>
      <c r="I1964" s="10">
        <f t="shared" si="249"/>
        <v>0</v>
      </c>
      <c r="J1964" s="10">
        <f t="shared" si="246"/>
        <v>0</v>
      </c>
      <c r="K1964" s="3">
        <f t="shared" si="247"/>
        <v>11920</v>
      </c>
      <c r="L1964">
        <f t="shared" si="243"/>
        <v>0</v>
      </c>
      <c r="M1964">
        <f t="shared" si="250"/>
        <v>0</v>
      </c>
    </row>
    <row r="1965" spans="1:13" x14ac:dyDescent="0.25">
      <c r="A1965" s="9">
        <f>Speed!A1965</f>
        <v>0</v>
      </c>
      <c r="B1965" s="9">
        <f t="shared" si="244"/>
        <v>0</v>
      </c>
      <c r="C1965" s="2">
        <f>Speed!B1965</f>
        <v>0</v>
      </c>
      <c r="D1965" s="9">
        <f>Odometer!A1965</f>
        <v>0</v>
      </c>
      <c r="E1965" s="9">
        <f t="shared" si="248"/>
        <v>0</v>
      </c>
      <c r="F1965" s="2">
        <f>Odometer!B1965</f>
        <v>0</v>
      </c>
      <c r="G1965" s="2">
        <f t="shared" si="245"/>
        <v>0</v>
      </c>
      <c r="H1965" s="2">
        <f>SUM($G$2:G1965)</f>
        <v>11920</v>
      </c>
      <c r="I1965" s="10">
        <f t="shared" si="249"/>
        <v>0</v>
      </c>
      <c r="J1965" s="10">
        <f t="shared" si="246"/>
        <v>0</v>
      </c>
      <c r="K1965" s="3">
        <f t="shared" si="247"/>
        <v>11920</v>
      </c>
      <c r="L1965">
        <f t="shared" si="243"/>
        <v>0</v>
      </c>
      <c r="M1965">
        <f t="shared" si="250"/>
        <v>0</v>
      </c>
    </row>
    <row r="1966" spans="1:13" x14ac:dyDescent="0.25">
      <c r="A1966" s="9">
        <f>Speed!A1966</f>
        <v>0</v>
      </c>
      <c r="B1966" s="9">
        <f t="shared" si="244"/>
        <v>0</v>
      </c>
      <c r="C1966" s="2">
        <f>Speed!B1966</f>
        <v>0</v>
      </c>
      <c r="D1966" s="9">
        <f>Odometer!A1966</f>
        <v>0</v>
      </c>
      <c r="E1966" s="9">
        <f t="shared" si="248"/>
        <v>0</v>
      </c>
      <c r="F1966" s="2">
        <f>Odometer!B1966</f>
        <v>0</v>
      </c>
      <c r="G1966" s="2">
        <f t="shared" si="245"/>
        <v>0</v>
      </c>
      <c r="H1966" s="2">
        <f>SUM($G$2:G1966)</f>
        <v>11920</v>
      </c>
      <c r="I1966" s="10">
        <f t="shared" si="249"/>
        <v>0</v>
      </c>
      <c r="J1966" s="10">
        <f t="shared" si="246"/>
        <v>0</v>
      </c>
      <c r="K1966" s="3">
        <f t="shared" si="247"/>
        <v>11920</v>
      </c>
      <c r="L1966">
        <f t="shared" si="243"/>
        <v>0</v>
      </c>
      <c r="M1966">
        <f t="shared" si="250"/>
        <v>0</v>
      </c>
    </row>
    <row r="1967" spans="1:13" x14ac:dyDescent="0.25">
      <c r="A1967" s="9">
        <f>Speed!A1967</f>
        <v>0</v>
      </c>
      <c r="B1967" s="9">
        <f t="shared" si="244"/>
        <v>0</v>
      </c>
      <c r="C1967" s="2">
        <f>Speed!B1967</f>
        <v>0</v>
      </c>
      <c r="D1967" s="9">
        <f>Odometer!A1967</f>
        <v>0</v>
      </c>
      <c r="E1967" s="9">
        <f t="shared" si="248"/>
        <v>0</v>
      </c>
      <c r="F1967" s="2">
        <f>Odometer!B1967</f>
        <v>0</v>
      </c>
      <c r="G1967" s="2">
        <f t="shared" si="245"/>
        <v>0</v>
      </c>
      <c r="H1967" s="2">
        <f>SUM($G$2:G1967)</f>
        <v>11920</v>
      </c>
      <c r="I1967" s="10">
        <f t="shared" si="249"/>
        <v>0</v>
      </c>
      <c r="J1967" s="10">
        <f t="shared" si="246"/>
        <v>0</v>
      </c>
      <c r="K1967" s="3">
        <f t="shared" si="247"/>
        <v>11920</v>
      </c>
      <c r="L1967">
        <f t="shared" si="243"/>
        <v>0</v>
      </c>
      <c r="M1967">
        <f t="shared" si="250"/>
        <v>0</v>
      </c>
    </row>
    <row r="1968" spans="1:13" x14ac:dyDescent="0.25">
      <c r="A1968" s="9">
        <f>Speed!A1968</f>
        <v>0</v>
      </c>
      <c r="B1968" s="9">
        <f t="shared" si="244"/>
        <v>0</v>
      </c>
      <c r="C1968" s="2">
        <f>Speed!B1968</f>
        <v>0</v>
      </c>
      <c r="D1968" s="9">
        <f>Odometer!A1968</f>
        <v>0</v>
      </c>
      <c r="E1968" s="9">
        <f t="shared" si="248"/>
        <v>0</v>
      </c>
      <c r="F1968" s="2">
        <f>Odometer!B1968</f>
        <v>0</v>
      </c>
      <c r="G1968" s="2">
        <f t="shared" si="245"/>
        <v>0</v>
      </c>
      <c r="H1968" s="2">
        <f>SUM($G$2:G1968)</f>
        <v>11920</v>
      </c>
      <c r="I1968" s="10">
        <f t="shared" si="249"/>
        <v>0</v>
      </c>
      <c r="J1968" s="10">
        <f t="shared" si="246"/>
        <v>0</v>
      </c>
      <c r="K1968" s="3">
        <f t="shared" si="247"/>
        <v>11920</v>
      </c>
      <c r="L1968">
        <f t="shared" si="243"/>
        <v>0</v>
      </c>
      <c r="M1968">
        <f t="shared" si="250"/>
        <v>0</v>
      </c>
    </row>
    <row r="1969" spans="1:13" x14ac:dyDescent="0.25">
      <c r="A1969" s="9">
        <f>Speed!A1969</f>
        <v>0</v>
      </c>
      <c r="B1969" s="9">
        <f t="shared" si="244"/>
        <v>0</v>
      </c>
      <c r="C1969" s="2">
        <f>Speed!B1969</f>
        <v>0</v>
      </c>
      <c r="D1969" s="9">
        <f>Odometer!A1969</f>
        <v>0</v>
      </c>
      <c r="E1969" s="9">
        <f t="shared" si="248"/>
        <v>0</v>
      </c>
      <c r="F1969" s="2">
        <f>Odometer!B1969</f>
        <v>0</v>
      </c>
      <c r="G1969" s="2">
        <f t="shared" si="245"/>
        <v>0</v>
      </c>
      <c r="H1969" s="2">
        <f>SUM($G$2:G1969)</f>
        <v>11920</v>
      </c>
      <c r="I1969" s="10">
        <f t="shared" si="249"/>
        <v>0</v>
      </c>
      <c r="J1969" s="10">
        <f t="shared" si="246"/>
        <v>0</v>
      </c>
      <c r="K1969" s="3">
        <f t="shared" si="247"/>
        <v>11920</v>
      </c>
      <c r="L1969">
        <f t="shared" si="243"/>
        <v>0</v>
      </c>
      <c r="M1969">
        <f t="shared" si="250"/>
        <v>0</v>
      </c>
    </row>
    <row r="1970" spans="1:13" x14ac:dyDescent="0.25">
      <c r="A1970" s="9">
        <f>Speed!A1970</f>
        <v>0</v>
      </c>
      <c r="B1970" s="9">
        <f t="shared" si="244"/>
        <v>0</v>
      </c>
      <c r="C1970" s="2">
        <f>Speed!B1970</f>
        <v>0</v>
      </c>
      <c r="D1970" s="9">
        <f>Odometer!A1970</f>
        <v>0</v>
      </c>
      <c r="E1970" s="9">
        <f t="shared" si="248"/>
        <v>0</v>
      </c>
      <c r="F1970" s="2">
        <f>Odometer!B1970</f>
        <v>0</v>
      </c>
      <c r="G1970" s="2">
        <f t="shared" si="245"/>
        <v>0</v>
      </c>
      <c r="H1970" s="2">
        <f>SUM($G$2:G1970)</f>
        <v>11920</v>
      </c>
      <c r="I1970" s="10">
        <f t="shared" si="249"/>
        <v>0</v>
      </c>
      <c r="J1970" s="10">
        <f t="shared" si="246"/>
        <v>0</v>
      </c>
      <c r="K1970" s="3">
        <f t="shared" si="247"/>
        <v>11920</v>
      </c>
      <c r="L1970">
        <f t="shared" si="243"/>
        <v>0</v>
      </c>
      <c r="M1970">
        <f t="shared" si="250"/>
        <v>0</v>
      </c>
    </row>
    <row r="1971" spans="1:13" x14ac:dyDescent="0.25">
      <c r="A1971" s="9">
        <f>Speed!A1971</f>
        <v>0</v>
      </c>
      <c r="B1971" s="9">
        <f t="shared" si="244"/>
        <v>0</v>
      </c>
      <c r="C1971" s="2">
        <f>Speed!B1971</f>
        <v>0</v>
      </c>
      <c r="D1971" s="9">
        <f>Odometer!A1971</f>
        <v>0</v>
      </c>
      <c r="E1971" s="9">
        <f t="shared" si="248"/>
        <v>0</v>
      </c>
      <c r="F1971" s="2">
        <f>Odometer!B1971</f>
        <v>0</v>
      </c>
      <c r="G1971" s="2">
        <f t="shared" si="245"/>
        <v>0</v>
      </c>
      <c r="H1971" s="2">
        <f>SUM($G$2:G1971)</f>
        <v>11920</v>
      </c>
      <c r="I1971" s="10">
        <f t="shared" si="249"/>
        <v>0</v>
      </c>
      <c r="J1971" s="10">
        <f t="shared" si="246"/>
        <v>0</v>
      </c>
      <c r="K1971" s="3">
        <f t="shared" si="247"/>
        <v>11920</v>
      </c>
      <c r="L1971">
        <f t="shared" si="243"/>
        <v>0</v>
      </c>
      <c r="M1971">
        <f t="shared" si="250"/>
        <v>0</v>
      </c>
    </row>
    <row r="1972" spans="1:13" x14ac:dyDescent="0.25">
      <c r="A1972" s="9">
        <f>Speed!A1972</f>
        <v>0</v>
      </c>
      <c r="B1972" s="9">
        <f t="shared" si="244"/>
        <v>0</v>
      </c>
      <c r="C1972" s="2">
        <f>Speed!B1972</f>
        <v>0</v>
      </c>
      <c r="D1972" s="9">
        <f>Odometer!A1972</f>
        <v>0</v>
      </c>
      <c r="E1972" s="9">
        <f t="shared" si="248"/>
        <v>0</v>
      </c>
      <c r="F1972" s="2">
        <f>Odometer!B1972</f>
        <v>0</v>
      </c>
      <c r="G1972" s="2">
        <f t="shared" si="245"/>
        <v>0</v>
      </c>
      <c r="H1972" s="2">
        <f>SUM($G$2:G1972)</f>
        <v>11920</v>
      </c>
      <c r="I1972" s="10">
        <f t="shared" si="249"/>
        <v>0</v>
      </c>
      <c r="J1972" s="10">
        <f t="shared" si="246"/>
        <v>0</v>
      </c>
      <c r="K1972" s="3">
        <f t="shared" si="247"/>
        <v>11920</v>
      </c>
      <c r="L1972">
        <f t="shared" si="243"/>
        <v>0</v>
      </c>
      <c r="M1972">
        <f t="shared" si="250"/>
        <v>0</v>
      </c>
    </row>
    <row r="1973" spans="1:13" x14ac:dyDescent="0.25">
      <c r="A1973" s="9">
        <f>Speed!A1973</f>
        <v>0</v>
      </c>
      <c r="B1973" s="9">
        <f t="shared" si="244"/>
        <v>0</v>
      </c>
      <c r="C1973" s="2">
        <f>Speed!B1973</f>
        <v>0</v>
      </c>
      <c r="D1973" s="9">
        <f>Odometer!A1973</f>
        <v>0</v>
      </c>
      <c r="E1973" s="9">
        <f t="shared" si="248"/>
        <v>0</v>
      </c>
      <c r="F1973" s="2">
        <f>Odometer!B1973</f>
        <v>0</v>
      </c>
      <c r="G1973" s="2">
        <f t="shared" si="245"/>
        <v>0</v>
      </c>
      <c r="H1973" s="2">
        <f>SUM($G$2:G1973)</f>
        <v>11920</v>
      </c>
      <c r="I1973" s="10">
        <f t="shared" si="249"/>
        <v>0</v>
      </c>
      <c r="J1973" s="10">
        <f t="shared" si="246"/>
        <v>0</v>
      </c>
      <c r="K1973" s="3">
        <f t="shared" si="247"/>
        <v>11920</v>
      </c>
      <c r="L1973">
        <f t="shared" si="243"/>
        <v>0</v>
      </c>
      <c r="M1973">
        <f t="shared" si="250"/>
        <v>0</v>
      </c>
    </row>
    <row r="1974" spans="1:13" x14ac:dyDescent="0.25">
      <c r="A1974" s="9">
        <f>Speed!A1974</f>
        <v>0</v>
      </c>
      <c r="B1974" s="9">
        <f t="shared" si="244"/>
        <v>0</v>
      </c>
      <c r="C1974" s="2">
        <f>Speed!B1974</f>
        <v>0</v>
      </c>
      <c r="D1974" s="9">
        <f>Odometer!A1974</f>
        <v>0</v>
      </c>
      <c r="E1974" s="9">
        <f t="shared" si="248"/>
        <v>0</v>
      </c>
      <c r="F1974" s="2">
        <f>Odometer!B1974</f>
        <v>0</v>
      </c>
      <c r="G1974" s="2">
        <f t="shared" si="245"/>
        <v>0</v>
      </c>
      <c r="H1974" s="2">
        <f>SUM($G$2:G1974)</f>
        <v>11920</v>
      </c>
      <c r="I1974" s="10">
        <f t="shared" si="249"/>
        <v>0</v>
      </c>
      <c r="J1974" s="10">
        <f t="shared" si="246"/>
        <v>0</v>
      </c>
      <c r="K1974" s="3">
        <f t="shared" si="247"/>
        <v>11920</v>
      </c>
      <c r="L1974">
        <f t="shared" si="243"/>
        <v>0</v>
      </c>
      <c r="M1974">
        <f t="shared" si="250"/>
        <v>0</v>
      </c>
    </row>
    <row r="1975" spans="1:13" x14ac:dyDescent="0.25">
      <c r="A1975" s="9">
        <f>Speed!A1975</f>
        <v>0</v>
      </c>
      <c r="B1975" s="9">
        <f t="shared" si="244"/>
        <v>0</v>
      </c>
      <c r="C1975" s="2">
        <f>Speed!B1975</f>
        <v>0</v>
      </c>
      <c r="D1975" s="9">
        <f>Odometer!A1975</f>
        <v>0</v>
      </c>
      <c r="E1975" s="9">
        <f t="shared" si="248"/>
        <v>0</v>
      </c>
      <c r="F1975" s="2">
        <f>Odometer!B1975</f>
        <v>0</v>
      </c>
      <c r="G1975" s="2">
        <f t="shared" si="245"/>
        <v>0</v>
      </c>
      <c r="H1975" s="2">
        <f>SUM($G$2:G1975)</f>
        <v>11920</v>
      </c>
      <c r="I1975" s="10">
        <f t="shared" si="249"/>
        <v>0</v>
      </c>
      <c r="J1975" s="10">
        <f t="shared" si="246"/>
        <v>0</v>
      </c>
      <c r="K1975" s="3">
        <f t="shared" si="247"/>
        <v>11920</v>
      </c>
      <c r="L1975">
        <f t="shared" si="243"/>
        <v>0</v>
      </c>
      <c r="M1975">
        <f t="shared" si="250"/>
        <v>0</v>
      </c>
    </row>
    <row r="1976" spans="1:13" x14ac:dyDescent="0.25">
      <c r="A1976" s="9">
        <f>Speed!A1976</f>
        <v>0</v>
      </c>
      <c r="B1976" s="9">
        <f t="shared" si="244"/>
        <v>0</v>
      </c>
      <c r="C1976" s="2">
        <f>Speed!B1976</f>
        <v>0</v>
      </c>
      <c r="D1976" s="9">
        <f>Odometer!A1976</f>
        <v>0</v>
      </c>
      <c r="E1976" s="9">
        <f t="shared" si="248"/>
        <v>0</v>
      </c>
      <c r="F1976" s="2">
        <f>Odometer!B1976</f>
        <v>0</v>
      </c>
      <c r="G1976" s="2">
        <f t="shared" si="245"/>
        <v>0</v>
      </c>
      <c r="H1976" s="2">
        <f>SUM($G$2:G1976)</f>
        <v>11920</v>
      </c>
      <c r="I1976" s="10">
        <f t="shared" si="249"/>
        <v>0</v>
      </c>
      <c r="J1976" s="10">
        <f t="shared" si="246"/>
        <v>0</v>
      </c>
      <c r="K1976" s="3">
        <f t="shared" si="247"/>
        <v>11920</v>
      </c>
      <c r="L1976">
        <f t="shared" si="243"/>
        <v>0</v>
      </c>
      <c r="M1976">
        <f t="shared" si="250"/>
        <v>0</v>
      </c>
    </row>
    <row r="1977" spans="1:13" x14ac:dyDescent="0.25">
      <c r="A1977" s="9">
        <f>Speed!A1977</f>
        <v>0</v>
      </c>
      <c r="B1977" s="9">
        <f t="shared" si="244"/>
        <v>0</v>
      </c>
      <c r="C1977" s="2">
        <f>Speed!B1977</f>
        <v>0</v>
      </c>
      <c r="D1977" s="9">
        <f>Odometer!A1977</f>
        <v>0</v>
      </c>
      <c r="E1977" s="9">
        <f t="shared" si="248"/>
        <v>0</v>
      </c>
      <c r="F1977" s="2">
        <f>Odometer!B1977</f>
        <v>0</v>
      </c>
      <c r="G1977" s="2">
        <f t="shared" si="245"/>
        <v>0</v>
      </c>
      <c r="H1977" s="2">
        <f>SUM($G$2:G1977)</f>
        <v>11920</v>
      </c>
      <c r="I1977" s="10">
        <f t="shared" si="249"/>
        <v>0</v>
      </c>
      <c r="J1977" s="10">
        <f t="shared" si="246"/>
        <v>0</v>
      </c>
      <c r="K1977" s="3">
        <f t="shared" si="247"/>
        <v>11920</v>
      </c>
      <c r="L1977">
        <f t="shared" si="243"/>
        <v>0</v>
      </c>
      <c r="M1977">
        <f t="shared" si="250"/>
        <v>0</v>
      </c>
    </row>
    <row r="1978" spans="1:13" x14ac:dyDescent="0.25">
      <c r="A1978" s="9">
        <f>Speed!A1978</f>
        <v>0</v>
      </c>
      <c r="B1978" s="9">
        <f t="shared" si="244"/>
        <v>0</v>
      </c>
      <c r="C1978" s="2">
        <f>Speed!B1978</f>
        <v>0</v>
      </c>
      <c r="D1978" s="9">
        <f>Odometer!A1978</f>
        <v>0</v>
      </c>
      <c r="E1978" s="9">
        <f t="shared" si="248"/>
        <v>0</v>
      </c>
      <c r="F1978" s="2">
        <f>Odometer!B1978</f>
        <v>0</v>
      </c>
      <c r="G1978" s="2">
        <f t="shared" si="245"/>
        <v>0</v>
      </c>
      <c r="H1978" s="2">
        <f>SUM($G$2:G1978)</f>
        <v>11920</v>
      </c>
      <c r="I1978" s="10">
        <f t="shared" si="249"/>
        <v>0</v>
      </c>
      <c r="J1978" s="10">
        <f t="shared" si="246"/>
        <v>0</v>
      </c>
      <c r="K1978" s="3">
        <f t="shared" si="247"/>
        <v>11920</v>
      </c>
      <c r="L1978">
        <f t="shared" si="243"/>
        <v>0</v>
      </c>
      <c r="M1978">
        <f t="shared" si="250"/>
        <v>0</v>
      </c>
    </row>
    <row r="1979" spans="1:13" x14ac:dyDescent="0.25">
      <c r="A1979" s="9">
        <f>Speed!A1979</f>
        <v>0</v>
      </c>
      <c r="B1979" s="9">
        <f t="shared" si="244"/>
        <v>0</v>
      </c>
      <c r="C1979" s="2">
        <f>Speed!B1979</f>
        <v>0</v>
      </c>
      <c r="D1979" s="9">
        <f>Odometer!A1979</f>
        <v>0</v>
      </c>
      <c r="E1979" s="9">
        <f t="shared" si="248"/>
        <v>0</v>
      </c>
      <c r="F1979" s="2">
        <f>Odometer!B1979</f>
        <v>0</v>
      </c>
      <c r="G1979" s="2">
        <f t="shared" si="245"/>
        <v>0</v>
      </c>
      <c r="H1979" s="2">
        <f>SUM($G$2:G1979)</f>
        <v>11920</v>
      </c>
      <c r="I1979" s="10">
        <f t="shared" si="249"/>
        <v>0</v>
      </c>
      <c r="J1979" s="10">
        <f t="shared" si="246"/>
        <v>0</v>
      </c>
      <c r="K1979" s="3">
        <f t="shared" si="247"/>
        <v>11920</v>
      </c>
      <c r="L1979">
        <f t="shared" si="243"/>
        <v>0</v>
      </c>
      <c r="M1979">
        <f t="shared" si="250"/>
        <v>0</v>
      </c>
    </row>
    <row r="1980" spans="1:13" x14ac:dyDescent="0.25">
      <c r="A1980" s="9">
        <f>Speed!A1980</f>
        <v>0</v>
      </c>
      <c r="B1980" s="9">
        <f t="shared" si="244"/>
        <v>0</v>
      </c>
      <c r="C1980" s="2">
        <f>Speed!B1980</f>
        <v>0</v>
      </c>
      <c r="D1980" s="9">
        <f>Odometer!A1980</f>
        <v>0</v>
      </c>
      <c r="E1980" s="9">
        <f t="shared" si="248"/>
        <v>0</v>
      </c>
      <c r="F1980" s="2">
        <f>Odometer!B1980</f>
        <v>0</v>
      </c>
      <c r="G1980" s="2">
        <f t="shared" si="245"/>
        <v>0</v>
      </c>
      <c r="H1980" s="2">
        <f>SUM($G$2:G1980)</f>
        <v>11920</v>
      </c>
      <c r="I1980" s="10">
        <f t="shared" si="249"/>
        <v>0</v>
      </c>
      <c r="J1980" s="10">
        <f t="shared" si="246"/>
        <v>0</v>
      </c>
      <c r="K1980" s="3">
        <f t="shared" si="247"/>
        <v>11920</v>
      </c>
      <c r="L1980">
        <f t="shared" si="243"/>
        <v>0</v>
      </c>
      <c r="M1980">
        <f t="shared" si="250"/>
        <v>0</v>
      </c>
    </row>
    <row r="1981" spans="1:13" x14ac:dyDescent="0.25">
      <c r="A1981" s="9">
        <f>Speed!A1981</f>
        <v>0</v>
      </c>
      <c r="B1981" s="9">
        <f t="shared" si="244"/>
        <v>0</v>
      </c>
      <c r="C1981" s="2">
        <f>Speed!B1981</f>
        <v>0</v>
      </c>
      <c r="D1981" s="9">
        <f>Odometer!A1981</f>
        <v>0</v>
      </c>
      <c r="E1981" s="9">
        <f t="shared" si="248"/>
        <v>0</v>
      </c>
      <c r="F1981" s="2">
        <f>Odometer!B1981</f>
        <v>0</v>
      </c>
      <c r="G1981" s="2">
        <f t="shared" si="245"/>
        <v>0</v>
      </c>
      <c r="H1981" s="2">
        <f>SUM($G$2:G1981)</f>
        <v>11920</v>
      </c>
      <c r="I1981" s="10">
        <f t="shared" si="249"/>
        <v>0</v>
      </c>
      <c r="J1981" s="10">
        <f t="shared" si="246"/>
        <v>0</v>
      </c>
      <c r="K1981" s="3">
        <f t="shared" si="247"/>
        <v>11920</v>
      </c>
      <c r="L1981">
        <f t="shared" si="243"/>
        <v>0</v>
      </c>
      <c r="M1981">
        <f t="shared" si="250"/>
        <v>0</v>
      </c>
    </row>
    <row r="1982" spans="1:13" x14ac:dyDescent="0.25">
      <c r="A1982" s="9">
        <f>Speed!A1982</f>
        <v>0</v>
      </c>
      <c r="B1982" s="9">
        <f t="shared" si="244"/>
        <v>0</v>
      </c>
      <c r="C1982" s="2">
        <f>Speed!B1982</f>
        <v>0</v>
      </c>
      <c r="D1982" s="9">
        <f>Odometer!A1982</f>
        <v>0</v>
      </c>
      <c r="E1982" s="9">
        <f t="shared" si="248"/>
        <v>0</v>
      </c>
      <c r="F1982" s="2">
        <f>Odometer!B1982</f>
        <v>0</v>
      </c>
      <c r="G1982" s="2">
        <f t="shared" si="245"/>
        <v>0</v>
      </c>
      <c r="H1982" s="2">
        <f>SUM($G$2:G1982)</f>
        <v>11920</v>
      </c>
      <c r="I1982" s="10">
        <f t="shared" si="249"/>
        <v>0</v>
      </c>
      <c r="J1982" s="10">
        <f t="shared" si="246"/>
        <v>0</v>
      </c>
      <c r="K1982" s="3">
        <f t="shared" si="247"/>
        <v>11920</v>
      </c>
      <c r="L1982">
        <f t="shared" si="243"/>
        <v>0</v>
      </c>
      <c r="M1982">
        <f t="shared" si="250"/>
        <v>0</v>
      </c>
    </row>
    <row r="1983" spans="1:13" x14ac:dyDescent="0.25">
      <c r="A1983" s="9">
        <f>Speed!A1983</f>
        <v>0</v>
      </c>
      <c r="B1983" s="9">
        <f t="shared" si="244"/>
        <v>0</v>
      </c>
      <c r="C1983" s="2">
        <f>Speed!B1983</f>
        <v>0</v>
      </c>
      <c r="D1983" s="9">
        <f>Odometer!A1983</f>
        <v>0</v>
      </c>
      <c r="E1983" s="9">
        <f t="shared" si="248"/>
        <v>0</v>
      </c>
      <c r="F1983" s="2">
        <f>Odometer!B1983</f>
        <v>0</v>
      </c>
      <c r="G1983" s="2">
        <f t="shared" si="245"/>
        <v>0</v>
      </c>
      <c r="H1983" s="2">
        <f>SUM($G$2:G1983)</f>
        <v>11920</v>
      </c>
      <c r="I1983" s="10">
        <f t="shared" si="249"/>
        <v>0</v>
      </c>
      <c r="J1983" s="10">
        <f t="shared" si="246"/>
        <v>0</v>
      </c>
      <c r="K1983" s="3">
        <f t="shared" si="247"/>
        <v>11920</v>
      </c>
      <c r="L1983">
        <f t="shared" si="243"/>
        <v>0</v>
      </c>
      <c r="M1983">
        <f t="shared" si="250"/>
        <v>0</v>
      </c>
    </row>
    <row r="1984" spans="1:13" x14ac:dyDescent="0.25">
      <c r="A1984" s="9">
        <f>Speed!A1984</f>
        <v>0</v>
      </c>
      <c r="B1984" s="9">
        <f t="shared" si="244"/>
        <v>0</v>
      </c>
      <c r="C1984" s="2">
        <f>Speed!B1984</f>
        <v>0</v>
      </c>
      <c r="D1984" s="9">
        <f>Odometer!A1984</f>
        <v>0</v>
      </c>
      <c r="E1984" s="9">
        <f t="shared" si="248"/>
        <v>0</v>
      </c>
      <c r="F1984" s="2">
        <f>Odometer!B1984</f>
        <v>0</v>
      </c>
      <c r="G1984" s="2">
        <f t="shared" si="245"/>
        <v>0</v>
      </c>
      <c r="H1984" s="2">
        <f>SUM($G$2:G1984)</f>
        <v>11920</v>
      </c>
      <c r="I1984" s="10">
        <f t="shared" si="249"/>
        <v>0</v>
      </c>
      <c r="J1984" s="10">
        <f t="shared" si="246"/>
        <v>0</v>
      </c>
      <c r="K1984" s="3">
        <f t="shared" si="247"/>
        <v>11920</v>
      </c>
      <c r="L1984">
        <f t="shared" si="243"/>
        <v>0</v>
      </c>
      <c r="M1984">
        <f t="shared" si="250"/>
        <v>0</v>
      </c>
    </row>
    <row r="1985" spans="1:13" x14ac:dyDescent="0.25">
      <c r="A1985" s="9">
        <f>Speed!A1985</f>
        <v>0</v>
      </c>
      <c r="B1985" s="9">
        <f t="shared" si="244"/>
        <v>0</v>
      </c>
      <c r="C1985" s="2">
        <f>Speed!B1985</f>
        <v>0</v>
      </c>
      <c r="D1985" s="9">
        <f>Odometer!A1985</f>
        <v>0</v>
      </c>
      <c r="E1985" s="9">
        <f t="shared" si="248"/>
        <v>0</v>
      </c>
      <c r="F1985" s="2">
        <f>Odometer!B1985</f>
        <v>0</v>
      </c>
      <c r="G1985" s="2">
        <f t="shared" si="245"/>
        <v>0</v>
      </c>
      <c r="H1985" s="2">
        <f>SUM($G$2:G1985)</f>
        <v>11920</v>
      </c>
      <c r="I1985" s="10">
        <f t="shared" si="249"/>
        <v>0</v>
      </c>
      <c r="J1985" s="10">
        <f t="shared" si="246"/>
        <v>0</v>
      </c>
      <c r="K1985" s="3">
        <f t="shared" si="247"/>
        <v>11920</v>
      </c>
      <c r="L1985">
        <f t="shared" si="243"/>
        <v>0</v>
      </c>
      <c r="M1985">
        <f t="shared" si="250"/>
        <v>0</v>
      </c>
    </row>
    <row r="1986" spans="1:13" x14ac:dyDescent="0.25">
      <c r="A1986" s="9">
        <f>Speed!A1986</f>
        <v>0</v>
      </c>
      <c r="B1986" s="9">
        <f t="shared" si="244"/>
        <v>0</v>
      </c>
      <c r="C1986" s="2">
        <f>Speed!B1986</f>
        <v>0</v>
      </c>
      <c r="D1986" s="9">
        <f>Odometer!A1986</f>
        <v>0</v>
      </c>
      <c r="E1986" s="9">
        <f t="shared" si="248"/>
        <v>0</v>
      </c>
      <c r="F1986" s="2">
        <f>Odometer!B1986</f>
        <v>0</v>
      </c>
      <c r="G1986" s="2">
        <f t="shared" si="245"/>
        <v>0</v>
      </c>
      <c r="H1986" s="2">
        <f>SUM($G$2:G1986)</f>
        <v>11920</v>
      </c>
      <c r="I1986" s="10">
        <f t="shared" si="249"/>
        <v>0</v>
      </c>
      <c r="J1986" s="10">
        <f t="shared" si="246"/>
        <v>0</v>
      </c>
      <c r="K1986" s="3">
        <f t="shared" si="247"/>
        <v>11920</v>
      </c>
      <c r="L1986">
        <f t="shared" ref="L1986:L2000" si="251">INDEX($C$2:$C$2000, MATCH(I1986,$A$2:$A$2000,0))</f>
        <v>0</v>
      </c>
      <c r="M1986">
        <f t="shared" si="250"/>
        <v>0</v>
      </c>
    </row>
    <row r="1987" spans="1:13" x14ac:dyDescent="0.25">
      <c r="A1987" s="9">
        <f>Speed!A1987</f>
        <v>0</v>
      </c>
      <c r="B1987" s="9">
        <f t="shared" ref="B1987:B2000" si="252">MROUND(A1987,"00:00:01")</f>
        <v>0</v>
      </c>
      <c r="C1987" s="2">
        <f>Speed!B1987</f>
        <v>0</v>
      </c>
      <c r="D1987" s="9">
        <f>Odometer!A1987</f>
        <v>0</v>
      </c>
      <c r="E1987" s="9">
        <f t="shared" si="248"/>
        <v>0</v>
      </c>
      <c r="F1987" s="2">
        <f>Odometer!B1987</f>
        <v>0</v>
      </c>
      <c r="G1987" s="2">
        <f t="shared" ref="G1987:G2001" si="253">IF(F1988-F1987&lt;0,0,F1988-F1987)</f>
        <v>0</v>
      </c>
      <c r="H1987" s="2">
        <f>SUM($G$2:G1987)</f>
        <v>11920</v>
      </c>
      <c r="I1987" s="10">
        <f t="shared" si="249"/>
        <v>0</v>
      </c>
      <c r="J1987" s="10">
        <f t="shared" ref="J1987:J2000" si="254">MROUND(I1987,"0:00:01")</f>
        <v>0</v>
      </c>
      <c r="K1987" s="3">
        <f t="shared" si="247"/>
        <v>11920</v>
      </c>
      <c r="L1987">
        <f t="shared" si="251"/>
        <v>0</v>
      </c>
      <c r="M1987">
        <f t="shared" si="250"/>
        <v>0</v>
      </c>
    </row>
    <row r="1988" spans="1:13" x14ac:dyDescent="0.25">
      <c r="A1988" s="9">
        <f>Speed!A1988</f>
        <v>0</v>
      </c>
      <c r="B1988" s="9">
        <f t="shared" si="252"/>
        <v>0</v>
      </c>
      <c r="C1988" s="2">
        <f>Speed!B1988</f>
        <v>0</v>
      </c>
      <c r="D1988" s="9">
        <f>Odometer!A1988</f>
        <v>0</v>
      </c>
      <c r="E1988" s="9">
        <f t="shared" si="248"/>
        <v>0</v>
      </c>
      <c r="F1988" s="2">
        <f>Odometer!B1988</f>
        <v>0</v>
      </c>
      <c r="G1988" s="2">
        <f t="shared" si="253"/>
        <v>0</v>
      </c>
      <c r="H1988" s="2">
        <f>SUM($G$2:G1988)</f>
        <v>11920</v>
      </c>
      <c r="I1988" s="10">
        <f t="shared" si="249"/>
        <v>0</v>
      </c>
      <c r="J1988" s="10">
        <f t="shared" si="254"/>
        <v>0</v>
      </c>
      <c r="K1988" s="3">
        <f t="shared" ref="K1988:K2000" si="255">IFERROR(INDEX($H$2:$H$2000,MATCH(J1988,$E$2:$E$2000,0)),NA())</f>
        <v>11920</v>
      </c>
      <c r="L1988">
        <f t="shared" si="251"/>
        <v>0</v>
      </c>
      <c r="M1988">
        <f t="shared" si="250"/>
        <v>0</v>
      </c>
    </row>
    <row r="1989" spans="1:13" x14ac:dyDescent="0.25">
      <c r="A1989" s="9">
        <f>Speed!A1989</f>
        <v>0</v>
      </c>
      <c r="B1989" s="9">
        <f t="shared" si="252"/>
        <v>0</v>
      </c>
      <c r="C1989" s="2">
        <f>Speed!B1989</f>
        <v>0</v>
      </c>
      <c r="D1989" s="9">
        <f>Odometer!A1989</f>
        <v>0</v>
      </c>
      <c r="E1989" s="9">
        <f t="shared" si="248"/>
        <v>0</v>
      </c>
      <c r="F1989" s="2">
        <f>Odometer!B1989</f>
        <v>0</v>
      </c>
      <c r="G1989" s="2">
        <f t="shared" si="253"/>
        <v>0</v>
      </c>
      <c r="H1989" s="2">
        <f>SUM($G$2:G1989)</f>
        <v>11920</v>
      </c>
      <c r="I1989" s="10">
        <f t="shared" si="249"/>
        <v>0</v>
      </c>
      <c r="J1989" s="10">
        <f t="shared" si="254"/>
        <v>0</v>
      </c>
      <c r="K1989" s="3">
        <f t="shared" si="255"/>
        <v>11920</v>
      </c>
      <c r="L1989">
        <f t="shared" si="251"/>
        <v>0</v>
      </c>
      <c r="M1989">
        <f t="shared" si="250"/>
        <v>0</v>
      </c>
    </row>
    <row r="1990" spans="1:13" x14ac:dyDescent="0.25">
      <c r="A1990" s="9">
        <f>Speed!A1990</f>
        <v>0</v>
      </c>
      <c r="B1990" s="9">
        <f t="shared" si="252"/>
        <v>0</v>
      </c>
      <c r="C1990" s="2">
        <f>Speed!B1990</f>
        <v>0</v>
      </c>
      <c r="D1990" s="9">
        <f>Odometer!A1990</f>
        <v>0</v>
      </c>
      <c r="E1990" s="9">
        <f t="shared" si="248"/>
        <v>0</v>
      </c>
      <c r="F1990" s="2">
        <f>Odometer!B1990</f>
        <v>0</v>
      </c>
      <c r="G1990" s="2">
        <f t="shared" si="253"/>
        <v>0</v>
      </c>
      <c r="H1990" s="2">
        <f>SUM($G$2:G1990)</f>
        <v>11920</v>
      </c>
      <c r="I1990" s="10">
        <f t="shared" si="249"/>
        <v>0</v>
      </c>
      <c r="J1990" s="10">
        <f t="shared" si="254"/>
        <v>0</v>
      </c>
      <c r="K1990" s="3">
        <f t="shared" si="255"/>
        <v>11920</v>
      </c>
      <c r="L1990">
        <f t="shared" si="251"/>
        <v>0</v>
      </c>
      <c r="M1990">
        <f t="shared" si="250"/>
        <v>0</v>
      </c>
    </row>
    <row r="1991" spans="1:13" x14ac:dyDescent="0.25">
      <c r="A1991" s="9">
        <f>Speed!A1991</f>
        <v>0</v>
      </c>
      <c r="B1991" s="9">
        <f t="shared" si="252"/>
        <v>0</v>
      </c>
      <c r="C1991" s="2">
        <f>Speed!B1991</f>
        <v>0</v>
      </c>
      <c r="D1991" s="9">
        <f>Odometer!A1991</f>
        <v>0</v>
      </c>
      <c r="E1991" s="9">
        <f t="shared" si="248"/>
        <v>0</v>
      </c>
      <c r="F1991" s="2">
        <f>Odometer!B1991</f>
        <v>0</v>
      </c>
      <c r="G1991" s="2">
        <f t="shared" si="253"/>
        <v>0</v>
      </c>
      <c r="H1991" s="2">
        <f>SUM($G$2:G1991)</f>
        <v>11920</v>
      </c>
      <c r="I1991" s="10">
        <f t="shared" si="249"/>
        <v>0</v>
      </c>
      <c r="J1991" s="10">
        <f t="shared" si="254"/>
        <v>0</v>
      </c>
      <c r="K1991" s="3">
        <f t="shared" si="255"/>
        <v>11920</v>
      </c>
      <c r="L1991">
        <f t="shared" si="251"/>
        <v>0</v>
      </c>
      <c r="M1991">
        <f t="shared" si="250"/>
        <v>0</v>
      </c>
    </row>
    <row r="1992" spans="1:13" x14ac:dyDescent="0.25">
      <c r="A1992" s="9">
        <f>Speed!A1992</f>
        <v>0</v>
      </c>
      <c r="B1992" s="9">
        <f t="shared" si="252"/>
        <v>0</v>
      </c>
      <c r="C1992" s="2">
        <f>Speed!B1992</f>
        <v>0</v>
      </c>
      <c r="D1992" s="9">
        <f>Odometer!A1992</f>
        <v>0</v>
      </c>
      <c r="E1992" s="9">
        <f t="shared" si="248"/>
        <v>0</v>
      </c>
      <c r="F1992" s="2">
        <f>Odometer!B1992</f>
        <v>0</v>
      </c>
      <c r="G1992" s="2">
        <f t="shared" si="253"/>
        <v>0</v>
      </c>
      <c r="H1992" s="2">
        <f>SUM($G$2:G1992)</f>
        <v>11920</v>
      </c>
      <c r="I1992" s="10">
        <f t="shared" si="249"/>
        <v>0</v>
      </c>
      <c r="J1992" s="10">
        <f t="shared" si="254"/>
        <v>0</v>
      </c>
      <c r="K1992" s="3">
        <f t="shared" si="255"/>
        <v>11920</v>
      </c>
      <c r="L1992">
        <f t="shared" si="251"/>
        <v>0</v>
      </c>
      <c r="M1992">
        <f t="shared" si="250"/>
        <v>0</v>
      </c>
    </row>
    <row r="1993" spans="1:13" x14ac:dyDescent="0.25">
      <c r="A1993" s="9">
        <f>Speed!A1993</f>
        <v>0</v>
      </c>
      <c r="B1993" s="9">
        <f t="shared" si="252"/>
        <v>0</v>
      </c>
      <c r="C1993" s="2">
        <f>Speed!B1993</f>
        <v>0</v>
      </c>
      <c r="D1993" s="9">
        <f>Odometer!A1993</f>
        <v>0</v>
      </c>
      <c r="E1993" s="9">
        <f t="shared" si="248"/>
        <v>0</v>
      </c>
      <c r="F1993" s="2">
        <f>Odometer!B1993</f>
        <v>0</v>
      </c>
      <c r="G1993" s="2">
        <f t="shared" si="253"/>
        <v>0</v>
      </c>
      <c r="H1993" s="2">
        <f>SUM($G$2:G1993)</f>
        <v>11920</v>
      </c>
      <c r="I1993" s="10">
        <f t="shared" si="249"/>
        <v>0</v>
      </c>
      <c r="J1993" s="10">
        <f t="shared" si="254"/>
        <v>0</v>
      </c>
      <c r="K1993" s="3">
        <f t="shared" si="255"/>
        <v>11920</v>
      </c>
      <c r="L1993">
        <f t="shared" si="251"/>
        <v>0</v>
      </c>
      <c r="M1993">
        <f t="shared" si="250"/>
        <v>0</v>
      </c>
    </row>
    <row r="1994" spans="1:13" x14ac:dyDescent="0.25">
      <c r="A1994" s="9">
        <f>Speed!A1994</f>
        <v>0</v>
      </c>
      <c r="B1994" s="9">
        <f t="shared" si="252"/>
        <v>0</v>
      </c>
      <c r="C1994" s="2">
        <f>Speed!B1994</f>
        <v>0</v>
      </c>
      <c r="D1994" s="9">
        <f>Odometer!A1994</f>
        <v>0</v>
      </c>
      <c r="E1994" s="9">
        <f t="shared" si="248"/>
        <v>0</v>
      </c>
      <c r="F1994" s="2">
        <f>Odometer!B1994</f>
        <v>0</v>
      </c>
      <c r="G1994" s="2">
        <f t="shared" si="253"/>
        <v>0</v>
      </c>
      <c r="H1994" s="2">
        <f>SUM($G$2:G1994)</f>
        <v>11920</v>
      </c>
      <c r="I1994" s="10">
        <f t="shared" si="249"/>
        <v>0</v>
      </c>
      <c r="J1994" s="10">
        <f t="shared" si="254"/>
        <v>0</v>
      </c>
      <c r="K1994" s="3">
        <f t="shared" si="255"/>
        <v>11920</v>
      </c>
      <c r="L1994">
        <f t="shared" si="251"/>
        <v>0</v>
      </c>
      <c r="M1994">
        <f t="shared" si="250"/>
        <v>0</v>
      </c>
    </row>
    <row r="1995" spans="1:13" x14ac:dyDescent="0.25">
      <c r="A1995" s="9">
        <f>Speed!A1995</f>
        <v>0</v>
      </c>
      <c r="B1995" s="9">
        <f t="shared" si="252"/>
        <v>0</v>
      </c>
      <c r="C1995" s="2">
        <f>Speed!B1995</f>
        <v>0</v>
      </c>
      <c r="D1995" s="9">
        <f>Odometer!A1995</f>
        <v>0</v>
      </c>
      <c r="E1995" s="9">
        <f t="shared" si="248"/>
        <v>0</v>
      </c>
      <c r="F1995" s="2">
        <f>Odometer!B1995</f>
        <v>0</v>
      </c>
      <c r="G1995" s="2">
        <f t="shared" si="253"/>
        <v>0</v>
      </c>
      <c r="H1995" s="2">
        <f>SUM($G$2:G1995)</f>
        <v>11920</v>
      </c>
      <c r="I1995" s="10">
        <f t="shared" si="249"/>
        <v>0</v>
      </c>
      <c r="J1995" s="10">
        <f t="shared" si="254"/>
        <v>0</v>
      </c>
      <c r="K1995" s="3">
        <f t="shared" si="255"/>
        <v>11920</v>
      </c>
      <c r="L1995">
        <f t="shared" si="251"/>
        <v>0</v>
      </c>
      <c r="M1995">
        <f t="shared" si="250"/>
        <v>0</v>
      </c>
    </row>
    <row r="1996" spans="1:13" x14ac:dyDescent="0.25">
      <c r="A1996" s="9">
        <f>Speed!A1996</f>
        <v>0</v>
      </c>
      <c r="B1996" s="9">
        <f t="shared" si="252"/>
        <v>0</v>
      </c>
      <c r="C1996" s="2">
        <f>Speed!B1996</f>
        <v>0</v>
      </c>
      <c r="D1996" s="9">
        <f>Odometer!A1996</f>
        <v>0</v>
      </c>
      <c r="E1996" s="9">
        <f t="shared" si="248"/>
        <v>0</v>
      </c>
      <c r="F1996" s="2">
        <f>Odometer!B1996</f>
        <v>0</v>
      </c>
      <c r="G1996" s="2">
        <f t="shared" si="253"/>
        <v>0</v>
      </c>
      <c r="H1996" s="2">
        <f>SUM($G$2:G1996)</f>
        <v>11920</v>
      </c>
      <c r="I1996" s="10">
        <f t="shared" si="249"/>
        <v>0</v>
      </c>
      <c r="J1996" s="10">
        <f t="shared" si="254"/>
        <v>0</v>
      </c>
      <c r="K1996" s="3">
        <f t="shared" si="255"/>
        <v>11920</v>
      </c>
      <c r="L1996">
        <f t="shared" si="251"/>
        <v>0</v>
      </c>
      <c r="M1996">
        <f t="shared" si="250"/>
        <v>0</v>
      </c>
    </row>
    <row r="1997" spans="1:13" x14ac:dyDescent="0.25">
      <c r="A1997" s="9">
        <f>Speed!A1997</f>
        <v>0</v>
      </c>
      <c r="B1997" s="9">
        <f t="shared" si="252"/>
        <v>0</v>
      </c>
      <c r="C1997" s="2">
        <f>Speed!B1997</f>
        <v>0</v>
      </c>
      <c r="D1997" s="9">
        <f>Odometer!A1997</f>
        <v>0</v>
      </c>
      <c r="E1997" s="9">
        <f t="shared" si="248"/>
        <v>0</v>
      </c>
      <c r="F1997" s="2">
        <f>Odometer!B1997</f>
        <v>0</v>
      </c>
      <c r="G1997" s="2">
        <f t="shared" si="253"/>
        <v>0</v>
      </c>
      <c r="H1997" s="2">
        <f>SUM($G$2:G1997)</f>
        <v>11920</v>
      </c>
      <c r="I1997" s="10">
        <f t="shared" si="249"/>
        <v>0</v>
      </c>
      <c r="J1997" s="10">
        <f t="shared" si="254"/>
        <v>0</v>
      </c>
      <c r="K1997" s="3">
        <f t="shared" si="255"/>
        <v>11920</v>
      </c>
      <c r="L1997">
        <f t="shared" si="251"/>
        <v>0</v>
      </c>
      <c r="M1997">
        <f t="shared" si="250"/>
        <v>0</v>
      </c>
    </row>
    <row r="1998" spans="1:13" x14ac:dyDescent="0.25">
      <c r="A1998" s="9">
        <f>Speed!A1998</f>
        <v>0</v>
      </c>
      <c r="B1998" s="9">
        <f t="shared" si="252"/>
        <v>0</v>
      </c>
      <c r="C1998" s="2">
        <f>Speed!B1998</f>
        <v>0</v>
      </c>
      <c r="D1998" s="9">
        <f>Odometer!A1998</f>
        <v>0</v>
      </c>
      <c r="E1998" s="9">
        <f t="shared" si="248"/>
        <v>0</v>
      </c>
      <c r="F1998" s="2">
        <f>Odometer!B1998</f>
        <v>0</v>
      </c>
      <c r="G1998" s="2">
        <f t="shared" si="253"/>
        <v>0</v>
      </c>
      <c r="H1998" s="2">
        <f>SUM($G$2:G1998)</f>
        <v>11920</v>
      </c>
      <c r="I1998" s="10">
        <f t="shared" si="249"/>
        <v>0</v>
      </c>
      <c r="J1998" s="10">
        <f t="shared" si="254"/>
        <v>0</v>
      </c>
      <c r="K1998" s="3">
        <f t="shared" si="255"/>
        <v>11920</v>
      </c>
      <c r="L1998">
        <f t="shared" si="251"/>
        <v>0</v>
      </c>
      <c r="M1998">
        <f t="shared" si="250"/>
        <v>0</v>
      </c>
    </row>
    <row r="1999" spans="1:13" x14ac:dyDescent="0.25">
      <c r="A1999" s="9">
        <f>Speed!A1999</f>
        <v>0</v>
      </c>
      <c r="B1999" s="9">
        <f t="shared" si="252"/>
        <v>0</v>
      </c>
      <c r="C1999" s="2">
        <f>Speed!B1999</f>
        <v>0</v>
      </c>
      <c r="D1999" s="9">
        <f>Odometer!A1999</f>
        <v>0</v>
      </c>
      <c r="E1999" s="9">
        <f t="shared" si="248"/>
        <v>0</v>
      </c>
      <c r="F1999" s="2">
        <f>Odometer!B1999</f>
        <v>0</v>
      </c>
      <c r="G1999" s="2">
        <f t="shared" si="253"/>
        <v>0</v>
      </c>
      <c r="H1999" s="2">
        <f>SUM($G$2:G1999)</f>
        <v>11920</v>
      </c>
      <c r="I1999" s="10">
        <f t="shared" si="249"/>
        <v>0</v>
      </c>
      <c r="J1999" s="10">
        <f t="shared" si="254"/>
        <v>0</v>
      </c>
      <c r="K1999" s="3">
        <f t="shared" si="255"/>
        <v>11920</v>
      </c>
      <c r="L1999">
        <f t="shared" si="251"/>
        <v>0</v>
      </c>
      <c r="M1999">
        <f t="shared" si="250"/>
        <v>0</v>
      </c>
    </row>
    <row r="2000" spans="1:13" x14ac:dyDescent="0.25">
      <c r="A2000" s="9">
        <f>Speed!A2000</f>
        <v>0</v>
      </c>
      <c r="B2000" s="9">
        <f t="shared" si="252"/>
        <v>0</v>
      </c>
      <c r="C2000" s="2">
        <f>Speed!B2000</f>
        <v>0</v>
      </c>
      <c r="D2000" s="9">
        <f>Odometer!A2000</f>
        <v>0</v>
      </c>
      <c r="E2000" s="9">
        <f t="shared" si="248"/>
        <v>0</v>
      </c>
      <c r="F2000" s="2">
        <f>Odometer!B2000</f>
        <v>0</v>
      </c>
      <c r="G2000" s="2">
        <f t="shared" si="253"/>
        <v>0</v>
      </c>
      <c r="H2000" s="2">
        <f>SUM($G$2:G2000)</f>
        <v>11920</v>
      </c>
      <c r="I2000" s="10">
        <f t="shared" si="249"/>
        <v>0</v>
      </c>
      <c r="J2000" s="10">
        <f t="shared" si="254"/>
        <v>0</v>
      </c>
      <c r="K2000" s="3">
        <f t="shared" si="255"/>
        <v>11920</v>
      </c>
      <c r="L2000">
        <f t="shared" si="251"/>
        <v>0</v>
      </c>
      <c r="M2000">
        <f t="shared" si="250"/>
        <v>0</v>
      </c>
    </row>
    <row r="2001" spans="7:8" x14ac:dyDescent="0.25">
      <c r="G2001" s="2">
        <f t="shared" si="253"/>
        <v>0</v>
      </c>
      <c r="H2001" s="2">
        <f>SUM($G$2:G2001)</f>
        <v>11920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DB64AB19208014B84C843C173485E8F" ma:contentTypeVersion="14" ma:contentTypeDescription="Create a new document." ma:contentTypeScope="" ma:versionID="019c7f638dd3867dc34975a752b63203">
  <xsd:schema xmlns:xsd="http://www.w3.org/2001/XMLSchema" xmlns:xs="http://www.w3.org/2001/XMLSchema" xmlns:p="http://schemas.microsoft.com/office/2006/metadata/properties" xmlns:ns2="e9a73c4e-aeb0-4748-844d-a0ccf6adae03" xmlns:ns3="24be68a9-b71b-44ac-8a14-3ac0338de5d0" targetNamespace="http://schemas.microsoft.com/office/2006/metadata/properties" ma:root="true" ma:fieldsID="f14a136e66e7f9dadd4558314b02ea84" ns2:_="" ns3:_="">
    <xsd:import namespace="e9a73c4e-aeb0-4748-844d-a0ccf6adae03"/>
    <xsd:import namespace="24be68a9-b71b-44ac-8a14-3ac0338de5d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Group" minOccurs="0"/>
                <xsd:element ref="ns2:MediaServiceLocatio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a73c4e-aeb0-4748-844d-a0ccf6ada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Group" ma:index="17" nillable="true" ma:displayName="Group" ma:format="Dropdown" ma:internalName="Group">
      <xsd:simpleType>
        <xsd:union memberTypes="dms:Text">
          <xsd:simpleType>
            <xsd:restriction base="dms:Choice">
              <xsd:enumeration value="BOCC"/>
              <xsd:enumeration value="LRV"/>
              <xsd:enumeration value="CSO"/>
              <xsd:enumeration value="Infor"/>
              <xsd:enumeration value="Maps"/>
              <xsd:enumeration value="Driver"/>
              <xsd:enumeration value="OCC - Regulating"/>
              <xsd:enumeration value="Roster"/>
              <xsd:enumeration value="T-Visor"/>
              <xsd:enumeration value="Alignment"/>
              <xsd:enumeration value="Contractor"/>
              <xsd:enumeration value="Response Vehicle"/>
              <xsd:enumeration value="Procedures/IMS"/>
            </xsd:restriction>
          </xsd:simpleType>
        </xsd:union>
      </xsd:simpleType>
    </xsd:element>
    <xsd:element name="MediaServiceLocation" ma:index="18"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be68a9-b71b-44ac-8a14-3ac0338de5d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Group xmlns="e9a73c4e-aeb0-4748-844d-a0ccf6adae03">OCC &amp; BOCC</Group>
  </documentManagement>
</p:properties>
</file>

<file path=customXml/itemProps1.xml><?xml version="1.0" encoding="utf-8"?>
<ds:datastoreItem xmlns:ds="http://schemas.openxmlformats.org/officeDocument/2006/customXml" ds:itemID="{0FA993B9-F0B6-4765-8227-79BC09BEC4C9}">
  <ds:schemaRefs>
    <ds:schemaRef ds:uri="http://schemas.microsoft.com/sharepoint/v3/contenttype/forms"/>
  </ds:schemaRefs>
</ds:datastoreItem>
</file>

<file path=customXml/itemProps2.xml><?xml version="1.0" encoding="utf-8"?>
<ds:datastoreItem xmlns:ds="http://schemas.openxmlformats.org/officeDocument/2006/customXml" ds:itemID="{525A1F1A-773F-4B5F-808C-8DF827439F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9a73c4e-aeb0-4748-844d-a0ccf6adae03"/>
    <ds:schemaRef ds:uri="24be68a9-b71b-44ac-8a14-3ac0338de5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4DD16B-E885-42BC-A413-6437F7744CA6}">
  <ds:schemaRefs>
    <ds:schemaRef ds:uri="http://schemas.microsoft.com/office/2006/metadata/properties"/>
    <ds:schemaRef ds:uri="http://schemas.microsoft.com/office/infopath/2007/PartnerControls"/>
    <ds:schemaRef ds:uri="e9a73c4e-aeb0-4748-844d-a0ccf6adae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Charts</vt:lpstr>
      </vt:variant>
      <vt:variant>
        <vt:i4>2</vt:i4>
      </vt:variant>
    </vt:vector>
  </HeadingPairs>
  <TitlesOfParts>
    <vt:vector size="10" baseType="lpstr">
      <vt:lpstr>Instructions</vt:lpstr>
      <vt:lpstr>Extended Graph</vt:lpstr>
      <vt:lpstr>Speed</vt:lpstr>
      <vt:lpstr>Odometer</vt:lpstr>
      <vt:lpstr>Speed reference</vt:lpstr>
      <vt:lpstr>Intersections</vt:lpstr>
      <vt:lpstr>Stops</vt:lpstr>
      <vt:lpstr>Calculations</vt:lpstr>
      <vt:lpstr>Graph 1</vt:lpstr>
      <vt:lpstr>Printable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Christopher McPhail</dc:creator>
  <cp:keywords/>
  <dc:description/>
  <cp:lastModifiedBy>Jovilisi Draunimasi</cp:lastModifiedBy>
  <cp:revision/>
  <dcterms:created xsi:type="dcterms:W3CDTF">2024-02-19T04:07:43Z</dcterms:created>
  <dcterms:modified xsi:type="dcterms:W3CDTF">2026-04-06T06:26:19Z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0x0101005DB64AB19208014B84C843C173485E8F</vt:lpwstr>
  </property>
</Properties>
</file>